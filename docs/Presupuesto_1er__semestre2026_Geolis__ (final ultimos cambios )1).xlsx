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perezg\Downloads\presentacion_v2\presentación_desarrollos_corewell\"/>
    </mc:Choice>
  </mc:AlternateContent>
  <xr:revisionPtr revIDLastSave="0" documentId="13_ncr:1_{101500E8-5757-4D38-8268-624481B847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SUMEN GENERAL" sheetId="1" r:id="rId1"/>
    <sheet name="F01 EQUIPO COMPUTO" sheetId="2" r:id="rId2"/>
    <sheet name="F02 ACCESORIOS" sheetId="3" r:id="rId3"/>
    <sheet name="F03 LICENCIAS MXN" sheetId="4" r:id="rId4"/>
    <sheet name="F05 INFRAESTRUCTURA RED" sheetId="5" r:id="rId5"/>
    <sheet name="F06 TELECOMUNICACIONES" sheetId="6" r:id="rId6"/>
    <sheet name="F07 IMPRESOR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6" l="1"/>
  <c r="G12" i="6"/>
  <c r="F12" i="6"/>
  <c r="G11" i="6"/>
  <c r="G10" i="6"/>
  <c r="G9" i="6"/>
  <c r="G8" i="6"/>
  <c r="G7" i="6"/>
  <c r="G6" i="6"/>
  <c r="G5" i="6"/>
  <c r="G12" i="5"/>
  <c r="F12" i="5"/>
  <c r="H11" i="5"/>
  <c r="H10" i="5"/>
  <c r="H12" i="5" s="1"/>
  <c r="H9" i="5"/>
  <c r="H8" i="5"/>
  <c r="H7" i="5"/>
  <c r="H6" i="5"/>
  <c r="H5" i="5"/>
  <c r="H26" i="4"/>
  <c r="I25" i="4"/>
  <c r="I24" i="4"/>
  <c r="I23" i="4"/>
  <c r="I22" i="4"/>
  <c r="I21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5" i="4"/>
  <c r="I4" i="4"/>
  <c r="G16" i="3"/>
  <c r="F16" i="3"/>
  <c r="H15" i="3"/>
  <c r="H14" i="3"/>
  <c r="H13" i="3"/>
  <c r="H12" i="3"/>
  <c r="H11" i="3"/>
  <c r="H10" i="3"/>
  <c r="H9" i="3"/>
  <c r="H8" i="3"/>
  <c r="H7" i="3"/>
  <c r="H6" i="3"/>
  <c r="H5" i="3"/>
  <c r="H16" i="3" s="1"/>
  <c r="G13" i="2"/>
  <c r="F13" i="2"/>
  <c r="E13" i="2"/>
  <c r="G12" i="2"/>
  <c r="G11" i="2"/>
  <c r="G10" i="2"/>
  <c r="G9" i="2"/>
  <c r="G8" i="2"/>
  <c r="G7" i="2"/>
  <c r="G6" i="2"/>
  <c r="G5" i="2"/>
  <c r="I19" i="1"/>
  <c r="H19" i="1"/>
  <c r="G19" i="1"/>
  <c r="F19" i="1"/>
  <c r="F21" i="1" s="1"/>
  <c r="E19" i="1"/>
  <c r="E21" i="1" s="1"/>
  <c r="D19" i="1"/>
  <c r="I18" i="1"/>
  <c r="I20" i="1" s="1"/>
  <c r="H18" i="1"/>
  <c r="H20" i="1" s="1"/>
  <c r="H21" i="1" s="1"/>
  <c r="G18" i="1"/>
  <c r="G20" i="1" s="1"/>
  <c r="G21" i="1" s="1"/>
  <c r="F18" i="1"/>
  <c r="F20" i="1" s="1"/>
  <c r="E18" i="1"/>
  <c r="E20" i="1" s="1"/>
  <c r="D18" i="1"/>
  <c r="C18" i="1" s="1"/>
  <c r="C17" i="1"/>
  <c r="C16" i="1"/>
  <c r="C15" i="1"/>
  <c r="C14" i="1"/>
  <c r="C13" i="1"/>
  <c r="C19" i="1" s="1"/>
  <c r="C12" i="1"/>
  <c r="C11" i="1"/>
  <c r="H24" i="7"/>
  <c r="I26" i="4" l="1"/>
  <c r="I27" i="4" s="1"/>
  <c r="I21" i="1"/>
  <c r="C20" i="1"/>
  <c r="D20" i="1"/>
  <c r="D21" i="1" s="1"/>
  <c r="C21" i="1" l="1"/>
  <c r="J12" i="1" l="1"/>
  <c r="J15" i="1"/>
  <c r="J13" i="1"/>
  <c r="J16" i="1"/>
  <c r="J11" i="1"/>
  <c r="J19" i="1"/>
  <c r="J17" i="1"/>
  <c r="J18" i="1"/>
  <c r="J14" i="1"/>
  <c r="J20" i="1"/>
</calcChain>
</file>

<file path=xl/sharedStrings.xml><?xml version="1.0" encoding="utf-8"?>
<sst xmlns="http://schemas.openxmlformats.org/spreadsheetml/2006/main" count="374" uniqueCount="140">
  <si>
    <t>PRESUPUESTO DE EGRESOS — PRIMER SEMESTRE 2026  |  Enero – Junio</t>
  </si>
  <si>
    <t>Período:</t>
  </si>
  <si>
    <t>Enero – Junio 2026</t>
  </si>
  <si>
    <t>Elaboró:</t>
  </si>
  <si>
    <t>TC de referencia USD/MXN:</t>
  </si>
  <si>
    <t>EGRESOS POR RUBRO — DISTRIBUCIÓN MENSUAL  |  Importes en Pesos Mexicanos (MXN)</t>
  </si>
  <si>
    <t>RUBRO</t>
  </si>
  <si>
    <t>TIPO</t>
  </si>
  <si>
    <t>TOTAL SEMESTRAL</t>
  </si>
  <si>
    <t>ENE</t>
  </si>
  <si>
    <t>FEB</t>
  </si>
  <si>
    <t>MAR</t>
  </si>
  <si>
    <t>ABR</t>
  </si>
  <si>
    <t>MAY</t>
  </si>
  <si>
    <t>JUN</t>
  </si>
  <si>
    <t>% DEL TOTAL</t>
  </si>
  <si>
    <t>EQUIPO DE CÓMPUTO</t>
  </si>
  <si>
    <t>CAPEX</t>
  </si>
  <si>
    <t>ACCESORIOS Y PERIFÉRICOS</t>
  </si>
  <si>
    <t>INFRAESTRUCTURA DE RED</t>
  </si>
  <si>
    <t>LICENCIAMIENTO MXN</t>
  </si>
  <si>
    <t>OPEX</t>
  </si>
  <si>
    <t>LICENCIAMIENTO USD (MXN)</t>
  </si>
  <si>
    <t>INTERNET</t>
  </si>
  <si>
    <t>STARLINK</t>
  </si>
  <si>
    <t>IMPRESORAS EN RENTA</t>
  </si>
  <si>
    <t>TOTAL CAPEX</t>
  </si>
  <si>
    <t>TOTAL OPEX</t>
  </si>
  <si>
    <t>TOTAL GENERAL  —  PESOS MEXICANOS</t>
  </si>
  <si>
    <t>100%</t>
  </si>
  <si>
    <t>F01 EQUIPO COMPUTO  —  Laptops y Equipos de Cómputo — Geolis y Cuervito</t>
  </si>
  <si>
    <t>Mes</t>
  </si>
  <si>
    <t>Modelo / Concepto</t>
  </si>
  <si>
    <t>CAPEX / OPEX</t>
  </si>
  <si>
    <t>Cantidad</t>
  </si>
  <si>
    <t>Costo Unitario (MXN)</t>
  </si>
  <si>
    <t>Monto Presupuestado (MXN)</t>
  </si>
  <si>
    <t>Enero</t>
  </si>
  <si>
    <t>Laptop Dell Pro — Geolis</t>
  </si>
  <si>
    <t>Laptop Dell Pro Plus — Geolis</t>
  </si>
  <si>
    <t>Laptop Dell Pro Max — Geolis</t>
  </si>
  <si>
    <t>Marzo</t>
  </si>
  <si>
    <t>Laptop Dell Pro — Cuervito</t>
  </si>
  <si>
    <t>Abril</t>
  </si>
  <si>
    <t>Mayo</t>
  </si>
  <si>
    <t>TOTAL DEL RUBRO</t>
  </si>
  <si>
    <t>F02 ACCESORIOS  —  Monitores, Teclados, Docking Stations y Periféricos</t>
  </si>
  <si>
    <t>Kit Teclado/Mouse Dell KM3322W</t>
  </si>
  <si>
    <t>Monitor Dell SE2425HM</t>
  </si>
  <si>
    <t>Monitor Dell SE2725HM</t>
  </si>
  <si>
    <t>Monitor Dell P2725H</t>
  </si>
  <si>
    <t>Docking Station WD25</t>
  </si>
  <si>
    <t>Monitor Dell S3225QS</t>
  </si>
  <si>
    <t>Junio</t>
  </si>
  <si>
    <t>Monitor Dell P2725H (adicional)</t>
  </si>
  <si>
    <t>Kit Teclado/Mouse KM3322W (adic.)</t>
  </si>
  <si>
    <t>Docking Station DA305</t>
  </si>
  <si>
    <t>Plaud — Grabador IA</t>
  </si>
  <si>
    <t>F03 LICENCIAS MXN  —  Licenciamiento de Software — Pesos Mexicanos</t>
  </si>
  <si>
    <t>Software / Servicio</t>
  </si>
  <si>
    <t>Modalidad</t>
  </si>
  <si>
    <t>CAPEX/OPEX</t>
  </si>
  <si>
    <t>Licencias</t>
  </si>
  <si>
    <t>MS Office 365 — Negocios</t>
  </si>
  <si>
    <t>Mensual</t>
  </si>
  <si>
    <t>MS Office 365 — Exchange geolis</t>
  </si>
  <si>
    <t>Febrero</t>
  </si>
  <si>
    <t>MS Office 365 — Exchange geolisener</t>
  </si>
  <si>
    <t>MS Office 365 — Teams</t>
  </si>
  <si>
    <t>MS Office 365 — Project</t>
  </si>
  <si>
    <t>MS Office 365 — OneDrive</t>
  </si>
  <si>
    <t>Adobe — Acrobat Standard</t>
  </si>
  <si>
    <t>Adobe — Acrobat Pro</t>
  </si>
  <si>
    <t>Adobe — Creative Cloud</t>
  </si>
  <si>
    <t>Correos .mx — POP</t>
  </si>
  <si>
    <t>Antivirus — Cortex</t>
  </si>
  <si>
    <t>LinkedIn — SalesNavigator Core</t>
  </si>
  <si>
    <t>Zoom — Workplace Pro</t>
  </si>
  <si>
    <t>Autodesk — AutoCAD</t>
  </si>
  <si>
    <t>Anual</t>
  </si>
  <si>
    <t>Autodesk — AutoCAD LT</t>
  </si>
  <si>
    <t>LICENCIAMIENTO USD — Convertido a Pesos Mexicanos (TC = 19.50)</t>
  </si>
  <si>
    <t>ChatGPT — Business</t>
  </si>
  <si>
    <t>Claude — Pro Team</t>
  </si>
  <si>
    <t>Office TimeLine — Plus</t>
  </si>
  <si>
    <t>ClickUp — Business</t>
  </si>
  <si>
    <t>Solidworks</t>
  </si>
  <si>
    <t>SUBTOTAL LICENCIAMIENTO MXN</t>
  </si>
  <si>
    <t>TOTAL DEL RUBRO (MXN + USD convertido)</t>
  </si>
  <si>
    <t>F05 INFRAESTRUCTURA RED  —  Equipos de Red e Infraestructura — Starlinks y Switches</t>
  </si>
  <si>
    <t>Concepto</t>
  </si>
  <si>
    <t>Starlink Residencial</t>
  </si>
  <si>
    <t>Starlink Mini</t>
  </si>
  <si>
    <t>Starlink Marítimo</t>
  </si>
  <si>
    <t>UPS Industronic IND RP 1101</t>
  </si>
  <si>
    <t>Switch Cisco Business 220</t>
  </si>
  <si>
    <t>F06 TELECOMUNICACIONES  —  Internet, Starlink OPEX y Servicio Satelital</t>
  </si>
  <si>
    <t>Zona / Sitio</t>
  </si>
  <si>
    <t>ISP / Proveedor</t>
  </si>
  <si>
    <t>Plan</t>
  </si>
  <si>
    <t>Mensual (MXN)</t>
  </si>
  <si>
    <t>Semestral (MXN)</t>
  </si>
  <si>
    <t>Villahermosa — Los Mangos</t>
  </si>
  <si>
    <t>Totalplay</t>
  </si>
  <si>
    <t>Infinitum</t>
  </si>
  <si>
    <t>Telmex</t>
  </si>
  <si>
    <t>Villahermosa — Paraíso</t>
  </si>
  <si>
    <t>Veracruz — Plaza Sol</t>
  </si>
  <si>
    <t>Megacable</t>
  </si>
  <si>
    <t>Ciudad del Carmen</t>
  </si>
  <si>
    <t>STARLINK — OPEX MENSUAL (43 UNIDADES ACTIVAS)</t>
  </si>
  <si>
    <t>43 unidades activas (cuentas 1-4)</t>
  </si>
  <si>
    <t>Starlink Business</t>
  </si>
  <si>
    <t>Mensual / campo operativo</t>
  </si>
  <si>
    <t>2 unidades pendientes (KUA, ZCH)</t>
  </si>
  <si>
    <t>Pendiente activación</t>
  </si>
  <si>
    <t>F07 IMPRESORAS  —  Renta de Equipos de Impresión Multifuncional (COPYVER)</t>
  </si>
  <si>
    <t>Equipo / Ubicación</t>
  </si>
  <si>
    <t>Centro de Costos</t>
  </si>
  <si>
    <t>No. Factura</t>
  </si>
  <si>
    <t>Importe Facturado (MXN)</t>
  </si>
  <si>
    <t>TK3552 GEOLIS VERACRUZ</t>
  </si>
  <si>
    <t>C15ADMIN</t>
  </si>
  <si>
    <t>B27999</t>
  </si>
  <si>
    <t>TA 2554ci PEMEX BECH LITORAL PARAÍSO</t>
  </si>
  <si>
    <t>F218357</t>
  </si>
  <si>
    <t>C18ADMIN</t>
  </si>
  <si>
    <t>B28556</t>
  </si>
  <si>
    <t>IR ADV-C5560i PARAÍSO TABASCO</t>
  </si>
  <si>
    <t>TA 308ci VILLAHERMOSA MANGOS</t>
  </si>
  <si>
    <t>TA 2554ci REYNOSA</t>
  </si>
  <si>
    <t>F218383</t>
  </si>
  <si>
    <t>B28653</t>
  </si>
  <si>
    <t>TA 2554ci COWORKING</t>
  </si>
  <si>
    <t>B28654</t>
  </si>
  <si>
    <t>Renta equipos multifuncionales (4 sedes) — factura pendiente de recepción</t>
  </si>
  <si>
    <t>N/D</t>
  </si>
  <si>
    <t>Pendiente</t>
  </si>
  <si>
    <t>GEOLIS  ·  Área de Tecnología de la Información</t>
  </si>
  <si>
    <t>Coordinación de Innovación y técnologia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</si>
</sst>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0" x14ac:knownFonts="1">
    <font>
      <sz val="11"/>
      <color theme="1"/>
      <name val="Calibri"/>
      <family val="2"/>
      <charset val="1"/>
    </font>
    <font>
      <b/>
      <sz val="14"/>
      <color theme="1"/>
      <name val="Corbel"/>
      <family val="2"/>
      <charset val="1"/>
    </font>
    <font>
      <b/>
      <sz val="11"/>
      <color theme="1"/>
      <name val="Corbel"/>
      <family val="2"/>
      <charset val="1"/>
    </font>
    <font>
      <b/>
      <sz val="9"/>
      <color rgb="FF404040"/>
      <name val="Corbel"/>
      <family val="2"/>
      <charset val="1"/>
    </font>
    <font>
      <sz val="9"/>
      <color rgb="FF000000"/>
      <name val="Corbel"/>
      <family val="2"/>
      <charset val="1"/>
    </font>
    <font>
      <b/>
      <sz val="9"/>
      <color rgb="FFC00000"/>
      <name val="Corbel"/>
      <family val="2"/>
      <charset val="1"/>
    </font>
    <font>
      <b/>
      <sz val="12"/>
      <color rgb="FFC00000"/>
      <name val="Corbel"/>
      <family val="2"/>
      <charset val="1"/>
    </font>
    <font>
      <i/>
      <sz val="9"/>
      <color rgb="FFC00000"/>
      <name val="Corbel"/>
      <family val="2"/>
      <charset val="1"/>
    </font>
    <font>
      <b/>
      <sz val="10"/>
      <color rgb="FF404040"/>
      <name val="Corbel"/>
      <family val="2"/>
      <charset val="1"/>
    </font>
    <font>
      <b/>
      <sz val="9"/>
      <color rgb="FFFFFFFF"/>
      <name val="Corbel"/>
      <family val="2"/>
      <charset val="1"/>
    </font>
    <font>
      <b/>
      <sz val="8"/>
      <color rgb="FF000000"/>
      <name val="Corbel"/>
      <family val="2"/>
      <charset val="1"/>
    </font>
    <font>
      <b/>
      <sz val="9"/>
      <color rgb="FF000000"/>
      <name val="Corbel"/>
      <family val="2"/>
      <charset val="1"/>
    </font>
    <font>
      <sz val="9"/>
      <color rgb="FF0000FF"/>
      <name val="Corbel"/>
      <family val="2"/>
      <charset val="1"/>
    </font>
    <font>
      <sz val="10"/>
      <color rgb="FF000000"/>
      <name val="Corbel"/>
      <family val="2"/>
      <charset val="1"/>
    </font>
    <font>
      <b/>
      <sz val="10"/>
      <color rgb="FF000000"/>
      <name val="Corbel"/>
      <family val="2"/>
      <charset val="1"/>
    </font>
    <font>
      <b/>
      <sz val="12"/>
      <color rgb="FF404040"/>
      <name val="Corbel"/>
      <family val="2"/>
      <charset val="1"/>
    </font>
    <font>
      <b/>
      <sz val="12"/>
      <color theme="1"/>
      <name val="Corbel"/>
      <family val="2"/>
      <charset val="1"/>
    </font>
    <font>
      <i/>
      <sz val="9"/>
      <color rgb="FFC00000"/>
      <name val="Arial"/>
      <family val="2"/>
      <charset val="1"/>
    </font>
    <font>
      <sz val="11"/>
      <color theme="1"/>
      <name val="Corbel"/>
      <family val="2"/>
      <charset val="1"/>
    </font>
    <font>
      <b/>
      <sz val="12"/>
      <color theme="1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b/>
      <sz val="9"/>
      <color rgb="FF404040"/>
      <name val="Arial"/>
      <family val="2"/>
      <charset val="1"/>
    </font>
    <font>
      <b/>
      <sz val="10"/>
      <color rgb="FF404040"/>
      <name val="Arial"/>
      <family val="2"/>
      <charset val="1"/>
    </font>
    <font>
      <b/>
      <sz val="9"/>
      <color rgb="FF000000"/>
      <name val="Arial"/>
      <family val="2"/>
      <charset val="1"/>
    </font>
    <font>
      <i/>
      <sz val="9"/>
      <color theme="1"/>
      <name val="Arial"/>
      <family val="2"/>
      <charset val="1"/>
    </font>
    <font>
      <b/>
      <i/>
      <sz val="9"/>
      <color rgb="FF111111"/>
      <name val="Arial"/>
      <family val="2"/>
      <charset val="1"/>
    </font>
    <font>
      <i/>
      <sz val="8"/>
      <color rgb="FF666666"/>
      <name val="Corbel"/>
      <charset val="1"/>
    </font>
    <font>
      <sz val="9"/>
      <color rgb="FF0000FF"/>
      <name val="Corbe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EFEFEF"/>
      </patternFill>
    </fill>
    <fill>
      <patternFill patternType="solid">
        <fgColor rgb="FFFFFFFF"/>
        <bgColor rgb="FFF5F5F5"/>
      </patternFill>
    </fill>
    <fill>
      <patternFill patternType="solid">
        <fgColor rgb="FFFFF5CC"/>
        <bgColor rgb="FFF5F5F5"/>
      </patternFill>
    </fill>
    <fill>
      <patternFill patternType="solid">
        <fgColor rgb="FFD6D6D6"/>
        <bgColor rgb="FFCCCCCC"/>
      </patternFill>
    </fill>
    <fill>
      <patternFill patternType="solid">
        <fgColor rgb="FF404040"/>
        <bgColor rgb="FF333300"/>
      </patternFill>
    </fill>
    <fill>
      <patternFill patternType="solid">
        <fgColor rgb="FFEFEFEF"/>
        <bgColor rgb="FFF5F5F5"/>
      </patternFill>
    </fill>
    <fill>
      <patternFill patternType="solid">
        <fgColor rgb="FFFFD7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ck">
        <color rgb="FF595959"/>
      </left>
      <right style="thick">
        <color rgb="FF595959"/>
      </right>
      <top style="thick">
        <color rgb="FF595959"/>
      </top>
      <bottom style="thick">
        <color rgb="FF595959"/>
      </bottom>
      <diagonal/>
    </border>
    <border>
      <left style="thick">
        <color rgb="FF595959"/>
      </left>
      <right/>
      <top/>
      <bottom/>
      <diagonal/>
    </border>
    <border>
      <left style="medium">
        <color rgb="FF595959"/>
      </left>
      <right/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/>
      <top style="thin">
        <color rgb="FFCCCCCC"/>
      </top>
      <bottom/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 style="thin">
        <color rgb="FFCCCCAA"/>
      </left>
      <right style="thin">
        <color rgb="FFCCCCAA"/>
      </right>
      <top style="thin">
        <color rgb="FFCCCCAA"/>
      </top>
      <bottom style="thin">
        <color rgb="FFCCCCAA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thin">
        <color rgb="FFCCCCCC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7" fillId="0" borderId="2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top" wrapText="1"/>
    </xf>
    <xf numFmtId="0" fontId="8" fillId="8" borderId="12" xfId="0" applyFont="1" applyFill="1" applyBorder="1" applyAlignment="1">
      <alignment horizontal="left" vertical="center" wrapText="1"/>
    </xf>
    <xf numFmtId="0" fontId="7" fillId="0" borderId="0" xfId="0" applyFont="1"/>
    <xf numFmtId="0" fontId="16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vertical="center" wrapText="1"/>
    </xf>
    <xf numFmtId="4" fontId="6" fillId="4" borderId="4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12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4" fontId="12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vertical="center" wrapText="1"/>
    </xf>
    <xf numFmtId="164" fontId="14" fillId="7" borderId="7" xfId="0" applyNumberFormat="1" applyFont="1" applyFill="1" applyBorder="1" applyAlignment="1">
      <alignment horizontal="right" vertical="center" wrapText="1"/>
    </xf>
    <xf numFmtId="165" fontId="14" fillId="7" borderId="7" xfId="0" applyNumberFormat="1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left" vertical="center" wrapText="1"/>
    </xf>
    <xf numFmtId="164" fontId="15" fillId="8" borderId="4" xfId="0" applyNumberFormat="1" applyFont="1" applyFill="1" applyBorder="1" applyAlignment="1">
      <alignment horizontal="right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164" fontId="4" fillId="2" borderId="1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right" vertical="center" wrapText="1"/>
    </xf>
    <xf numFmtId="164" fontId="4" fillId="3" borderId="11" xfId="0" applyNumberFormat="1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right" vertical="center" wrapText="1"/>
    </xf>
    <xf numFmtId="164" fontId="8" fillId="8" borderId="7" xfId="0" applyNumberFormat="1" applyFont="1" applyFill="1" applyBorder="1" applyAlignment="1">
      <alignment horizontal="right" vertical="center" wrapText="1"/>
    </xf>
    <xf numFmtId="0" fontId="18" fillId="0" borderId="0" xfId="0" applyFont="1"/>
    <xf numFmtId="0" fontId="0" fillId="0" borderId="0" xfId="0" applyAlignment="1">
      <alignment horizontal="center"/>
    </xf>
    <xf numFmtId="0" fontId="20" fillId="6" borderId="7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 vertical="center" wrapText="1"/>
    </xf>
    <xf numFmtId="164" fontId="22" fillId="2" borderId="1" xfId="0" applyNumberFormat="1" applyFont="1" applyFill="1" applyBorder="1" applyAlignment="1">
      <alignment horizontal="right" vertical="center" wrapText="1"/>
    </xf>
    <xf numFmtId="164" fontId="21" fillId="2" borderId="11" xfId="0" applyNumberFormat="1" applyFont="1" applyFill="1" applyBorder="1" applyAlignment="1">
      <alignment horizontal="righ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right" vertical="center" wrapText="1"/>
    </xf>
    <xf numFmtId="164" fontId="22" fillId="3" borderId="1" xfId="0" applyNumberFormat="1" applyFont="1" applyFill="1" applyBorder="1" applyAlignment="1">
      <alignment horizontal="right" vertical="center" wrapText="1"/>
    </xf>
    <xf numFmtId="164" fontId="21" fillId="3" borderId="11" xfId="0" applyNumberFormat="1" applyFont="1" applyFill="1" applyBorder="1" applyAlignment="1">
      <alignment horizontal="right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right" vertical="center" wrapText="1"/>
    </xf>
    <xf numFmtId="164" fontId="21" fillId="2" borderId="1" xfId="0" applyNumberFormat="1" applyFont="1" applyFill="1" applyBorder="1" applyAlignment="1">
      <alignment horizontal="right" vertical="center" wrapText="1"/>
    </xf>
    <xf numFmtId="0" fontId="21" fillId="3" borderId="1" xfId="0" applyFont="1" applyFill="1" applyBorder="1" applyAlignment="1">
      <alignment horizontal="right" vertical="center" wrapText="1"/>
    </xf>
    <xf numFmtId="164" fontId="21" fillId="3" borderId="1" xfId="0" applyNumberFormat="1" applyFont="1" applyFill="1" applyBorder="1" applyAlignment="1">
      <alignment horizontal="right" vertical="center" wrapText="1"/>
    </xf>
    <xf numFmtId="164" fontId="24" fillId="8" borderId="7" xfId="0" applyNumberFormat="1" applyFont="1" applyFill="1" applyBorder="1" applyAlignment="1">
      <alignment horizontal="right" vertical="center" wrapText="1"/>
    </xf>
    <xf numFmtId="0" fontId="25" fillId="4" borderId="1" xfId="0" applyFont="1" applyFill="1" applyBorder="1" applyAlignment="1">
      <alignment horizontal="right" vertical="center" wrapText="1"/>
    </xf>
    <xf numFmtId="0" fontId="0" fillId="4" borderId="0" xfId="0" applyFill="1"/>
    <xf numFmtId="4" fontId="21" fillId="3" borderId="1" xfId="0" applyNumberFormat="1" applyFont="1" applyFill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8" fillId="8" borderId="12" xfId="0" applyFont="1" applyFill="1" applyBorder="1"/>
    <xf numFmtId="164" fontId="8" fillId="8" borderId="12" xfId="0" applyNumberFormat="1" applyFont="1" applyFill="1" applyBorder="1" applyAlignment="1">
      <alignment horizontal="right" vertical="center" wrapText="1"/>
    </xf>
    <xf numFmtId="0" fontId="16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left" vertical="center"/>
    </xf>
    <xf numFmtId="0" fontId="24" fillId="8" borderId="7" xfId="0" applyFont="1" applyFill="1" applyBorder="1" applyAlignment="1">
      <alignment horizontal="center" vertical="center" wrapText="1"/>
    </xf>
    <xf numFmtId="0" fontId="24" fillId="8" borderId="14" xfId="0" applyFont="1" applyFill="1" applyBorder="1" applyAlignment="1">
      <alignment horizontal="right" vertical="center" wrapText="1"/>
    </xf>
    <xf numFmtId="0" fontId="24" fillId="8" borderId="12" xfId="0" applyFont="1" applyFill="1" applyBorder="1" applyAlignment="1">
      <alignment horizontal="left" vertical="center" wrapText="1"/>
    </xf>
    <xf numFmtId="0" fontId="26" fillId="4" borderId="0" xfId="0" applyFont="1" applyFill="1" applyAlignment="1">
      <alignment horizontal="center" vertical="center"/>
    </xf>
    <xf numFmtId="0" fontId="0" fillId="0" borderId="0" xfId="0"/>
    <xf numFmtId="0" fontId="24" fillId="4" borderId="12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0" fillId="10" borderId="0" xfId="0" applyFill="1"/>
    <xf numFmtId="164" fontId="29" fillId="2" borderId="1" xfId="0" applyNumberFormat="1" applyFont="1" applyFill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95959"/>
      <rgbColor rgb="FF9999FF"/>
      <rgbColor rgb="FF993366"/>
      <rgbColor rgb="FFFFF5CC"/>
      <rgbColor rgb="FFEFEFE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CCCCAA"/>
      <rgbColor rgb="FF3366FF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226080</xdr:colOff>
      <xdr:row>2</xdr:row>
      <xdr:rowOff>41760</xdr:rowOff>
    </xdr:from>
    <xdr:to>
      <xdr:col>1</xdr:col>
      <xdr:colOff>432000</xdr:colOff>
      <xdr:row>2</xdr:row>
      <xdr:rowOff>262800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226080" y="498960"/>
          <a:ext cx="2179440" cy="2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36720</xdr:colOff>
      <xdr:row>2</xdr:row>
      <xdr:rowOff>68040</xdr:rowOff>
    </xdr:from>
    <xdr:to>
      <xdr:col>9</xdr:col>
      <xdr:colOff>335160</xdr:colOff>
      <xdr:row>3</xdr:row>
      <xdr:rowOff>43200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7949520" y="525240"/>
          <a:ext cx="2171520" cy="25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79200</xdr:colOff>
      <xdr:row>1</xdr:row>
      <xdr:rowOff>24480</xdr:rowOff>
    </xdr:from>
    <xdr:to>
      <xdr:col>7</xdr:col>
      <xdr:colOff>872640</xdr:colOff>
      <xdr:row>2</xdr:row>
      <xdr:rowOff>41040</xdr:rowOff>
    </xdr:to>
    <xdr:pic>
      <xdr:nvPicPr>
        <xdr:cNvPr id="4" name="Imagen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7992000" y="119880"/>
          <a:ext cx="793440" cy="37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949680</xdr:colOff>
      <xdr:row>1</xdr:row>
      <xdr:rowOff>6120</xdr:rowOff>
    </xdr:from>
    <xdr:to>
      <xdr:col>1</xdr:col>
      <xdr:colOff>15120</xdr:colOff>
      <xdr:row>2</xdr:row>
      <xdr:rowOff>20520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49680" y="10152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395640</xdr:rowOff>
    </xdr:from>
    <xdr:to>
      <xdr:col>0</xdr:col>
      <xdr:colOff>2193480</xdr:colOff>
      <xdr:row>1</xdr:row>
      <xdr:rowOff>42840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0" y="395640"/>
          <a:ext cx="2193480" cy="21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97560</xdr:colOff>
      <xdr:row>0</xdr:row>
      <xdr:rowOff>428400</xdr:rowOff>
    </xdr:from>
    <xdr:to>
      <xdr:col>10</xdr:col>
      <xdr:colOff>426600</xdr:colOff>
      <xdr:row>1</xdr:row>
      <xdr:rowOff>104400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9131040" y="428400"/>
          <a:ext cx="2171160" cy="24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408960</xdr:colOff>
      <xdr:row>0</xdr:row>
      <xdr:rowOff>48960</xdr:rowOff>
    </xdr:from>
    <xdr:to>
      <xdr:col>9</xdr:col>
      <xdr:colOff>42480</xdr:colOff>
      <xdr:row>0</xdr:row>
      <xdr:rowOff>425880</xdr:rowOff>
    </xdr:to>
    <xdr:pic>
      <xdr:nvPicPr>
        <xdr:cNvPr id="6" name="Imagen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9442440" y="48960"/>
          <a:ext cx="861480" cy="3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723600</xdr:colOff>
      <xdr:row>0</xdr:row>
      <xdr:rowOff>0</xdr:rowOff>
    </xdr:from>
    <xdr:to>
      <xdr:col>0</xdr:col>
      <xdr:colOff>1762560</xdr:colOff>
      <xdr:row>0</xdr:row>
      <xdr:rowOff>376200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723600" y="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61200</xdr:colOff>
      <xdr:row>0</xdr:row>
      <xdr:rowOff>499680</xdr:rowOff>
    </xdr:from>
    <xdr:to>
      <xdr:col>2</xdr:col>
      <xdr:colOff>395280</xdr:colOff>
      <xdr:row>0</xdr:row>
      <xdr:rowOff>720720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61200" y="499680"/>
          <a:ext cx="2176200" cy="2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799920</xdr:colOff>
      <xdr:row>0</xdr:row>
      <xdr:rowOff>574920</xdr:rowOff>
    </xdr:from>
    <xdr:to>
      <xdr:col>9</xdr:col>
      <xdr:colOff>164160</xdr:colOff>
      <xdr:row>0</xdr:row>
      <xdr:rowOff>824760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8210520" y="574920"/>
          <a:ext cx="2224080" cy="24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48960</xdr:colOff>
      <xdr:row>0</xdr:row>
      <xdr:rowOff>122040</xdr:rowOff>
    </xdr:from>
    <xdr:to>
      <xdr:col>8</xdr:col>
      <xdr:colOff>842400</xdr:colOff>
      <xdr:row>0</xdr:row>
      <xdr:rowOff>498960</xdr:rowOff>
    </xdr:to>
    <xdr:pic>
      <xdr:nvPicPr>
        <xdr:cNvPr id="10" name="Imagen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8668440" y="122040"/>
          <a:ext cx="793440" cy="3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204480</xdr:colOff>
      <xdr:row>0</xdr:row>
      <xdr:rowOff>103680</xdr:rowOff>
    </xdr:from>
    <xdr:to>
      <xdr:col>2</xdr:col>
      <xdr:colOff>15480</xdr:colOff>
      <xdr:row>0</xdr:row>
      <xdr:rowOff>479880</xdr:rowOff>
    </xdr:to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8640" y="10368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219960</xdr:colOff>
      <xdr:row>1</xdr:row>
      <xdr:rowOff>23400</xdr:rowOff>
    </xdr:from>
    <xdr:to>
      <xdr:col>1</xdr:col>
      <xdr:colOff>1713960</xdr:colOff>
      <xdr:row>1</xdr:row>
      <xdr:rowOff>244440</xdr:rowOff>
    </xdr:to>
    <xdr:pic>
      <xdr:nvPicPr>
        <xdr:cNvPr id="12" name="Imagen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219960" y="613800"/>
          <a:ext cx="2108160" cy="2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85320</xdr:colOff>
      <xdr:row>1</xdr:row>
      <xdr:rowOff>19080</xdr:rowOff>
    </xdr:from>
    <xdr:to>
      <xdr:col>12</xdr:col>
      <xdr:colOff>414360</xdr:colOff>
      <xdr:row>1</xdr:row>
      <xdr:rowOff>268920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9348840" y="609480"/>
          <a:ext cx="2171160" cy="24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152640</xdr:colOff>
      <xdr:row>0</xdr:row>
      <xdr:rowOff>67320</xdr:rowOff>
    </xdr:from>
    <xdr:to>
      <xdr:col>10</xdr:col>
      <xdr:colOff>366120</xdr:colOff>
      <xdr:row>0</xdr:row>
      <xdr:rowOff>444240</xdr:rowOff>
    </xdr:to>
    <xdr:pic>
      <xdr:nvPicPr>
        <xdr:cNvPr id="14" name="Imagen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9416160" y="67320"/>
          <a:ext cx="827280" cy="3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204480</xdr:colOff>
      <xdr:row>0</xdr:row>
      <xdr:rowOff>79200</xdr:rowOff>
    </xdr:from>
    <xdr:to>
      <xdr:col>1</xdr:col>
      <xdr:colOff>1243440</xdr:colOff>
      <xdr:row>0</xdr:row>
      <xdr:rowOff>455400</xdr:rowOff>
    </xdr:to>
    <xdr:pic>
      <xdr:nvPicPr>
        <xdr:cNvPr id="15" name="Image 1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8640" y="7920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408960</xdr:colOff>
      <xdr:row>0</xdr:row>
      <xdr:rowOff>395640</xdr:rowOff>
    </xdr:from>
    <xdr:to>
      <xdr:col>2</xdr:col>
      <xdr:colOff>10440</xdr:colOff>
      <xdr:row>0</xdr:row>
      <xdr:rowOff>616680</xdr:rowOff>
    </xdr:to>
    <xdr:pic>
      <xdr:nvPicPr>
        <xdr:cNvPr id="16" name="Imagen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408960" y="395640"/>
          <a:ext cx="2219040" cy="2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67320</xdr:colOff>
      <xdr:row>0</xdr:row>
      <xdr:rowOff>544320</xdr:rowOff>
    </xdr:from>
    <xdr:to>
      <xdr:col>11</xdr:col>
      <xdr:colOff>396360</xdr:colOff>
      <xdr:row>1</xdr:row>
      <xdr:rowOff>110160</xdr:rowOff>
    </xdr:to>
    <xdr:pic>
      <xdr:nvPicPr>
        <xdr:cNvPr id="17" name="Imagen 3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9491400" y="544320"/>
          <a:ext cx="2171160" cy="25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85320</xdr:colOff>
      <xdr:row>0</xdr:row>
      <xdr:rowOff>115920</xdr:rowOff>
    </xdr:from>
    <xdr:to>
      <xdr:col>9</xdr:col>
      <xdr:colOff>298800</xdr:colOff>
      <xdr:row>0</xdr:row>
      <xdr:rowOff>492840</xdr:rowOff>
    </xdr:to>
    <xdr:pic>
      <xdr:nvPicPr>
        <xdr:cNvPr id="18" name="Imagen 4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9509400" y="115920"/>
          <a:ext cx="827640" cy="3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552600</xdr:colOff>
      <xdr:row>0</xdr:row>
      <xdr:rowOff>0</xdr:rowOff>
    </xdr:from>
    <xdr:to>
      <xdr:col>1</xdr:col>
      <xdr:colOff>1591560</xdr:colOff>
      <xdr:row>0</xdr:row>
      <xdr:rowOff>376200</xdr:rowOff>
    </xdr:to>
    <xdr:pic>
      <xdr:nvPicPr>
        <xdr:cNvPr id="19" name="Image 1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166760" y="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33120</xdr:colOff>
      <xdr:row>0</xdr:row>
      <xdr:rowOff>793440</xdr:rowOff>
    </xdr:from>
    <xdr:to>
      <xdr:col>1</xdr:col>
      <xdr:colOff>2107440</xdr:colOff>
      <xdr:row>0</xdr:row>
      <xdr:rowOff>1014480</xdr:rowOff>
    </xdr:to>
    <xdr:pic>
      <xdr:nvPicPr>
        <xdr:cNvPr id="20" name="Imagen 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"/>
        <a:srcRect t="26697" r="71219" b="33226"/>
        <a:stretch/>
      </xdr:blipFill>
      <xdr:spPr>
        <a:xfrm>
          <a:off x="1422360" y="793440"/>
          <a:ext cx="2074320" cy="2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1443240</xdr:colOff>
      <xdr:row>0</xdr:row>
      <xdr:rowOff>792720</xdr:rowOff>
    </xdr:from>
    <xdr:to>
      <xdr:col>7</xdr:col>
      <xdr:colOff>141480</xdr:colOff>
      <xdr:row>0</xdr:row>
      <xdr:rowOff>1042560</xdr:rowOff>
    </xdr:to>
    <xdr:pic>
      <xdr:nvPicPr>
        <xdr:cNvPr id="21" name="Imagen 3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"/>
        <a:srcRect l="72181" t="31454" b="27418"/>
        <a:stretch/>
      </xdr:blipFill>
      <xdr:spPr>
        <a:xfrm>
          <a:off x="10393560" y="792720"/>
          <a:ext cx="2262600" cy="24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1461600</xdr:colOff>
      <xdr:row>0</xdr:row>
      <xdr:rowOff>364320</xdr:rowOff>
    </xdr:from>
    <xdr:to>
      <xdr:col>6</xdr:col>
      <xdr:colOff>615240</xdr:colOff>
      <xdr:row>0</xdr:row>
      <xdr:rowOff>741240</xdr:rowOff>
    </xdr:to>
    <xdr:pic>
      <xdr:nvPicPr>
        <xdr:cNvPr id="22" name="Imagen 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3"/>
        <a:srcRect t="22157" r="12479" b="15673"/>
        <a:stretch/>
      </xdr:blipFill>
      <xdr:spPr>
        <a:xfrm>
          <a:off x="10411920" y="364320"/>
          <a:ext cx="885240" cy="3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756720</xdr:colOff>
      <xdr:row>0</xdr:row>
      <xdr:rowOff>397440</xdr:rowOff>
    </xdr:from>
    <xdr:to>
      <xdr:col>1</xdr:col>
      <xdr:colOff>1795680</xdr:colOff>
      <xdr:row>0</xdr:row>
      <xdr:rowOff>773640</xdr:rowOff>
    </xdr:to>
    <xdr:pic>
      <xdr:nvPicPr>
        <xdr:cNvPr id="23" name="Image 1" descr="Picture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145960" y="397440"/>
          <a:ext cx="1038960" cy="376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4"/>
  <sheetViews>
    <sheetView showGridLines="0" tabSelected="1" zoomScale="156" zoomScaleNormal="156" workbookViewId="0">
      <pane ySplit="11" topLeftCell="A12" activePane="bottomLeft" state="frozen"/>
      <selection pane="bottomLeft" activeCell="L3" sqref="L3"/>
    </sheetView>
  </sheetViews>
  <sheetFormatPr baseColWidth="10" defaultColWidth="8.7109375" defaultRowHeight="15" x14ac:dyDescent="0.25"/>
  <cols>
    <col min="1" max="1" width="28" customWidth="1"/>
    <col min="2" max="2" width="10" customWidth="1"/>
    <col min="3" max="3" width="18" customWidth="1"/>
    <col min="4" max="4" width="15.85546875" customWidth="1"/>
    <col min="5" max="5" width="13.5703125" customWidth="1"/>
    <col min="6" max="7" width="13.42578125" customWidth="1"/>
    <col min="8" max="9" width="13.28515625" customWidth="1"/>
    <col min="10" max="10" width="9" customWidth="1"/>
  </cols>
  <sheetData>
    <row r="1" spans="1:10" ht="7.5" customHeight="1" x14ac:dyDescent="0.25"/>
    <row r="2" spans="1:10" ht="28.5" customHeight="1" x14ac:dyDescent="0.25">
      <c r="A2" s="9" t="s">
        <v>138</v>
      </c>
      <c r="B2" s="9"/>
      <c r="C2" s="9"/>
      <c r="D2" s="9"/>
      <c r="E2" s="9"/>
      <c r="F2" s="9"/>
      <c r="G2" s="9"/>
      <c r="H2" s="9"/>
      <c r="I2" s="9"/>
      <c r="J2" s="9"/>
    </row>
    <row r="3" spans="1:10" ht="21.75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6" customHeight="1" x14ac:dyDescent="0.25"/>
    <row r="5" spans="1:10" ht="15.75" customHeight="1" x14ac:dyDescent="0.25">
      <c r="A5" s="14" t="s">
        <v>1</v>
      </c>
      <c r="B5" s="7" t="s">
        <v>2</v>
      </c>
      <c r="C5" s="7"/>
      <c r="D5" s="7"/>
      <c r="E5" s="7"/>
      <c r="F5" s="7"/>
      <c r="G5" s="7"/>
      <c r="H5" s="7"/>
      <c r="I5" s="7"/>
      <c r="J5" s="7"/>
    </row>
    <row r="6" spans="1:10" ht="15.75" customHeight="1" x14ac:dyDescent="0.25">
      <c r="A6" s="14" t="s">
        <v>3</v>
      </c>
      <c r="B6" s="7" t="s">
        <v>139</v>
      </c>
      <c r="C6" s="7"/>
      <c r="D6" s="7"/>
      <c r="E6" s="7"/>
      <c r="F6" s="7"/>
      <c r="G6" s="7"/>
      <c r="H6" s="7"/>
      <c r="I6" s="7"/>
      <c r="J6" s="15"/>
    </row>
    <row r="7" spans="1:10" ht="5.25" customHeight="1" x14ac:dyDescent="0.25"/>
    <row r="8" spans="1:10" ht="18" customHeight="1" x14ac:dyDescent="0.25">
      <c r="A8" s="6" t="s">
        <v>4</v>
      </c>
      <c r="B8" s="6"/>
      <c r="C8" s="16">
        <v>19.5</v>
      </c>
      <c r="D8" s="5"/>
      <c r="E8" s="5"/>
      <c r="F8" s="5"/>
      <c r="G8" s="5"/>
      <c r="H8" s="5"/>
      <c r="I8" s="5"/>
      <c r="J8" s="5"/>
    </row>
    <row r="9" spans="1:10" ht="19.5" customHeight="1" x14ac:dyDescent="0.25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</row>
    <row r="10" spans="1:10" ht="24" customHeight="1" x14ac:dyDescent="0.25">
      <c r="A10" s="17" t="s">
        <v>6</v>
      </c>
      <c r="B10" s="17" t="s">
        <v>7</v>
      </c>
      <c r="C10" s="17" t="s">
        <v>8</v>
      </c>
      <c r="D10" s="17" t="s">
        <v>9</v>
      </c>
      <c r="E10" s="17" t="s">
        <v>10</v>
      </c>
      <c r="F10" s="17" t="s">
        <v>11</v>
      </c>
      <c r="G10" s="17" t="s">
        <v>12</v>
      </c>
      <c r="H10" s="17" t="s">
        <v>13</v>
      </c>
      <c r="I10" s="17" t="s">
        <v>14</v>
      </c>
      <c r="J10" s="17" t="s">
        <v>15</v>
      </c>
    </row>
    <row r="11" spans="1:10" ht="18" customHeight="1" x14ac:dyDescent="0.25">
      <c r="A11" s="18" t="s">
        <v>16</v>
      </c>
      <c r="B11" s="19" t="s">
        <v>17</v>
      </c>
      <c r="C11" s="20">
        <f t="shared" ref="C11:C18" si="0">D11+E11+F11+G11+H11+I11</f>
        <v>3374235</v>
      </c>
      <c r="D11" s="21">
        <v>2053968</v>
      </c>
      <c r="E11" s="21">
        <v>0</v>
      </c>
      <c r="F11" s="21">
        <v>403344</v>
      </c>
      <c r="G11" s="21">
        <v>538788</v>
      </c>
      <c r="H11" s="21">
        <v>378135</v>
      </c>
      <c r="I11" s="21">
        <v>0</v>
      </c>
      <c r="J11" s="22">
        <f>C11/C21</f>
        <v>0.67759915570358198</v>
      </c>
    </row>
    <row r="12" spans="1:10" ht="18" customHeight="1" x14ac:dyDescent="0.25">
      <c r="A12" s="23" t="s">
        <v>18</v>
      </c>
      <c r="B12" s="19" t="s">
        <v>17</v>
      </c>
      <c r="C12" s="24">
        <f t="shared" si="0"/>
        <v>339384</v>
      </c>
      <c r="D12" s="25">
        <v>0</v>
      </c>
      <c r="E12" s="25">
        <v>0</v>
      </c>
      <c r="F12" s="25">
        <v>113828</v>
      </c>
      <c r="G12" s="25">
        <v>170120</v>
      </c>
      <c r="H12" s="25">
        <v>36000</v>
      </c>
      <c r="I12" s="25">
        <v>19436</v>
      </c>
      <c r="J12" s="26">
        <f>C12/C21</f>
        <v>6.8153614629480302E-2</v>
      </c>
    </row>
    <row r="13" spans="1:10" ht="18" customHeight="1" x14ac:dyDescent="0.25">
      <c r="A13" s="18" t="s">
        <v>19</v>
      </c>
      <c r="B13" s="19" t="s">
        <v>17</v>
      </c>
      <c r="C13" s="20">
        <f t="shared" si="0"/>
        <v>108793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108793</v>
      </c>
      <c r="J13" s="22">
        <f>C13/C21</f>
        <v>2.1847335750610077E-2</v>
      </c>
    </row>
    <row r="14" spans="1:10" ht="18" customHeight="1" x14ac:dyDescent="0.25">
      <c r="A14" s="23" t="s">
        <v>20</v>
      </c>
      <c r="B14" s="19" t="s">
        <v>21</v>
      </c>
      <c r="C14" s="24">
        <f t="shared" si="0"/>
        <v>200724.99</v>
      </c>
      <c r="D14" s="25">
        <v>58120</v>
      </c>
      <c r="E14" s="25">
        <v>142205.99</v>
      </c>
      <c r="F14" s="25">
        <v>0</v>
      </c>
      <c r="G14" s="25">
        <v>0</v>
      </c>
      <c r="H14" s="25">
        <v>0</v>
      </c>
      <c r="I14" s="25">
        <v>399</v>
      </c>
      <c r="J14" s="26">
        <f>C14/C21</f>
        <v>4.0308717013666784E-2</v>
      </c>
    </row>
    <row r="15" spans="1:10" ht="18" customHeight="1" x14ac:dyDescent="0.25">
      <c r="A15" s="18" t="s">
        <v>22</v>
      </c>
      <c r="B15" s="19" t="s">
        <v>21</v>
      </c>
      <c r="C15" s="20">
        <f t="shared" si="0"/>
        <v>358489.56</v>
      </c>
      <c r="D15" s="21">
        <v>43699.5</v>
      </c>
      <c r="E15" s="21">
        <v>19656</v>
      </c>
      <c r="F15" s="21">
        <v>0</v>
      </c>
      <c r="G15" s="21">
        <v>0</v>
      </c>
      <c r="H15" s="21">
        <v>295134.06</v>
      </c>
      <c r="I15" s="21">
        <v>0</v>
      </c>
      <c r="J15" s="22">
        <f>C15/C21</f>
        <v>7.1990309858248933E-2</v>
      </c>
    </row>
    <row r="16" spans="1:10" ht="18" customHeight="1" x14ac:dyDescent="0.25">
      <c r="A16" s="23" t="s">
        <v>23</v>
      </c>
      <c r="B16" s="19" t="s">
        <v>21</v>
      </c>
      <c r="C16" s="24">
        <f t="shared" si="0"/>
        <v>50380.02</v>
      </c>
      <c r="D16" s="25">
        <v>8396.67</v>
      </c>
      <c r="E16" s="25">
        <v>8396.67</v>
      </c>
      <c r="F16" s="25">
        <v>8396.67</v>
      </c>
      <c r="G16" s="25">
        <v>8396.67</v>
      </c>
      <c r="H16" s="25">
        <v>8396.67</v>
      </c>
      <c r="I16" s="25">
        <v>8396.67</v>
      </c>
      <c r="J16" s="26">
        <f>C16/C21</f>
        <v>1.0117095879904503E-2</v>
      </c>
    </row>
    <row r="17" spans="1:10" ht="18" customHeight="1" x14ac:dyDescent="0.25">
      <c r="A17" s="18" t="s">
        <v>24</v>
      </c>
      <c r="B17" s="19" t="s">
        <v>21</v>
      </c>
      <c r="C17" s="20">
        <f t="shared" si="0"/>
        <v>406350</v>
      </c>
      <c r="D17" s="21">
        <v>67725</v>
      </c>
      <c r="E17" s="21">
        <v>67725</v>
      </c>
      <c r="F17" s="21">
        <v>67725</v>
      </c>
      <c r="G17" s="21">
        <v>67725</v>
      </c>
      <c r="H17" s="21">
        <v>67725</v>
      </c>
      <c r="I17" s="21">
        <v>67725</v>
      </c>
      <c r="J17" s="22">
        <f>C17/C21</f>
        <v>8.1601434671903575E-2</v>
      </c>
    </row>
    <row r="18" spans="1:10" ht="18" customHeight="1" x14ac:dyDescent="0.25">
      <c r="A18" s="18" t="s">
        <v>25</v>
      </c>
      <c r="B18" s="19" t="s">
        <v>21</v>
      </c>
      <c r="C18" s="20">
        <f t="shared" si="0"/>
        <v>141335.29</v>
      </c>
      <c r="D18" s="86">
        <f>SUMIF('F07 IMPRESORAS'!$C$5:$C$22,"Enero",'F07 IMPRESORAS'!$H$5:$H$22)</f>
        <v>12101.61</v>
      </c>
      <c r="E18" s="86">
        <f>SUMIF('F07 IMPRESORAS'!$C$5:$C$22,"Febrero",'F07 IMPRESORAS'!$H$5:$H$22)</f>
        <v>38867.17</v>
      </c>
      <c r="F18" s="86">
        <f>SUMIF('F07 IMPRESORAS'!$C$5:$C$22,"Marzo",'F07 IMPRESORAS'!$H$5:$H$22)</f>
        <v>49896.520000000004</v>
      </c>
      <c r="G18" s="86">
        <f>SUMIF('F07 IMPRESORAS'!$C$5:$C$22,"Abril",'F07 IMPRESORAS'!$H$5:$H$22)</f>
        <v>40469.990000000005</v>
      </c>
      <c r="H18" s="86">
        <f>SUMIF('F07 IMPRESORAS'!$C$5:$C$22,"Mayo",'F07 IMPRESORAS'!$H$5:$H$22)</f>
        <v>0</v>
      </c>
      <c r="I18" s="86">
        <f>SUMIF('F07 IMPRESORAS'!$C$5:$C$22,"Junio",'F07 IMPRESORAS'!$H$5:$H$22)</f>
        <v>0</v>
      </c>
      <c r="J18" s="22">
        <f>C18/C21</f>
        <v>2.8382336492603782E-2</v>
      </c>
    </row>
    <row r="19" spans="1:10" ht="15" customHeight="1" x14ac:dyDescent="0.25">
      <c r="A19" s="27" t="s">
        <v>26</v>
      </c>
      <c r="B19" s="28"/>
      <c r="C19" s="29">
        <f t="shared" ref="C19:I19" si="1">C11+C12+C13</f>
        <v>3822412</v>
      </c>
      <c r="D19" s="29">
        <f t="shared" si="1"/>
        <v>2053968</v>
      </c>
      <c r="E19" s="29">
        <f t="shared" si="1"/>
        <v>0</v>
      </c>
      <c r="F19" s="29">
        <f t="shared" si="1"/>
        <v>517172</v>
      </c>
      <c r="G19" s="29">
        <f t="shared" si="1"/>
        <v>708908</v>
      </c>
      <c r="H19" s="29">
        <f t="shared" si="1"/>
        <v>414135</v>
      </c>
      <c r="I19" s="29">
        <f t="shared" si="1"/>
        <v>128229</v>
      </c>
      <c r="J19" s="30">
        <f>C19/C21</f>
        <v>0.76760010608367235</v>
      </c>
    </row>
    <row r="20" spans="1:10" ht="30" customHeight="1" x14ac:dyDescent="0.25">
      <c r="A20" s="27" t="s">
        <v>27</v>
      </c>
      <c r="B20" s="28"/>
      <c r="C20" s="29">
        <f t="shared" ref="C20:I20" si="2">C14+C15+C16+C17+C18</f>
        <v>1157279.8600000001</v>
      </c>
      <c r="D20" s="29">
        <f t="shared" si="2"/>
        <v>190042.77999999997</v>
      </c>
      <c r="E20" s="29">
        <f t="shared" si="2"/>
        <v>276850.83</v>
      </c>
      <c r="F20" s="29">
        <f t="shared" si="2"/>
        <v>126018.19</v>
      </c>
      <c r="G20" s="29">
        <f t="shared" si="2"/>
        <v>116591.66</v>
      </c>
      <c r="H20" s="29">
        <f t="shared" si="2"/>
        <v>371255.73</v>
      </c>
      <c r="I20" s="29">
        <f t="shared" si="2"/>
        <v>76520.67</v>
      </c>
      <c r="J20" s="30">
        <f>C20/C21</f>
        <v>0.23239989391632759</v>
      </c>
    </row>
    <row r="21" spans="1:10" ht="30" customHeight="1" x14ac:dyDescent="0.25">
      <c r="A21" s="31" t="s">
        <v>28</v>
      </c>
      <c r="B21" s="32"/>
      <c r="C21" s="33">
        <f t="shared" ref="C21:I21" si="3">C19+C20</f>
        <v>4979691.8600000003</v>
      </c>
      <c r="D21" s="33">
        <f t="shared" si="3"/>
        <v>2244010.7799999998</v>
      </c>
      <c r="E21" s="33">
        <f t="shared" si="3"/>
        <v>276850.83</v>
      </c>
      <c r="F21" s="33">
        <f t="shared" si="3"/>
        <v>643190.18999999994</v>
      </c>
      <c r="G21" s="33">
        <f t="shared" si="3"/>
        <v>825499.66</v>
      </c>
      <c r="H21" s="33">
        <f t="shared" si="3"/>
        <v>785390.73</v>
      </c>
      <c r="I21" s="33">
        <f t="shared" si="3"/>
        <v>204749.66999999998</v>
      </c>
      <c r="J21" s="34" t="s">
        <v>29</v>
      </c>
    </row>
    <row r="22" spans="1:10" s="85" customFormat="1" ht="27.75" customHeight="1" x14ac:dyDescent="0.25">
      <c r="A22" s="83"/>
      <c r="B22" s="83"/>
      <c r="C22" s="83"/>
      <c r="D22" s="83"/>
      <c r="E22" s="83"/>
      <c r="F22" s="83"/>
      <c r="G22" s="83"/>
      <c r="H22" s="83"/>
      <c r="I22" s="83"/>
      <c r="J22" s="84"/>
    </row>
    <row r="1048574" ht="12.75" customHeight="1" x14ac:dyDescent="0.25"/>
  </sheetData>
  <mergeCells count="8">
    <mergeCell ref="A9:J9"/>
    <mergeCell ref="A22:I22"/>
    <mergeCell ref="A2:J2"/>
    <mergeCell ref="A3:J3"/>
    <mergeCell ref="B5:J5"/>
    <mergeCell ref="B6:I6"/>
    <mergeCell ref="A8:B8"/>
    <mergeCell ref="D8:J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showGridLines="0" zoomScale="156" zoomScaleNormal="156" workbookViewId="0">
      <selection activeCell="B1" sqref="B1:G1"/>
    </sheetView>
  </sheetViews>
  <sheetFormatPr baseColWidth="10" defaultColWidth="8.7109375" defaultRowHeight="15" x14ac:dyDescent="0.25"/>
  <cols>
    <col min="1" max="1" width="31.140625" customWidth="1"/>
    <col min="2" max="2" width="10" customWidth="1"/>
    <col min="3" max="3" width="34" customWidth="1"/>
    <col min="4" max="4" width="10" customWidth="1"/>
    <col min="5" max="5" width="9" customWidth="1"/>
    <col min="6" max="6" width="16" customWidth="1"/>
    <col min="7" max="7" width="18" customWidth="1"/>
  </cols>
  <sheetData>
    <row r="1" spans="2:7" ht="45" customHeight="1" x14ac:dyDescent="0.25">
      <c r="B1" s="3" t="s">
        <v>30</v>
      </c>
      <c r="C1" s="3"/>
      <c r="D1" s="3"/>
      <c r="E1" s="3"/>
      <c r="F1" s="3"/>
      <c r="G1" s="3"/>
    </row>
    <row r="2" spans="2:7" ht="15.75" customHeight="1" x14ac:dyDescent="0.25">
      <c r="B2" s="2"/>
      <c r="C2" s="2"/>
      <c r="D2" s="2"/>
      <c r="E2" s="2"/>
      <c r="F2" s="2"/>
      <c r="G2" s="2"/>
    </row>
    <row r="4" spans="2:7" ht="30.75" customHeight="1" x14ac:dyDescent="0.25">
      <c r="B4" s="35" t="s">
        <v>31</v>
      </c>
      <c r="C4" s="35" t="s">
        <v>32</v>
      </c>
      <c r="D4" s="35" t="s">
        <v>33</v>
      </c>
      <c r="E4" s="35" t="s">
        <v>34</v>
      </c>
      <c r="F4" s="35" t="s">
        <v>35</v>
      </c>
      <c r="G4" s="35" t="s">
        <v>36</v>
      </c>
    </row>
    <row r="5" spans="2:7" ht="15.75" customHeight="1" x14ac:dyDescent="0.25">
      <c r="B5" s="36" t="s">
        <v>37</v>
      </c>
      <c r="C5" s="36" t="s">
        <v>38</v>
      </c>
      <c r="D5" s="37" t="s">
        <v>17</v>
      </c>
      <c r="E5" s="38">
        <v>52</v>
      </c>
      <c r="F5" s="21">
        <v>25209</v>
      </c>
      <c r="G5" s="39">
        <f t="shared" ref="G5:G12" si="0">E5*F5</f>
        <v>1310868</v>
      </c>
    </row>
    <row r="6" spans="2:7" ht="15.75" customHeight="1" x14ac:dyDescent="0.25">
      <c r="B6" s="40" t="s">
        <v>37</v>
      </c>
      <c r="C6" s="40" t="s">
        <v>39</v>
      </c>
      <c r="D6" s="41" t="s">
        <v>17</v>
      </c>
      <c r="E6" s="42">
        <v>16</v>
      </c>
      <c r="F6" s="25">
        <v>33861</v>
      </c>
      <c r="G6" s="43">
        <f t="shared" si="0"/>
        <v>541776</v>
      </c>
    </row>
    <row r="7" spans="2:7" ht="15.75" customHeight="1" x14ac:dyDescent="0.25">
      <c r="B7" s="36" t="s">
        <v>37</v>
      </c>
      <c r="C7" s="36" t="s">
        <v>40</v>
      </c>
      <c r="D7" s="37" t="s">
        <v>17</v>
      </c>
      <c r="E7" s="38">
        <v>4</v>
      </c>
      <c r="F7" s="21">
        <v>50331</v>
      </c>
      <c r="G7" s="39">
        <f t="shared" si="0"/>
        <v>201324</v>
      </c>
    </row>
    <row r="8" spans="2:7" ht="15.75" customHeight="1" x14ac:dyDescent="0.25">
      <c r="B8" s="40" t="s">
        <v>41</v>
      </c>
      <c r="C8" s="40" t="s">
        <v>42</v>
      </c>
      <c r="D8" s="41" t="s">
        <v>17</v>
      </c>
      <c r="E8" s="42">
        <v>16</v>
      </c>
      <c r="F8" s="25">
        <v>25209</v>
      </c>
      <c r="G8" s="43">
        <f t="shared" si="0"/>
        <v>403344</v>
      </c>
    </row>
    <row r="9" spans="2:7" ht="15.75" customHeight="1" x14ac:dyDescent="0.25">
      <c r="B9" s="36" t="s">
        <v>43</v>
      </c>
      <c r="C9" s="36" t="s">
        <v>38</v>
      </c>
      <c r="D9" s="37" t="s">
        <v>17</v>
      </c>
      <c r="E9" s="38">
        <v>16</v>
      </c>
      <c r="F9" s="21">
        <v>25209</v>
      </c>
      <c r="G9" s="39">
        <f t="shared" si="0"/>
        <v>403344</v>
      </c>
    </row>
    <row r="10" spans="2:7" ht="15.75" customHeight="1" x14ac:dyDescent="0.25">
      <c r="B10" s="40" t="s">
        <v>43</v>
      </c>
      <c r="C10" s="40" t="s">
        <v>39</v>
      </c>
      <c r="D10" s="41" t="s">
        <v>17</v>
      </c>
      <c r="E10" s="42">
        <v>4</v>
      </c>
      <c r="F10" s="25">
        <v>33861</v>
      </c>
      <c r="G10" s="43">
        <f t="shared" si="0"/>
        <v>135444</v>
      </c>
    </row>
    <row r="11" spans="2:7" ht="15.75" customHeight="1" x14ac:dyDescent="0.25">
      <c r="B11" s="36" t="s">
        <v>44</v>
      </c>
      <c r="C11" s="36" t="s">
        <v>38</v>
      </c>
      <c r="D11" s="37" t="s">
        <v>17</v>
      </c>
      <c r="E11" s="38">
        <v>8</v>
      </c>
      <c r="F11" s="21">
        <v>25209</v>
      </c>
      <c r="G11" s="39">
        <f t="shared" si="0"/>
        <v>201672</v>
      </c>
    </row>
    <row r="12" spans="2:7" ht="15.75" customHeight="1" x14ac:dyDescent="0.25">
      <c r="B12" s="40" t="s">
        <v>44</v>
      </c>
      <c r="C12" s="40" t="s">
        <v>42</v>
      </c>
      <c r="D12" s="41" t="s">
        <v>17</v>
      </c>
      <c r="E12" s="42">
        <v>7</v>
      </c>
      <c r="F12" s="25">
        <v>25209</v>
      </c>
      <c r="G12" s="43">
        <f t="shared" si="0"/>
        <v>176463</v>
      </c>
    </row>
    <row r="13" spans="2:7" ht="21.75" customHeight="1" x14ac:dyDescent="0.25">
      <c r="B13" s="11" t="s">
        <v>45</v>
      </c>
      <c r="C13" s="11"/>
      <c r="D13" s="11"/>
      <c r="E13" s="44">
        <f>SUM(E5:E12)</f>
        <v>123</v>
      </c>
      <c r="F13" s="45">
        <f>SUM(F5:F12)</f>
        <v>244098</v>
      </c>
      <c r="G13" s="45">
        <f>SUM(G5:G12)</f>
        <v>3374235</v>
      </c>
    </row>
    <row r="15" spans="2:7" ht="27.75" customHeight="1" x14ac:dyDescent="0.25">
      <c r="B15" s="1"/>
      <c r="C15" s="1"/>
      <c r="D15" s="1"/>
      <c r="E15" s="1"/>
      <c r="F15" s="1"/>
      <c r="G15" s="1"/>
    </row>
  </sheetData>
  <mergeCells count="4">
    <mergeCell ref="B1:G1"/>
    <mergeCell ref="B2:G2"/>
    <mergeCell ref="B13:D13"/>
    <mergeCell ref="B15:G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H18"/>
  <sheetViews>
    <sheetView showGridLines="0" zoomScale="156" zoomScaleNormal="156" workbookViewId="0">
      <selection activeCell="I8" sqref="I8"/>
    </sheetView>
  </sheetViews>
  <sheetFormatPr baseColWidth="10" defaultColWidth="8.7109375" defaultRowHeight="15" x14ac:dyDescent="0.25"/>
  <cols>
    <col min="2" max="2" width="17.42578125" customWidth="1"/>
    <col min="3" max="3" width="10" customWidth="1"/>
    <col min="4" max="4" width="34" customWidth="1"/>
    <col min="5" max="5" width="10" customWidth="1"/>
    <col min="6" max="6" width="9" customWidth="1"/>
    <col min="7" max="7" width="16" customWidth="1"/>
    <col min="8" max="8" width="17.140625" customWidth="1"/>
    <col min="9" max="9" width="23.42578125" customWidth="1"/>
  </cols>
  <sheetData>
    <row r="1" spans="3:8" ht="67.5" customHeight="1" x14ac:dyDescent="0.25">
      <c r="C1" s="71" t="s">
        <v>46</v>
      </c>
      <c r="D1" s="71"/>
      <c r="E1" s="71"/>
      <c r="F1" s="71"/>
      <c r="G1" s="71"/>
      <c r="H1" s="71"/>
    </row>
    <row r="2" spans="3:8" ht="18.75" customHeight="1" x14ac:dyDescent="0.25">
      <c r="C2" s="72"/>
      <c r="D2" s="72"/>
      <c r="E2" s="72"/>
      <c r="F2" s="72"/>
      <c r="G2" s="72"/>
      <c r="H2" s="72"/>
    </row>
    <row r="3" spans="3:8" ht="15" customHeight="1" x14ac:dyDescent="0.25">
      <c r="C3" s="46"/>
      <c r="D3" s="46"/>
      <c r="E3" s="46"/>
      <c r="F3" s="46"/>
      <c r="G3" s="46"/>
      <c r="H3" s="46"/>
    </row>
    <row r="4" spans="3:8" ht="31.5" customHeight="1" x14ac:dyDescent="0.25">
      <c r="C4" s="17" t="s">
        <v>31</v>
      </c>
      <c r="D4" s="17" t="s">
        <v>32</v>
      </c>
      <c r="E4" s="17" t="s">
        <v>33</v>
      </c>
      <c r="F4" s="17" t="s">
        <v>34</v>
      </c>
      <c r="G4" s="17" t="s">
        <v>35</v>
      </c>
      <c r="H4" s="17" t="s">
        <v>36</v>
      </c>
    </row>
    <row r="5" spans="3:8" ht="15.75" customHeight="1" x14ac:dyDescent="0.25">
      <c r="C5" s="36" t="s">
        <v>41</v>
      </c>
      <c r="D5" s="36" t="s">
        <v>47</v>
      </c>
      <c r="E5" s="37" t="s">
        <v>17</v>
      </c>
      <c r="F5" s="38">
        <v>56</v>
      </c>
      <c r="G5" s="21">
        <v>408</v>
      </c>
      <c r="H5" s="39">
        <f t="shared" ref="H5:H15" si="0">F5*G5</f>
        <v>22848</v>
      </c>
    </row>
    <row r="6" spans="3:8" ht="15.75" customHeight="1" x14ac:dyDescent="0.25">
      <c r="C6" s="40" t="s">
        <v>41</v>
      </c>
      <c r="D6" s="40" t="s">
        <v>48</v>
      </c>
      <c r="E6" s="41" t="s">
        <v>17</v>
      </c>
      <c r="F6" s="42">
        <v>20</v>
      </c>
      <c r="G6" s="25">
        <v>2000</v>
      </c>
      <c r="H6" s="43">
        <f t="shared" si="0"/>
        <v>40000</v>
      </c>
    </row>
    <row r="7" spans="3:8" ht="15.75" customHeight="1" x14ac:dyDescent="0.25">
      <c r="C7" s="36" t="s">
        <v>41</v>
      </c>
      <c r="D7" s="36" t="s">
        <v>49</v>
      </c>
      <c r="E7" s="37" t="s">
        <v>17</v>
      </c>
      <c r="F7" s="38">
        <v>20</v>
      </c>
      <c r="G7" s="21">
        <v>2549</v>
      </c>
      <c r="H7" s="39">
        <f t="shared" si="0"/>
        <v>50980</v>
      </c>
    </row>
    <row r="8" spans="3:8" ht="15.75" customHeight="1" x14ac:dyDescent="0.25">
      <c r="C8" s="40" t="s">
        <v>43</v>
      </c>
      <c r="D8" s="40" t="s">
        <v>47</v>
      </c>
      <c r="E8" s="41" t="s">
        <v>17</v>
      </c>
      <c r="F8" s="42">
        <v>20</v>
      </c>
      <c r="G8" s="25">
        <v>408</v>
      </c>
      <c r="H8" s="43">
        <f t="shared" si="0"/>
        <v>8160</v>
      </c>
    </row>
    <row r="9" spans="3:8" ht="15.75" customHeight="1" x14ac:dyDescent="0.25">
      <c r="C9" s="36" t="s">
        <v>43</v>
      </c>
      <c r="D9" s="36" t="s">
        <v>50</v>
      </c>
      <c r="E9" s="37" t="s">
        <v>17</v>
      </c>
      <c r="F9" s="38">
        <v>20</v>
      </c>
      <c r="G9" s="21">
        <v>4859</v>
      </c>
      <c r="H9" s="39">
        <f t="shared" si="0"/>
        <v>97180</v>
      </c>
    </row>
    <row r="10" spans="3:8" ht="15.75" customHeight="1" x14ac:dyDescent="0.25">
      <c r="C10" s="40" t="s">
        <v>43</v>
      </c>
      <c r="D10" s="40" t="s">
        <v>51</v>
      </c>
      <c r="E10" s="41" t="s">
        <v>17</v>
      </c>
      <c r="F10" s="42">
        <v>20</v>
      </c>
      <c r="G10" s="25">
        <v>3239</v>
      </c>
      <c r="H10" s="43">
        <f t="shared" si="0"/>
        <v>64780</v>
      </c>
    </row>
    <row r="11" spans="3:8" ht="15.75" customHeight="1" x14ac:dyDescent="0.25">
      <c r="C11" s="36" t="s">
        <v>44</v>
      </c>
      <c r="D11" s="36" t="s">
        <v>52</v>
      </c>
      <c r="E11" s="37" t="s">
        <v>17</v>
      </c>
      <c r="F11" s="38">
        <v>4</v>
      </c>
      <c r="G11" s="21">
        <v>9000</v>
      </c>
      <c r="H11" s="39">
        <f t="shared" si="0"/>
        <v>36000</v>
      </c>
    </row>
    <row r="12" spans="3:8" ht="15.75" customHeight="1" x14ac:dyDescent="0.25">
      <c r="C12" s="40" t="s">
        <v>53</v>
      </c>
      <c r="D12" s="40" t="s">
        <v>54</v>
      </c>
      <c r="E12" s="41" t="s">
        <v>17</v>
      </c>
      <c r="F12" s="42">
        <v>3</v>
      </c>
      <c r="G12" s="25">
        <v>4589</v>
      </c>
      <c r="H12" s="43">
        <f t="shared" si="0"/>
        <v>13767</v>
      </c>
    </row>
    <row r="13" spans="3:8" ht="15.75" customHeight="1" x14ac:dyDescent="0.25">
      <c r="C13" s="36" t="s">
        <v>53</v>
      </c>
      <c r="D13" s="36" t="s">
        <v>55</v>
      </c>
      <c r="E13" s="37" t="s">
        <v>17</v>
      </c>
      <c r="F13" s="38">
        <v>2</v>
      </c>
      <c r="G13" s="21">
        <v>430</v>
      </c>
      <c r="H13" s="39">
        <f t="shared" si="0"/>
        <v>860</v>
      </c>
    </row>
    <row r="14" spans="3:8" ht="15.75" customHeight="1" x14ac:dyDescent="0.25">
      <c r="C14" s="40" t="s">
        <v>53</v>
      </c>
      <c r="D14" s="40" t="s">
        <v>56</v>
      </c>
      <c r="E14" s="41" t="s">
        <v>17</v>
      </c>
      <c r="F14" s="42">
        <v>1</v>
      </c>
      <c r="G14" s="25">
        <v>1009</v>
      </c>
      <c r="H14" s="43">
        <f t="shared" si="0"/>
        <v>1009</v>
      </c>
    </row>
    <row r="15" spans="3:8" ht="15.75" customHeight="1" x14ac:dyDescent="0.25">
      <c r="C15" s="36" t="s">
        <v>53</v>
      </c>
      <c r="D15" s="36" t="s">
        <v>57</v>
      </c>
      <c r="E15" s="37" t="s">
        <v>17</v>
      </c>
      <c r="F15" s="38">
        <v>1</v>
      </c>
      <c r="G15" s="21">
        <v>3800</v>
      </c>
      <c r="H15" s="39">
        <f t="shared" si="0"/>
        <v>3800</v>
      </c>
    </row>
    <row r="16" spans="3:8" ht="21.75" customHeight="1" x14ac:dyDescent="0.25">
      <c r="C16" s="11" t="s">
        <v>45</v>
      </c>
      <c r="D16" s="11"/>
      <c r="E16" s="11"/>
      <c r="F16" s="44">
        <f>SUM(F5:F15)</f>
        <v>167</v>
      </c>
      <c r="G16" s="45">
        <f>SUM(G5:G15)</f>
        <v>32291</v>
      </c>
      <c r="H16" s="45">
        <f>SUM(H5:H15)</f>
        <v>339384</v>
      </c>
    </row>
    <row r="18" spans="3:8" ht="27.75" customHeight="1" x14ac:dyDescent="0.25">
      <c r="C18" s="1"/>
      <c r="D18" s="1"/>
      <c r="E18" s="1"/>
      <c r="F18" s="1"/>
      <c r="G18" s="1"/>
      <c r="H18" s="1"/>
    </row>
  </sheetData>
  <mergeCells count="4">
    <mergeCell ref="C1:H1"/>
    <mergeCell ref="C2:H2"/>
    <mergeCell ref="C16:E16"/>
    <mergeCell ref="C18:H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28"/>
  <sheetViews>
    <sheetView showGridLines="0" zoomScale="156" zoomScaleNormal="156" workbookViewId="0">
      <selection activeCell="K3" sqref="K3"/>
    </sheetView>
  </sheetViews>
  <sheetFormatPr baseColWidth="10" defaultColWidth="8.7109375" defaultRowHeight="15" x14ac:dyDescent="0.25"/>
  <cols>
    <col min="2" max="2" width="26" customWidth="1"/>
    <col min="3" max="3" width="10" customWidth="1"/>
    <col min="4" max="4" width="32" customWidth="1"/>
    <col min="5" max="5" width="10" style="47" customWidth="1"/>
    <col min="6" max="6" width="8" customWidth="1"/>
    <col min="7" max="7" width="9" customWidth="1"/>
    <col min="8" max="8" width="13.28515625" customWidth="1"/>
    <col min="9" max="9" width="14.42578125" customWidth="1"/>
  </cols>
  <sheetData>
    <row r="1" spans="3:9" ht="38.25" customHeight="1" x14ac:dyDescent="0.25">
      <c r="C1" s="87" t="s">
        <v>58</v>
      </c>
      <c r="D1" s="87"/>
      <c r="E1" s="87"/>
      <c r="F1" s="87"/>
      <c r="G1" s="87"/>
      <c r="H1" s="87"/>
      <c r="I1" s="87"/>
    </row>
    <row r="2" spans="3:9" ht="38.25" customHeight="1" thickBot="1" x14ac:dyDescent="0.3">
      <c r="C2" s="88"/>
      <c r="D2" s="88"/>
      <c r="E2" s="88"/>
      <c r="F2" s="88"/>
      <c r="G2" s="88"/>
      <c r="H2" s="88"/>
      <c r="I2" s="88"/>
    </row>
    <row r="3" spans="3:9" ht="31.5" customHeight="1" thickBot="1" x14ac:dyDescent="0.3">
      <c r="C3" s="48" t="s">
        <v>31</v>
      </c>
      <c r="D3" s="48" t="s">
        <v>59</v>
      </c>
      <c r="E3" s="48" t="s">
        <v>60</v>
      </c>
      <c r="F3" s="48" t="s">
        <v>61</v>
      </c>
      <c r="G3" s="48" t="s">
        <v>62</v>
      </c>
      <c r="H3" s="48" t="s">
        <v>35</v>
      </c>
      <c r="I3" s="48" t="s">
        <v>36</v>
      </c>
    </row>
    <row r="4" spans="3:9" ht="15.75" customHeight="1" x14ac:dyDescent="0.25">
      <c r="C4" s="49" t="s">
        <v>37</v>
      </c>
      <c r="D4" s="49" t="s">
        <v>63</v>
      </c>
      <c r="E4" s="50" t="s">
        <v>64</v>
      </c>
      <c r="F4" s="50" t="s">
        <v>21</v>
      </c>
      <c r="G4" s="51">
        <v>25</v>
      </c>
      <c r="H4" s="52">
        <v>183</v>
      </c>
      <c r="I4" s="53">
        <f>G4*H4</f>
        <v>4575</v>
      </c>
    </row>
    <row r="5" spans="3:9" ht="15.75" customHeight="1" x14ac:dyDescent="0.25">
      <c r="C5" s="54" t="s">
        <v>37</v>
      </c>
      <c r="D5" s="54" t="s">
        <v>65</v>
      </c>
      <c r="E5" s="55" t="s">
        <v>64</v>
      </c>
      <c r="F5" s="55" t="s">
        <v>21</v>
      </c>
      <c r="G5" s="56">
        <v>2</v>
      </c>
      <c r="H5" s="57">
        <v>89</v>
      </c>
      <c r="I5" s="58">
        <f>G5*H5</f>
        <v>178</v>
      </c>
    </row>
    <row r="6" spans="3:9" ht="15.75" customHeight="1" x14ac:dyDescent="0.25">
      <c r="C6" s="54"/>
      <c r="D6" s="54"/>
      <c r="E6" s="55"/>
      <c r="F6" s="55"/>
      <c r="G6" s="56"/>
      <c r="H6" s="57"/>
      <c r="I6" s="58"/>
    </row>
    <row r="7" spans="3:9" ht="15.75" customHeight="1" x14ac:dyDescent="0.25">
      <c r="C7" s="49" t="s">
        <v>66</v>
      </c>
      <c r="D7" s="49" t="s">
        <v>67</v>
      </c>
      <c r="E7" s="50" t="s">
        <v>64</v>
      </c>
      <c r="F7" s="50" t="s">
        <v>21</v>
      </c>
      <c r="G7" s="51">
        <v>13</v>
      </c>
      <c r="H7" s="52">
        <v>89</v>
      </c>
      <c r="I7" s="53">
        <f t="shared" ref="I7:I19" si="0">G7*H7</f>
        <v>1157</v>
      </c>
    </row>
    <row r="8" spans="3:9" ht="15.75" customHeight="1" x14ac:dyDescent="0.25">
      <c r="C8" s="54" t="s">
        <v>37</v>
      </c>
      <c r="D8" s="54" t="s">
        <v>68</v>
      </c>
      <c r="E8" s="55" t="s">
        <v>64</v>
      </c>
      <c r="F8" s="55" t="s">
        <v>21</v>
      </c>
      <c r="G8" s="56">
        <v>25</v>
      </c>
      <c r="H8" s="57">
        <v>75</v>
      </c>
      <c r="I8" s="58">
        <f t="shared" si="0"/>
        <v>1875</v>
      </c>
    </row>
    <row r="9" spans="3:9" ht="15.75" customHeight="1" x14ac:dyDescent="0.25">
      <c r="C9" s="49" t="s">
        <v>66</v>
      </c>
      <c r="D9" s="49" t="s">
        <v>69</v>
      </c>
      <c r="E9" s="50" t="s">
        <v>64</v>
      </c>
      <c r="F9" s="50" t="s">
        <v>21</v>
      </c>
      <c r="G9" s="51">
        <v>1</v>
      </c>
      <c r="H9" s="52">
        <v>678</v>
      </c>
      <c r="I9" s="53">
        <f t="shared" si="0"/>
        <v>678</v>
      </c>
    </row>
    <row r="10" spans="3:9" ht="15.75" customHeight="1" x14ac:dyDescent="0.25">
      <c r="C10" s="54" t="s">
        <v>66</v>
      </c>
      <c r="D10" s="54" t="s">
        <v>70</v>
      </c>
      <c r="E10" s="55" t="s">
        <v>64</v>
      </c>
      <c r="F10" s="55" t="s">
        <v>21</v>
      </c>
      <c r="G10" s="56">
        <v>1</v>
      </c>
      <c r="H10" s="57">
        <v>113</v>
      </c>
      <c r="I10" s="58">
        <f t="shared" si="0"/>
        <v>113</v>
      </c>
    </row>
    <row r="11" spans="3:9" ht="15.75" customHeight="1" x14ac:dyDescent="0.25">
      <c r="C11" s="49" t="s">
        <v>37</v>
      </c>
      <c r="D11" s="49" t="s">
        <v>71</v>
      </c>
      <c r="E11" s="50" t="s">
        <v>64</v>
      </c>
      <c r="F11" s="50" t="s">
        <v>21</v>
      </c>
      <c r="G11" s="51">
        <v>16</v>
      </c>
      <c r="H11" s="52">
        <v>299</v>
      </c>
      <c r="I11" s="53">
        <f t="shared" si="0"/>
        <v>4784</v>
      </c>
    </row>
    <row r="12" spans="3:9" ht="15.75" customHeight="1" x14ac:dyDescent="0.25">
      <c r="C12" s="54" t="s">
        <v>53</v>
      </c>
      <c r="D12" s="54" t="s">
        <v>72</v>
      </c>
      <c r="E12" s="55" t="s">
        <v>64</v>
      </c>
      <c r="F12" s="55" t="s">
        <v>21</v>
      </c>
      <c r="G12" s="56">
        <v>1</v>
      </c>
      <c r="H12" s="57">
        <v>399</v>
      </c>
      <c r="I12" s="58">
        <f t="shared" si="0"/>
        <v>399</v>
      </c>
    </row>
    <row r="13" spans="3:9" ht="15.75" customHeight="1" x14ac:dyDescent="0.25">
      <c r="C13" s="49" t="s">
        <v>37</v>
      </c>
      <c r="D13" s="49" t="s">
        <v>73</v>
      </c>
      <c r="E13" s="50" t="s">
        <v>64</v>
      </c>
      <c r="F13" s="50" t="s">
        <v>21</v>
      </c>
      <c r="G13" s="51">
        <v>3</v>
      </c>
      <c r="H13" s="52">
        <v>1500</v>
      </c>
      <c r="I13" s="53">
        <f t="shared" si="0"/>
        <v>4500</v>
      </c>
    </row>
    <row r="14" spans="3:9" ht="15.75" customHeight="1" x14ac:dyDescent="0.25">
      <c r="C14" s="54" t="s">
        <v>37</v>
      </c>
      <c r="D14" s="54" t="s">
        <v>74</v>
      </c>
      <c r="E14" s="55" t="s">
        <v>64</v>
      </c>
      <c r="F14" s="55" t="s">
        <v>21</v>
      </c>
      <c r="G14" s="56">
        <v>324</v>
      </c>
      <c r="H14" s="57">
        <v>120</v>
      </c>
      <c r="I14" s="58">
        <f t="shared" si="0"/>
        <v>38880</v>
      </c>
    </row>
    <row r="15" spans="3:9" ht="15.75" customHeight="1" x14ac:dyDescent="0.25">
      <c r="C15" s="49" t="s">
        <v>37</v>
      </c>
      <c r="D15" s="49" t="s">
        <v>75</v>
      </c>
      <c r="E15" s="50" t="s">
        <v>64</v>
      </c>
      <c r="F15" s="50" t="s">
        <v>21</v>
      </c>
      <c r="G15" s="51">
        <v>26</v>
      </c>
      <c r="H15" s="52">
        <v>128</v>
      </c>
      <c r="I15" s="53">
        <f t="shared" si="0"/>
        <v>3328</v>
      </c>
    </row>
    <row r="16" spans="3:9" ht="15.75" customHeight="1" x14ac:dyDescent="0.25">
      <c r="C16" s="54" t="s">
        <v>66</v>
      </c>
      <c r="D16" s="54" t="s">
        <v>76</v>
      </c>
      <c r="E16" s="55" t="s">
        <v>64</v>
      </c>
      <c r="F16" s="55" t="s">
        <v>21</v>
      </c>
      <c r="G16" s="56">
        <v>1</v>
      </c>
      <c r="H16" s="57">
        <v>2194.9899999999998</v>
      </c>
      <c r="I16" s="58">
        <f t="shared" si="0"/>
        <v>2194.9899999999998</v>
      </c>
    </row>
    <row r="17" spans="3:9" ht="15.75" customHeight="1" x14ac:dyDescent="0.25">
      <c r="C17" s="49" t="s">
        <v>66</v>
      </c>
      <c r="D17" s="49" t="s">
        <v>77</v>
      </c>
      <c r="E17" s="50" t="s">
        <v>64</v>
      </c>
      <c r="F17" s="50" t="s">
        <v>21</v>
      </c>
      <c r="G17" s="51">
        <v>3</v>
      </c>
      <c r="H17" s="52">
        <v>326</v>
      </c>
      <c r="I17" s="53">
        <f t="shared" si="0"/>
        <v>978</v>
      </c>
    </row>
    <row r="18" spans="3:9" ht="15.75" customHeight="1" x14ac:dyDescent="0.25">
      <c r="C18" s="54" t="s">
        <v>66</v>
      </c>
      <c r="D18" s="54" t="s">
        <v>78</v>
      </c>
      <c r="E18" s="55" t="s">
        <v>79</v>
      </c>
      <c r="F18" s="55" t="s">
        <v>21</v>
      </c>
      <c r="G18" s="56">
        <v>5</v>
      </c>
      <c r="H18" s="57">
        <v>26150</v>
      </c>
      <c r="I18" s="58">
        <f t="shared" si="0"/>
        <v>130750</v>
      </c>
    </row>
    <row r="19" spans="3:9" ht="15.75" customHeight="1" x14ac:dyDescent="0.25">
      <c r="C19" s="49" t="s">
        <v>66</v>
      </c>
      <c r="D19" s="49" t="s">
        <v>80</v>
      </c>
      <c r="E19" s="50" t="s">
        <v>79</v>
      </c>
      <c r="F19" s="50" t="s">
        <v>21</v>
      </c>
      <c r="G19" s="51">
        <v>1</v>
      </c>
      <c r="H19" s="52">
        <v>6335</v>
      </c>
      <c r="I19" s="53">
        <f t="shared" si="0"/>
        <v>6335</v>
      </c>
    </row>
    <row r="20" spans="3:9" ht="18" customHeight="1" x14ac:dyDescent="0.25">
      <c r="C20" s="74" t="s">
        <v>81</v>
      </c>
      <c r="D20" s="74"/>
      <c r="E20" s="74"/>
      <c r="F20" s="74"/>
      <c r="G20" s="74"/>
      <c r="H20" s="74"/>
      <c r="I20" s="74"/>
    </row>
    <row r="21" spans="3:9" ht="15.75" customHeight="1" x14ac:dyDescent="0.25">
      <c r="C21" s="49" t="s">
        <v>37</v>
      </c>
      <c r="D21" s="49" t="s">
        <v>82</v>
      </c>
      <c r="E21" s="50" t="s">
        <v>64</v>
      </c>
      <c r="F21" s="59" t="s">
        <v>21</v>
      </c>
      <c r="G21" s="60">
        <v>15</v>
      </c>
      <c r="H21" s="61">
        <v>585</v>
      </c>
      <c r="I21" s="61">
        <f>G21*H21</f>
        <v>8775</v>
      </c>
    </row>
    <row r="22" spans="3:9" ht="15.75" customHeight="1" x14ac:dyDescent="0.25">
      <c r="C22" s="54" t="s">
        <v>44</v>
      </c>
      <c r="D22" s="54" t="s">
        <v>83</v>
      </c>
      <c r="E22" s="55" t="s">
        <v>64</v>
      </c>
      <c r="F22" s="59" t="s">
        <v>21</v>
      </c>
      <c r="G22" s="62">
        <v>4</v>
      </c>
      <c r="H22" s="63">
        <v>487.5</v>
      </c>
      <c r="I22" s="63">
        <f>G22*H22</f>
        <v>1950</v>
      </c>
    </row>
    <row r="23" spans="3:9" ht="15.75" customHeight="1" x14ac:dyDescent="0.25">
      <c r="C23" s="49" t="s">
        <v>37</v>
      </c>
      <c r="D23" s="49" t="s">
        <v>84</v>
      </c>
      <c r="E23" s="50" t="s">
        <v>79</v>
      </c>
      <c r="F23" s="59" t="s">
        <v>21</v>
      </c>
      <c r="G23" s="60">
        <v>3</v>
      </c>
      <c r="H23" s="60">
        <v>11641.5</v>
      </c>
      <c r="I23" s="60">
        <f>G23*H23</f>
        <v>34924.5</v>
      </c>
    </row>
    <row r="24" spans="3:9" ht="15.75" customHeight="1" x14ac:dyDescent="0.25">
      <c r="C24" s="54" t="s">
        <v>66</v>
      </c>
      <c r="D24" s="54" t="s">
        <v>85</v>
      </c>
      <c r="E24" s="55" t="s">
        <v>79</v>
      </c>
      <c r="F24" s="59" t="s">
        <v>21</v>
      </c>
      <c r="G24" s="62">
        <v>7</v>
      </c>
      <c r="H24" s="63">
        <v>2808</v>
      </c>
      <c r="I24" s="63">
        <f>G24*H24</f>
        <v>19656</v>
      </c>
    </row>
    <row r="25" spans="3:9" ht="15.75" customHeight="1" x14ac:dyDescent="0.25">
      <c r="C25" s="49" t="s">
        <v>44</v>
      </c>
      <c r="D25" s="49" t="s">
        <v>86</v>
      </c>
      <c r="E25" s="50" t="s">
        <v>79</v>
      </c>
      <c r="F25" s="59" t="s">
        <v>21</v>
      </c>
      <c r="G25" s="60">
        <v>1</v>
      </c>
      <c r="H25" s="61">
        <v>293184.06</v>
      </c>
      <c r="I25" s="61">
        <f>G25*H25</f>
        <v>293184.06</v>
      </c>
    </row>
    <row r="26" spans="3:9" ht="34.5" customHeight="1" x14ac:dyDescent="0.25">
      <c r="C26" s="75" t="s">
        <v>87</v>
      </c>
      <c r="D26" s="75"/>
      <c r="E26" s="75"/>
      <c r="F26" s="75"/>
      <c r="G26" s="75"/>
      <c r="H26" s="64">
        <f>SUM(H4:H19)</f>
        <v>38678.99</v>
      </c>
      <c r="I26" s="64">
        <f>SUM(I4:I19)</f>
        <v>200724.99</v>
      </c>
    </row>
    <row r="27" spans="3:9" ht="21.75" customHeight="1" x14ac:dyDescent="0.25">
      <c r="C27" s="76" t="s">
        <v>88</v>
      </c>
      <c r="D27" s="76"/>
      <c r="E27" s="76"/>
      <c r="F27" s="76"/>
      <c r="G27" s="76"/>
      <c r="H27" s="76"/>
      <c r="I27" s="64">
        <f>I26+SUM(I21:I25)</f>
        <v>559214.55000000005</v>
      </c>
    </row>
    <row r="28" spans="3:9" ht="27.75" customHeight="1" x14ac:dyDescent="0.25">
      <c r="C28" s="1"/>
      <c r="D28" s="1"/>
      <c r="E28" s="1"/>
      <c r="F28" s="1"/>
      <c r="G28" s="1"/>
      <c r="H28" s="1"/>
      <c r="I28" s="1"/>
    </row>
  </sheetData>
  <mergeCells count="6">
    <mergeCell ref="C28:I28"/>
    <mergeCell ref="C1:I1"/>
    <mergeCell ref="C2:I2"/>
    <mergeCell ref="C20:I20"/>
    <mergeCell ref="C26:G26"/>
    <mergeCell ref="C27:H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H17"/>
  <sheetViews>
    <sheetView showGridLines="0" zoomScale="156" zoomScaleNormal="156" workbookViewId="0">
      <selection activeCell="K6" sqref="K6"/>
    </sheetView>
  </sheetViews>
  <sheetFormatPr baseColWidth="10" defaultColWidth="8.7109375" defaultRowHeight="15" x14ac:dyDescent="0.25"/>
  <cols>
    <col min="2" max="2" width="28.42578125" customWidth="1"/>
    <col min="3" max="3" width="11.5703125" customWidth="1"/>
    <col min="4" max="4" width="32" customWidth="1"/>
    <col min="5" max="5" width="10" customWidth="1"/>
    <col min="6" max="6" width="9" customWidth="1"/>
    <col min="7" max="7" width="16" customWidth="1"/>
    <col min="8" max="8" width="18" customWidth="1"/>
  </cols>
  <sheetData>
    <row r="1" spans="3:8" ht="54" customHeight="1" x14ac:dyDescent="0.25">
      <c r="C1" s="73" t="s">
        <v>89</v>
      </c>
      <c r="D1" s="73"/>
      <c r="E1" s="73"/>
      <c r="F1" s="73"/>
      <c r="G1" s="73"/>
      <c r="H1" s="73"/>
    </row>
    <row r="2" spans="3:8" ht="15.75" customHeight="1" x14ac:dyDescent="0.25">
      <c r="C2" s="1"/>
      <c r="D2" s="1"/>
      <c r="E2" s="1"/>
      <c r="F2" s="1"/>
      <c r="G2" s="1"/>
      <c r="H2" s="1"/>
    </row>
    <row r="4" spans="3:8" ht="21.75" customHeight="1" x14ac:dyDescent="0.25">
      <c r="C4" s="48" t="s">
        <v>31</v>
      </c>
      <c r="D4" s="48" t="s">
        <v>90</v>
      </c>
      <c r="E4" s="48" t="s">
        <v>61</v>
      </c>
      <c r="F4" s="48" t="s">
        <v>34</v>
      </c>
      <c r="G4" s="48" t="s">
        <v>35</v>
      </c>
      <c r="H4" s="48" t="s">
        <v>36</v>
      </c>
    </row>
    <row r="5" spans="3:8" ht="15.75" customHeight="1" x14ac:dyDescent="0.25">
      <c r="C5" s="49" t="s">
        <v>53</v>
      </c>
      <c r="D5" s="49" t="s">
        <v>91</v>
      </c>
      <c r="E5" s="50" t="s">
        <v>17</v>
      </c>
      <c r="F5" s="51">
        <v>1</v>
      </c>
      <c r="G5" s="52">
        <v>10500</v>
      </c>
      <c r="H5" s="53">
        <f t="shared" ref="H5:H11" si="0">F5*G5</f>
        <v>10500</v>
      </c>
    </row>
    <row r="6" spans="3:8" ht="15.75" customHeight="1" x14ac:dyDescent="0.25">
      <c r="C6" s="54" t="s">
        <v>53</v>
      </c>
      <c r="D6" s="54" t="s">
        <v>92</v>
      </c>
      <c r="E6" s="55" t="s">
        <v>17</v>
      </c>
      <c r="F6" s="56">
        <v>1</v>
      </c>
      <c r="G6" s="57">
        <v>7000</v>
      </c>
      <c r="H6" s="58">
        <f t="shared" si="0"/>
        <v>7000</v>
      </c>
    </row>
    <row r="7" spans="3:8" ht="15.75" customHeight="1" x14ac:dyDescent="0.25">
      <c r="C7" s="49" t="s">
        <v>53</v>
      </c>
      <c r="D7" s="49" t="s">
        <v>91</v>
      </c>
      <c r="E7" s="50" t="s">
        <v>17</v>
      </c>
      <c r="F7" s="51">
        <v>1</v>
      </c>
      <c r="G7" s="52">
        <v>8074</v>
      </c>
      <c r="H7" s="53">
        <f t="shared" si="0"/>
        <v>8074</v>
      </c>
    </row>
    <row r="8" spans="3:8" ht="15.75" customHeight="1" x14ac:dyDescent="0.25">
      <c r="C8" s="54" t="s">
        <v>53</v>
      </c>
      <c r="D8" s="54" t="s">
        <v>93</v>
      </c>
      <c r="E8" s="55" t="s">
        <v>17</v>
      </c>
      <c r="F8" s="56">
        <v>2</v>
      </c>
      <c r="G8" s="57">
        <v>32189</v>
      </c>
      <c r="H8" s="58">
        <f t="shared" si="0"/>
        <v>64378</v>
      </c>
    </row>
    <row r="9" spans="3:8" ht="15.75" customHeight="1" x14ac:dyDescent="0.25">
      <c r="C9" s="49" t="s">
        <v>53</v>
      </c>
      <c r="D9" s="49" t="s">
        <v>92</v>
      </c>
      <c r="E9" s="50" t="s">
        <v>17</v>
      </c>
      <c r="F9" s="51">
        <v>1</v>
      </c>
      <c r="G9" s="52">
        <v>4999</v>
      </c>
      <c r="H9" s="53">
        <f t="shared" si="0"/>
        <v>4999</v>
      </c>
    </row>
    <row r="10" spans="3:8" ht="15.75" customHeight="1" x14ac:dyDescent="0.25">
      <c r="C10" s="54" t="s">
        <v>53</v>
      </c>
      <c r="D10" s="54" t="s">
        <v>94</v>
      </c>
      <c r="E10" s="55" t="s">
        <v>17</v>
      </c>
      <c r="F10" s="56">
        <v>1</v>
      </c>
      <c r="G10" s="57">
        <v>5223</v>
      </c>
      <c r="H10" s="58">
        <f t="shared" si="0"/>
        <v>5223</v>
      </c>
    </row>
    <row r="11" spans="3:8" ht="15.75" customHeight="1" x14ac:dyDescent="0.25">
      <c r="C11" s="49" t="s">
        <v>53</v>
      </c>
      <c r="D11" s="49" t="s">
        <v>95</v>
      </c>
      <c r="E11" s="50" t="s">
        <v>17</v>
      </c>
      <c r="F11" s="51">
        <v>1</v>
      </c>
      <c r="G11" s="52">
        <v>8619</v>
      </c>
      <c r="H11" s="53">
        <f t="shared" si="0"/>
        <v>8619</v>
      </c>
    </row>
    <row r="12" spans="3:8" ht="21.75" customHeight="1" x14ac:dyDescent="0.25">
      <c r="C12" s="77" t="s">
        <v>45</v>
      </c>
      <c r="D12" s="77"/>
      <c r="E12" s="77"/>
      <c r="F12" s="65">
        <f>SUM(F5:F11)</f>
        <v>8</v>
      </c>
      <c r="G12" s="64">
        <f>SUM(G5:G11)</f>
        <v>76604</v>
      </c>
      <c r="H12" s="64">
        <f>SUM(H5:H11)</f>
        <v>108793</v>
      </c>
    </row>
    <row r="14" spans="3:8" ht="33" customHeight="1" x14ac:dyDescent="0.25">
      <c r="C14" s="78"/>
      <c r="D14" s="78"/>
      <c r="E14" s="78"/>
      <c r="F14" s="78"/>
      <c r="G14" s="78"/>
      <c r="H14" s="78"/>
    </row>
    <row r="15" spans="3:8" ht="22.5" customHeight="1" x14ac:dyDescent="0.25"/>
    <row r="17" spans="3:8" ht="27.75" customHeight="1" x14ac:dyDescent="0.25">
      <c r="C17" s="79"/>
      <c r="D17" s="79"/>
      <c r="E17" s="79"/>
      <c r="F17" s="79"/>
      <c r="G17" s="79"/>
      <c r="H17" s="79"/>
    </row>
  </sheetData>
  <mergeCells count="5">
    <mergeCell ref="C1:H1"/>
    <mergeCell ref="C2:H2"/>
    <mergeCell ref="C12:E12"/>
    <mergeCell ref="C14:H14"/>
    <mergeCell ref="C17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1"/>
  <sheetViews>
    <sheetView showGridLines="0" zoomScale="115" zoomScaleNormal="115" workbookViewId="0">
      <selection activeCell="M7" sqref="M7"/>
    </sheetView>
  </sheetViews>
  <sheetFormatPr baseColWidth="10" defaultColWidth="8.7109375" defaultRowHeight="15" x14ac:dyDescent="0.25"/>
  <cols>
    <col min="1" max="1" width="19.7109375" customWidth="1"/>
    <col min="2" max="2" width="38.85546875" customWidth="1"/>
    <col min="3" max="3" width="23.5703125" customWidth="1"/>
    <col min="4" max="4" width="25.85546875" customWidth="1"/>
    <col min="5" max="5" width="19" customWidth="1"/>
    <col min="6" max="6" width="24.5703125" customWidth="1"/>
    <col min="7" max="7" width="26" customWidth="1"/>
  </cols>
  <sheetData>
    <row r="1" spans="2:7" ht="103.5" customHeight="1" x14ac:dyDescent="0.25">
      <c r="B1" s="73" t="s">
        <v>96</v>
      </c>
      <c r="C1" s="73"/>
      <c r="D1" s="73"/>
      <c r="E1" s="73"/>
      <c r="F1" s="73"/>
      <c r="G1" s="73"/>
    </row>
    <row r="2" spans="2:7" ht="37.5" customHeight="1" x14ac:dyDescent="0.25">
      <c r="B2" s="1"/>
      <c r="C2" s="1"/>
      <c r="D2" s="1"/>
      <c r="E2" s="1"/>
      <c r="F2" s="1"/>
      <c r="G2" s="1"/>
    </row>
    <row r="4" spans="2:7" ht="21.75" customHeight="1" x14ac:dyDescent="0.25">
      <c r="B4" s="48" t="s">
        <v>97</v>
      </c>
      <c r="C4" s="48" t="s">
        <v>98</v>
      </c>
      <c r="D4" s="48" t="s">
        <v>99</v>
      </c>
      <c r="E4" s="48" t="s">
        <v>61</v>
      </c>
      <c r="F4" s="48" t="s">
        <v>100</v>
      </c>
      <c r="G4" s="48" t="s">
        <v>101</v>
      </c>
    </row>
    <row r="5" spans="2:7" ht="15.75" customHeight="1" x14ac:dyDescent="0.25">
      <c r="B5" s="49" t="s">
        <v>102</v>
      </c>
      <c r="C5" s="49" t="s">
        <v>103</v>
      </c>
      <c r="D5" s="49" t="s">
        <v>104</v>
      </c>
      <c r="E5" s="50" t="s">
        <v>21</v>
      </c>
      <c r="F5" s="52">
        <v>2418</v>
      </c>
      <c r="G5" s="53">
        <f t="shared" ref="G5:G11" si="0">F5*6</f>
        <v>14508</v>
      </c>
    </row>
    <row r="6" spans="2:7" ht="15.75" customHeight="1" x14ac:dyDescent="0.25">
      <c r="B6" s="54" t="s">
        <v>102</v>
      </c>
      <c r="C6" s="54" t="s">
        <v>105</v>
      </c>
      <c r="D6" s="54" t="s">
        <v>104</v>
      </c>
      <c r="E6" s="55" t="s">
        <v>21</v>
      </c>
      <c r="F6" s="57">
        <v>640.5</v>
      </c>
      <c r="G6" s="58">
        <f t="shared" si="0"/>
        <v>3843</v>
      </c>
    </row>
    <row r="7" spans="2:7" ht="15.75" customHeight="1" x14ac:dyDescent="0.25">
      <c r="B7" s="49" t="s">
        <v>106</v>
      </c>
      <c r="C7" s="49" t="s">
        <v>105</v>
      </c>
      <c r="D7" s="49" t="s">
        <v>104</v>
      </c>
      <c r="E7" s="50" t="s">
        <v>21</v>
      </c>
      <c r="F7" s="52">
        <v>932.17</v>
      </c>
      <c r="G7" s="53">
        <f t="shared" si="0"/>
        <v>5593.0199999999995</v>
      </c>
    </row>
    <row r="8" spans="2:7" ht="15.75" customHeight="1" x14ac:dyDescent="0.25">
      <c r="B8" s="54" t="s">
        <v>107</v>
      </c>
      <c r="C8" s="54" t="s">
        <v>105</v>
      </c>
      <c r="D8" s="54" t="s">
        <v>104</v>
      </c>
      <c r="E8" s="55" t="s">
        <v>21</v>
      </c>
      <c r="F8" s="57">
        <v>465.5</v>
      </c>
      <c r="G8" s="58">
        <f t="shared" si="0"/>
        <v>2793</v>
      </c>
    </row>
    <row r="9" spans="2:7" ht="15.75" customHeight="1" x14ac:dyDescent="0.25">
      <c r="B9" s="49" t="s">
        <v>107</v>
      </c>
      <c r="C9" s="49" t="s">
        <v>105</v>
      </c>
      <c r="D9" s="49" t="s">
        <v>104</v>
      </c>
      <c r="E9" s="50" t="s">
        <v>21</v>
      </c>
      <c r="F9" s="52">
        <v>1108.33</v>
      </c>
      <c r="G9" s="53">
        <f t="shared" si="0"/>
        <v>6649.98</v>
      </c>
    </row>
    <row r="10" spans="2:7" ht="15.75" customHeight="1" x14ac:dyDescent="0.25">
      <c r="B10" s="54" t="s">
        <v>107</v>
      </c>
      <c r="C10" s="54" t="s">
        <v>108</v>
      </c>
      <c r="D10" s="54" t="s">
        <v>108</v>
      </c>
      <c r="E10" s="55" t="s">
        <v>21</v>
      </c>
      <c r="F10" s="57">
        <v>1900</v>
      </c>
      <c r="G10" s="58">
        <f t="shared" si="0"/>
        <v>11400</v>
      </c>
    </row>
    <row r="11" spans="2:7" ht="15.75" customHeight="1" x14ac:dyDescent="0.25">
      <c r="B11" s="49" t="s">
        <v>109</v>
      </c>
      <c r="C11" s="49" t="s">
        <v>105</v>
      </c>
      <c r="D11" s="49" t="s">
        <v>104</v>
      </c>
      <c r="E11" s="50" t="s">
        <v>21</v>
      </c>
      <c r="F11" s="52">
        <v>932.17</v>
      </c>
      <c r="G11" s="53">
        <f t="shared" si="0"/>
        <v>5593.0199999999995</v>
      </c>
    </row>
    <row r="12" spans="2:7" ht="21.75" customHeight="1" x14ac:dyDescent="0.25">
      <c r="B12" s="80" t="s">
        <v>45</v>
      </c>
      <c r="C12" s="80"/>
      <c r="D12" s="80"/>
      <c r="E12" s="66"/>
      <c r="F12" s="64">
        <f>SUM(F5:F11)</f>
        <v>8396.67</v>
      </c>
      <c r="G12" s="64">
        <f>SUM(G5:G11)</f>
        <v>50380.02</v>
      </c>
    </row>
    <row r="14" spans="2:7" ht="18" customHeight="1" x14ac:dyDescent="0.25">
      <c r="B14" s="81" t="s">
        <v>110</v>
      </c>
      <c r="C14" s="81"/>
      <c r="D14" s="81"/>
      <c r="E14" s="81"/>
      <c r="F14" s="81"/>
      <c r="G14" s="81"/>
    </row>
    <row r="15" spans="2:7" ht="21.75" customHeight="1" x14ac:dyDescent="0.25">
      <c r="B15" s="49" t="s">
        <v>111</v>
      </c>
      <c r="C15" s="49" t="s">
        <v>112</v>
      </c>
      <c r="D15" s="49" t="s">
        <v>113</v>
      </c>
      <c r="E15" s="50" t="s">
        <v>21</v>
      </c>
      <c r="F15" s="61">
        <v>67725</v>
      </c>
      <c r="G15" s="53">
        <f>F15*6</f>
        <v>406350</v>
      </c>
    </row>
    <row r="16" spans="2:7" ht="21.75" customHeight="1" x14ac:dyDescent="0.25">
      <c r="B16" s="54" t="s">
        <v>114</v>
      </c>
      <c r="C16" s="54" t="s">
        <v>112</v>
      </c>
      <c r="D16" s="54" t="s">
        <v>115</v>
      </c>
      <c r="E16" s="55" t="s">
        <v>21</v>
      </c>
      <c r="F16" s="67">
        <v>0</v>
      </c>
      <c r="G16" s="67">
        <v>0</v>
      </c>
    </row>
    <row r="18" spans="2:8" ht="27.75" customHeight="1" x14ac:dyDescent="0.25">
      <c r="B18" s="82"/>
      <c r="C18" s="82"/>
      <c r="D18" s="82"/>
      <c r="E18" s="82"/>
      <c r="F18" s="82"/>
      <c r="G18" s="82"/>
    </row>
    <row r="21" spans="2:8" ht="15" customHeight="1" x14ac:dyDescent="0.25">
      <c r="H21" s="68"/>
    </row>
  </sheetData>
  <mergeCells count="5">
    <mergeCell ref="B1:G1"/>
    <mergeCell ref="B2:G2"/>
    <mergeCell ref="B12:D12"/>
    <mergeCell ref="B14:G14"/>
    <mergeCell ref="B18:G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H28"/>
  <sheetViews>
    <sheetView showGridLines="0" zoomScaleNormal="100" workbookViewId="0">
      <selection activeCell="K6" sqref="K6"/>
    </sheetView>
  </sheetViews>
  <sheetFormatPr baseColWidth="10" defaultColWidth="8.7109375" defaultRowHeight="15" x14ac:dyDescent="0.25"/>
  <cols>
    <col min="2" max="2" width="17.42578125" customWidth="1"/>
    <col min="3" max="3" width="12" customWidth="1"/>
    <col min="4" max="4" width="34" customWidth="1"/>
    <col min="5" max="5" width="14" customWidth="1"/>
    <col min="6" max="6" width="12" customWidth="1"/>
    <col min="7" max="7" width="10" customWidth="1"/>
    <col min="8" max="8" width="18" customWidth="1"/>
  </cols>
  <sheetData>
    <row r="1" spans="3:8" ht="67.5" customHeight="1" x14ac:dyDescent="0.25">
      <c r="C1" s="13" t="s">
        <v>116</v>
      </c>
      <c r="D1" s="13"/>
      <c r="E1" s="13"/>
      <c r="F1" s="13"/>
      <c r="G1" s="13"/>
      <c r="H1" s="13"/>
    </row>
    <row r="2" spans="3:8" ht="31.5" customHeight="1" x14ac:dyDescent="0.25">
      <c r="C2" s="12"/>
      <c r="D2" s="12"/>
      <c r="E2" s="12"/>
      <c r="F2" s="12"/>
      <c r="G2" s="12"/>
      <c r="H2" s="12"/>
    </row>
    <row r="4" spans="3:8" ht="27.75" customHeight="1" x14ac:dyDescent="0.25">
      <c r="C4" s="17" t="s">
        <v>31</v>
      </c>
      <c r="D4" s="17" t="s">
        <v>117</v>
      </c>
      <c r="E4" s="17" t="s">
        <v>118</v>
      </c>
      <c r="F4" s="17" t="s">
        <v>119</v>
      </c>
      <c r="G4" s="17" t="s">
        <v>61</v>
      </c>
      <c r="H4" s="17" t="s">
        <v>120</v>
      </c>
    </row>
    <row r="5" spans="3:8" ht="15" customHeight="1" x14ac:dyDescent="0.25">
      <c r="C5" s="36" t="s">
        <v>37</v>
      </c>
      <c r="D5" s="36" t="s">
        <v>121</v>
      </c>
      <c r="E5" s="36" t="s">
        <v>122</v>
      </c>
      <c r="F5" s="36" t="s">
        <v>123</v>
      </c>
      <c r="G5" s="36" t="s">
        <v>21</v>
      </c>
      <c r="H5" s="20">
        <v>3709.02</v>
      </c>
    </row>
    <row r="6" spans="3:8" ht="21.75" customHeight="1" x14ac:dyDescent="0.25">
      <c r="C6" s="36" t="s">
        <v>37</v>
      </c>
      <c r="D6" s="36" t="s">
        <v>124</v>
      </c>
      <c r="E6" s="36" t="s">
        <v>125</v>
      </c>
      <c r="F6" s="36" t="s">
        <v>123</v>
      </c>
      <c r="G6" s="36" t="s">
        <v>21</v>
      </c>
      <c r="H6" s="20">
        <v>8392.59</v>
      </c>
    </row>
    <row r="7" spans="3:8" ht="15" customHeight="1" x14ac:dyDescent="0.25">
      <c r="C7" s="36" t="s">
        <v>66</v>
      </c>
      <c r="D7" s="36" t="s">
        <v>121</v>
      </c>
      <c r="E7" s="36" t="s">
        <v>126</v>
      </c>
      <c r="F7" s="36" t="s">
        <v>127</v>
      </c>
      <c r="G7" s="36" t="s">
        <v>21</v>
      </c>
      <c r="H7" s="20">
        <v>6677.09</v>
      </c>
    </row>
    <row r="8" spans="3:8" ht="15" customHeight="1" x14ac:dyDescent="0.25">
      <c r="C8" s="36" t="s">
        <v>66</v>
      </c>
      <c r="D8" s="36" t="s">
        <v>128</v>
      </c>
      <c r="E8" s="36" t="s">
        <v>125</v>
      </c>
      <c r="F8" s="36" t="s">
        <v>127</v>
      </c>
      <c r="G8" s="36" t="s">
        <v>21</v>
      </c>
      <c r="H8" s="20">
        <v>20214.18</v>
      </c>
    </row>
    <row r="9" spans="3:8" ht="15" customHeight="1" x14ac:dyDescent="0.25">
      <c r="C9" s="36" t="s">
        <v>66</v>
      </c>
      <c r="D9" s="36" t="s">
        <v>129</v>
      </c>
      <c r="E9" s="36" t="s">
        <v>126</v>
      </c>
      <c r="F9" s="36" t="s">
        <v>127</v>
      </c>
      <c r="G9" s="36" t="s">
        <v>21</v>
      </c>
      <c r="H9" s="20">
        <v>1240.1600000000001</v>
      </c>
    </row>
    <row r="10" spans="3:8" ht="21.75" customHeight="1" x14ac:dyDescent="0.25">
      <c r="C10" s="36" t="s">
        <v>66</v>
      </c>
      <c r="D10" s="36" t="s">
        <v>124</v>
      </c>
      <c r="E10" s="36" t="s">
        <v>125</v>
      </c>
      <c r="F10" s="36" t="s">
        <v>127</v>
      </c>
      <c r="G10" s="36" t="s">
        <v>21</v>
      </c>
      <c r="H10" s="20">
        <v>6920.07</v>
      </c>
    </row>
    <row r="11" spans="3:8" ht="15" customHeight="1" x14ac:dyDescent="0.25">
      <c r="C11" s="36" t="s">
        <v>66</v>
      </c>
      <c r="D11" s="36" t="s">
        <v>130</v>
      </c>
      <c r="E11" s="36" t="s">
        <v>131</v>
      </c>
      <c r="F11" s="36" t="s">
        <v>127</v>
      </c>
      <c r="G11" s="36" t="s">
        <v>21</v>
      </c>
      <c r="H11" s="20">
        <v>3815.67</v>
      </c>
    </row>
    <row r="12" spans="3:8" ht="15" customHeight="1" x14ac:dyDescent="0.25">
      <c r="C12" s="36" t="s">
        <v>41</v>
      </c>
      <c r="D12" s="36" t="s">
        <v>121</v>
      </c>
      <c r="E12" s="36" t="s">
        <v>126</v>
      </c>
      <c r="F12" s="36" t="s">
        <v>132</v>
      </c>
      <c r="G12" s="36" t="s">
        <v>21</v>
      </c>
      <c r="H12" s="20">
        <v>3905.11</v>
      </c>
    </row>
    <row r="13" spans="3:8" ht="15" customHeight="1" x14ac:dyDescent="0.25">
      <c r="C13" s="36" t="s">
        <v>41</v>
      </c>
      <c r="D13" s="36" t="s">
        <v>128</v>
      </c>
      <c r="E13" s="36" t="s">
        <v>125</v>
      </c>
      <c r="F13" s="36" t="s">
        <v>132</v>
      </c>
      <c r="G13" s="36" t="s">
        <v>21</v>
      </c>
      <c r="H13" s="20">
        <v>14813.86</v>
      </c>
    </row>
    <row r="14" spans="3:8" ht="15" customHeight="1" x14ac:dyDescent="0.25">
      <c r="C14" s="36" t="s">
        <v>41</v>
      </c>
      <c r="D14" s="36" t="s">
        <v>129</v>
      </c>
      <c r="E14" s="36" t="s">
        <v>126</v>
      </c>
      <c r="F14" s="36" t="s">
        <v>132</v>
      </c>
      <c r="G14" s="36" t="s">
        <v>21</v>
      </c>
      <c r="H14" s="20">
        <v>17935.54</v>
      </c>
    </row>
    <row r="15" spans="3:8" ht="21.75" customHeight="1" x14ac:dyDescent="0.25">
      <c r="C15" s="36" t="s">
        <v>41</v>
      </c>
      <c r="D15" s="36" t="s">
        <v>124</v>
      </c>
      <c r="E15" s="36" t="s">
        <v>125</v>
      </c>
      <c r="F15" s="36" t="s">
        <v>132</v>
      </c>
      <c r="G15" s="36" t="s">
        <v>21</v>
      </c>
      <c r="H15" s="20">
        <v>7628.55</v>
      </c>
    </row>
    <row r="16" spans="3:8" ht="15" customHeight="1" x14ac:dyDescent="0.25">
      <c r="C16" s="36" t="s">
        <v>41</v>
      </c>
      <c r="D16" s="36" t="s">
        <v>133</v>
      </c>
      <c r="E16" s="36" t="s">
        <v>131</v>
      </c>
      <c r="F16" s="36" t="s">
        <v>132</v>
      </c>
      <c r="G16" s="36" t="s">
        <v>21</v>
      </c>
      <c r="H16" s="20">
        <v>5613.46</v>
      </c>
    </row>
    <row r="17" spans="3:8" ht="15" customHeight="1" x14ac:dyDescent="0.25">
      <c r="C17" s="36" t="s">
        <v>43</v>
      </c>
      <c r="D17" s="36" t="s">
        <v>128</v>
      </c>
      <c r="E17" s="36" t="s">
        <v>125</v>
      </c>
      <c r="F17" s="36" t="s">
        <v>134</v>
      </c>
      <c r="G17" s="36" t="s">
        <v>21</v>
      </c>
      <c r="H17" s="20">
        <v>21712.57</v>
      </c>
    </row>
    <row r="18" spans="3:8" ht="15" customHeight="1" x14ac:dyDescent="0.25">
      <c r="C18" s="36" t="s">
        <v>43</v>
      </c>
      <c r="D18" s="36" t="s">
        <v>129</v>
      </c>
      <c r="E18" s="36" t="s">
        <v>126</v>
      </c>
      <c r="F18" s="36" t="s">
        <v>134</v>
      </c>
      <c r="G18" s="36" t="s">
        <v>21</v>
      </c>
      <c r="H18" s="20">
        <v>1908.11</v>
      </c>
    </row>
    <row r="19" spans="3:8" ht="21.75" customHeight="1" x14ac:dyDescent="0.25">
      <c r="C19" s="36" t="s">
        <v>43</v>
      </c>
      <c r="D19" s="36" t="s">
        <v>124</v>
      </c>
      <c r="E19" s="36" t="s">
        <v>125</v>
      </c>
      <c r="F19" s="36" t="s">
        <v>134</v>
      </c>
      <c r="G19" s="36" t="s">
        <v>21</v>
      </c>
      <c r="H19" s="20">
        <v>16777.310000000001</v>
      </c>
    </row>
    <row r="20" spans="3:8" ht="15" customHeight="1" x14ac:dyDescent="0.25">
      <c r="C20" s="36" t="s">
        <v>43</v>
      </c>
      <c r="D20" s="36" t="s">
        <v>133</v>
      </c>
      <c r="E20" s="36" t="s">
        <v>126</v>
      </c>
      <c r="F20" s="36" t="s">
        <v>134</v>
      </c>
      <c r="G20" s="36" t="s">
        <v>21</v>
      </c>
      <c r="H20" s="20">
        <v>72</v>
      </c>
    </row>
    <row r="21" spans="3:8" ht="32.25" customHeight="1" x14ac:dyDescent="0.25">
      <c r="C21" s="36" t="s">
        <v>44</v>
      </c>
      <c r="D21" s="36" t="s">
        <v>135</v>
      </c>
      <c r="E21" s="36" t="s">
        <v>136</v>
      </c>
      <c r="F21" s="36" t="s">
        <v>137</v>
      </c>
      <c r="G21" s="36" t="s">
        <v>21</v>
      </c>
      <c r="H21" s="20">
        <v>0</v>
      </c>
    </row>
    <row r="22" spans="3:8" ht="32.25" customHeight="1" x14ac:dyDescent="0.25">
      <c r="C22" s="36" t="s">
        <v>53</v>
      </c>
      <c r="D22" s="36" t="s">
        <v>135</v>
      </c>
      <c r="E22" s="36" t="s">
        <v>136</v>
      </c>
      <c r="F22" s="36" t="s">
        <v>137</v>
      </c>
      <c r="G22" s="36" t="s">
        <v>21</v>
      </c>
      <c r="H22" s="20">
        <v>0</v>
      </c>
    </row>
    <row r="24" spans="3:8" ht="15" customHeight="1" x14ac:dyDescent="0.25">
      <c r="C24" s="11" t="s">
        <v>45</v>
      </c>
      <c r="D24" s="11"/>
      <c r="E24" s="11"/>
      <c r="F24" s="11"/>
      <c r="G24" s="69"/>
      <c r="H24" s="70">
        <f>SUM(H5:H22)</f>
        <v>141335.29000000004</v>
      </c>
    </row>
    <row r="26" spans="3:8" ht="27.75" customHeight="1" x14ac:dyDescent="0.25">
      <c r="C26" s="10"/>
      <c r="D26" s="10"/>
      <c r="E26" s="10"/>
      <c r="F26" s="10"/>
      <c r="G26" s="10"/>
      <c r="H26" s="10"/>
    </row>
    <row r="27" spans="3:8" ht="27.75" customHeight="1" x14ac:dyDescent="0.25">
      <c r="C27" s="10"/>
      <c r="D27" s="10"/>
      <c r="E27" s="10"/>
      <c r="F27" s="10"/>
      <c r="G27" s="10"/>
      <c r="H27" s="10"/>
    </row>
    <row r="28" spans="3:8" ht="27.75" customHeight="1" x14ac:dyDescent="0.25">
      <c r="C28" s="10"/>
      <c r="D28" s="10"/>
      <c r="E28" s="10"/>
      <c r="F28" s="10"/>
      <c r="G28" s="10"/>
      <c r="H28" s="10"/>
    </row>
  </sheetData>
  <mergeCells count="6">
    <mergeCell ref="C28:H28"/>
    <mergeCell ref="C1:H1"/>
    <mergeCell ref="C2:H2"/>
    <mergeCell ref="C24:F24"/>
    <mergeCell ref="C26:H26"/>
    <mergeCell ref="C27:H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GENERAL</vt:lpstr>
      <vt:lpstr>F01 EQUIPO COMPUTO</vt:lpstr>
      <vt:lpstr>F02 ACCESORIOS</vt:lpstr>
      <vt:lpstr>F03 LICENCIAS MXN</vt:lpstr>
      <vt:lpstr>F05 INFRAESTRUCTURA RED</vt:lpstr>
      <vt:lpstr>F06 TELECOMUNICACIONES</vt:lpstr>
      <vt:lpstr>F07 IMPRESORAS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Staff Geolis 2</cp:lastModifiedBy>
  <cp:revision>13</cp:revision>
  <dcterms:created xsi:type="dcterms:W3CDTF">2026-07-11T06:39:48Z</dcterms:created>
  <dcterms:modified xsi:type="dcterms:W3CDTF">2026-07-30T16:38:21Z</dcterms:modified>
  <dc:language>en-US</dc:language>
</cp:coreProperties>
</file>