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munozs\AppData\Local\Microsoft\Windows\INetCache\Content.Outlook\3HGUBS3N\"/>
    </mc:Choice>
  </mc:AlternateContent>
  <xr:revisionPtr revIDLastSave="0" documentId="13_ncr:1_{56F9723E-3615-43A5-8AD7-AE33B0A972D9}" xr6:coauthVersionLast="47" xr6:coauthVersionMax="47" xr10:uidLastSave="{00000000-0000-0000-0000-000000000000}"/>
  <bookViews>
    <workbookView xWindow="-120" yWindow="-120" windowWidth="29040" windowHeight="15840" activeTab="1" xr2:uid="{0EC42E62-3AA2-418A-9307-70AEA63D2282}"/>
  </bookViews>
  <sheets>
    <sheet name="USD" sheetId="1" r:id="rId1"/>
    <sheet name="MN" sheetId="2" r:id="rId2"/>
  </sheets>
  <externalReferences>
    <externalReference r:id="rId3"/>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8" i="1" l="1"/>
  <c r="F118" i="1"/>
  <c r="G118" i="1"/>
  <c r="H118" i="1"/>
  <c r="I118" i="1"/>
  <c r="J118" i="1"/>
  <c r="K118" i="1"/>
  <c r="L118" i="1"/>
  <c r="M118" i="1"/>
  <c r="N118" i="1"/>
  <c r="D118" i="1"/>
  <c r="C118" i="1"/>
  <c r="N140" i="1" l="1"/>
  <c r="M140" i="1"/>
  <c r="L140" i="1"/>
  <c r="K140" i="1"/>
  <c r="J140" i="1"/>
  <c r="I140" i="1"/>
  <c r="H140" i="1"/>
  <c r="G140" i="1"/>
  <c r="F140" i="1"/>
  <c r="E140" i="1"/>
  <c r="D140" i="1"/>
  <c r="C140" i="1"/>
  <c r="M150" i="1"/>
  <c r="L150" i="1"/>
  <c r="K150" i="1"/>
  <c r="J150" i="1"/>
  <c r="I150" i="1"/>
  <c r="H150" i="1"/>
  <c r="G150" i="1"/>
  <c r="F150" i="1"/>
  <c r="E150" i="1"/>
  <c r="D150" i="1"/>
  <c r="C150" i="1"/>
  <c r="M149" i="1"/>
  <c r="L149" i="1"/>
  <c r="K149" i="1"/>
  <c r="J149" i="1"/>
  <c r="I149" i="1"/>
  <c r="H149" i="1"/>
  <c r="G149" i="1"/>
  <c r="F149" i="1"/>
  <c r="E149" i="1"/>
  <c r="D149" i="1"/>
  <c r="C149" i="1"/>
  <c r="M102" i="1"/>
  <c r="L102" i="1"/>
  <c r="K102" i="1"/>
  <c r="J102" i="1"/>
  <c r="I102" i="1"/>
  <c r="H102" i="1"/>
  <c r="G102" i="1"/>
  <c r="F102" i="1"/>
  <c r="E102" i="1"/>
  <c r="D102" i="1"/>
  <c r="C102" i="1"/>
  <c r="N150" i="1"/>
  <c r="N149" i="1"/>
  <c r="N141" i="1"/>
  <c r="M141" i="1"/>
  <c r="L141" i="1"/>
  <c r="K141" i="1"/>
  <c r="J141" i="1"/>
  <c r="I141" i="1"/>
  <c r="H141" i="1"/>
  <c r="G141" i="1"/>
  <c r="F141" i="1"/>
  <c r="E141" i="1"/>
  <c r="D141" i="1"/>
  <c r="C141" i="1"/>
  <c r="N124" i="1"/>
  <c r="M124" i="1"/>
  <c r="L124" i="1"/>
  <c r="K124" i="1"/>
  <c r="J124" i="1"/>
  <c r="I124" i="1"/>
  <c r="H124" i="1"/>
  <c r="G124" i="1"/>
  <c r="F124" i="1"/>
  <c r="E124" i="1"/>
  <c r="D124" i="1"/>
  <c r="C124" i="1"/>
  <c r="N111" i="1"/>
  <c r="M111" i="1"/>
  <c r="L111" i="1"/>
  <c r="K111" i="1"/>
  <c r="J111" i="1"/>
  <c r="I111" i="1"/>
  <c r="H111" i="1"/>
  <c r="G111" i="1"/>
  <c r="F111" i="1"/>
  <c r="E111" i="1"/>
  <c r="D111" i="1"/>
  <c r="C111" i="1"/>
  <c r="N109" i="1"/>
  <c r="M109" i="1"/>
  <c r="L109" i="1"/>
  <c r="K109" i="1"/>
  <c r="J109" i="1"/>
  <c r="I109" i="1"/>
  <c r="H109" i="1"/>
  <c r="G109" i="1"/>
  <c r="F109" i="1"/>
  <c r="E109" i="1"/>
  <c r="D109" i="1"/>
  <c r="C109" i="1"/>
  <c r="N102" i="1"/>
  <c r="N92" i="1"/>
  <c r="M92" i="1"/>
  <c r="L92" i="1"/>
  <c r="K92" i="1"/>
  <c r="J92" i="1"/>
  <c r="I92" i="1"/>
  <c r="H92" i="1"/>
  <c r="G92" i="1"/>
  <c r="F92" i="1"/>
  <c r="E92" i="1"/>
  <c r="D92" i="1"/>
  <c r="C92" i="1"/>
  <c r="N43" i="1"/>
  <c r="M43" i="1"/>
  <c r="L43" i="1"/>
  <c r="K43" i="1"/>
  <c r="J43" i="1"/>
  <c r="I43" i="1"/>
  <c r="H43" i="1"/>
  <c r="G43" i="1"/>
  <c r="F43" i="1"/>
  <c r="E43" i="1"/>
  <c r="D43" i="1"/>
  <c r="C43" i="1"/>
  <c r="N35" i="1"/>
  <c r="M35" i="1"/>
  <c r="L35" i="1"/>
  <c r="K35" i="1"/>
  <c r="J35" i="1"/>
  <c r="I35" i="1"/>
  <c r="H35" i="1"/>
  <c r="G35" i="1"/>
  <c r="F35" i="1"/>
  <c r="E35" i="1"/>
  <c r="D35" i="1"/>
  <c r="C35" i="1"/>
  <c r="N34" i="1"/>
  <c r="M34" i="1"/>
  <c r="L34" i="1"/>
  <c r="K34" i="1"/>
  <c r="J34" i="1"/>
  <c r="I34" i="1"/>
  <c r="H34" i="1"/>
  <c r="G34" i="1"/>
  <c r="F34" i="1"/>
  <c r="E34" i="1"/>
  <c r="D34" i="1"/>
  <c r="C34" i="1"/>
  <c r="N33" i="1"/>
  <c r="M33" i="1"/>
  <c r="L33" i="1"/>
  <c r="K33" i="1"/>
  <c r="J33" i="1"/>
  <c r="I33" i="1"/>
  <c r="H33" i="1"/>
  <c r="G33" i="1"/>
  <c r="F33" i="1"/>
  <c r="E33" i="1"/>
  <c r="D33" i="1"/>
  <c r="C33" i="1"/>
  <c r="N106" i="1"/>
  <c r="M106" i="1"/>
  <c r="L106" i="1"/>
  <c r="K106" i="1"/>
  <c r="J106" i="1"/>
  <c r="I106" i="1"/>
  <c r="H106" i="1"/>
  <c r="G106" i="1"/>
  <c r="F106" i="1"/>
  <c r="E106" i="1"/>
  <c r="D106" i="1"/>
  <c r="C106" i="1"/>
  <c r="N80" i="1"/>
  <c r="M80" i="1"/>
  <c r="L80" i="1"/>
  <c r="K80" i="1"/>
  <c r="J80" i="1"/>
  <c r="I80" i="1"/>
  <c r="H80" i="1"/>
  <c r="G80" i="1"/>
  <c r="F80" i="1"/>
  <c r="E80" i="1"/>
  <c r="D80" i="1"/>
  <c r="C80" i="1"/>
  <c r="N27" i="1"/>
  <c r="M27" i="1"/>
  <c r="L27" i="1"/>
  <c r="K27" i="1"/>
  <c r="J27" i="1"/>
  <c r="I27" i="1"/>
  <c r="H27" i="1"/>
  <c r="G27" i="1"/>
  <c r="F27" i="1"/>
  <c r="E27" i="1"/>
  <c r="D27" i="1"/>
  <c r="C27" i="1"/>
  <c r="E25" i="1"/>
  <c r="E79" i="1" s="1"/>
  <c r="C25" i="1"/>
  <c r="C79" i="1" s="1"/>
  <c r="C153" i="1"/>
  <c r="C135" i="1"/>
  <c r="C108" i="1"/>
  <c r="C19" i="1"/>
  <c r="C18" i="1"/>
  <c r="C16" i="1"/>
  <c r="C15" i="1"/>
  <c r="N148" i="1"/>
  <c r="M148" i="1"/>
  <c r="L148" i="1"/>
  <c r="K148" i="1"/>
  <c r="J148" i="1"/>
  <c r="I148" i="1"/>
  <c r="H148" i="1"/>
  <c r="G148" i="1"/>
  <c r="F148" i="1"/>
  <c r="E148" i="1"/>
  <c r="D148" i="1"/>
  <c r="C148" i="1"/>
  <c r="N122" i="1"/>
  <c r="M122" i="1"/>
  <c r="L122" i="1"/>
  <c r="K122" i="1"/>
  <c r="J122" i="1"/>
  <c r="I122" i="1"/>
  <c r="H122" i="1"/>
  <c r="G122" i="1"/>
  <c r="F122" i="1"/>
  <c r="E122" i="1"/>
  <c r="D122" i="1"/>
  <c r="C122" i="1"/>
  <c r="N101" i="1"/>
  <c r="M101" i="1"/>
  <c r="L101" i="1"/>
  <c r="K101" i="1"/>
  <c r="J101" i="1"/>
  <c r="I101" i="1"/>
  <c r="H101" i="1"/>
  <c r="G101" i="1"/>
  <c r="F101" i="1"/>
  <c r="E101" i="1"/>
  <c r="D101" i="1"/>
  <c r="C101" i="1"/>
  <c r="N100" i="1"/>
  <c r="M100" i="1"/>
  <c r="L100" i="1"/>
  <c r="K100" i="1"/>
  <c r="J100" i="1"/>
  <c r="I100" i="1"/>
  <c r="H100" i="1"/>
  <c r="G100" i="1"/>
  <c r="F100" i="1"/>
  <c r="E100" i="1"/>
  <c r="D100" i="1"/>
  <c r="C100" i="1"/>
  <c r="N99" i="1"/>
  <c r="M99" i="1"/>
  <c r="L99" i="1"/>
  <c r="K99" i="1"/>
  <c r="J99" i="1"/>
  <c r="I99" i="1"/>
  <c r="H99" i="1"/>
  <c r="G99" i="1"/>
  <c r="F99" i="1"/>
  <c r="E99" i="1"/>
  <c r="D99" i="1"/>
  <c r="C99" i="1"/>
  <c r="N88" i="1"/>
  <c r="M88" i="1"/>
  <c r="L88" i="1"/>
  <c r="K88" i="1"/>
  <c r="J88" i="1"/>
  <c r="I88" i="1"/>
  <c r="H88" i="1"/>
  <c r="G88" i="1"/>
  <c r="F88" i="1"/>
  <c r="E88" i="1"/>
  <c r="D88" i="1"/>
  <c r="C88" i="1"/>
  <c r="N84" i="1"/>
  <c r="M84" i="1"/>
  <c r="L84" i="1"/>
  <c r="K84" i="1"/>
  <c r="J84" i="1"/>
  <c r="I84" i="1"/>
  <c r="H84" i="1"/>
  <c r="N74" i="1"/>
  <c r="M74" i="1"/>
  <c r="L74" i="1"/>
  <c r="K74" i="1"/>
  <c r="J74" i="1"/>
  <c r="I74" i="1"/>
  <c r="H74" i="1"/>
  <c r="G74" i="1"/>
  <c r="F74" i="1"/>
  <c r="E74" i="1"/>
  <c r="D74" i="1"/>
  <c r="C74" i="1"/>
  <c r="N70" i="1"/>
  <c r="M70" i="1"/>
  <c r="L70" i="1"/>
  <c r="K70" i="1"/>
  <c r="J70" i="1"/>
  <c r="I70" i="1"/>
  <c r="H70" i="1"/>
  <c r="G70" i="1"/>
  <c r="F70" i="1"/>
  <c r="E70" i="1"/>
  <c r="D70" i="1"/>
  <c r="C70" i="1"/>
  <c r="N66" i="1"/>
  <c r="M66" i="1"/>
  <c r="L66" i="1"/>
  <c r="K66" i="1"/>
  <c r="J66" i="1"/>
  <c r="I66" i="1"/>
  <c r="H66" i="1"/>
  <c r="G66" i="1"/>
  <c r="F66" i="1"/>
  <c r="E66" i="1"/>
  <c r="D66" i="1"/>
  <c r="C66" i="1"/>
  <c r="N57" i="1"/>
  <c r="M57" i="1"/>
  <c r="L57" i="1"/>
  <c r="K57" i="1"/>
  <c r="J57" i="1"/>
  <c r="I57" i="1"/>
  <c r="H57" i="1"/>
  <c r="G57" i="1"/>
  <c r="F57" i="1"/>
  <c r="E57" i="1"/>
  <c r="D57" i="1"/>
  <c r="C57" i="1"/>
  <c r="N55" i="1"/>
  <c r="M55" i="1"/>
  <c r="L55" i="1"/>
  <c r="K55" i="1"/>
  <c r="J55" i="1"/>
  <c r="I55" i="1"/>
  <c r="H55" i="1"/>
  <c r="G55" i="1"/>
  <c r="F55" i="1"/>
  <c r="E55" i="1"/>
  <c r="D55" i="1"/>
  <c r="C55" i="1"/>
  <c r="N52" i="1"/>
  <c r="M52" i="1"/>
  <c r="L52" i="1"/>
  <c r="K52" i="1"/>
  <c r="J52" i="1"/>
  <c r="I52" i="1"/>
  <c r="H52" i="1"/>
  <c r="G52" i="1"/>
  <c r="F52" i="1"/>
  <c r="E52" i="1"/>
  <c r="D52" i="1"/>
  <c r="C52" i="1"/>
  <c r="N51" i="1"/>
  <c r="M51" i="1"/>
  <c r="L51" i="1"/>
  <c r="K51" i="1"/>
  <c r="J51" i="1"/>
  <c r="I51" i="1"/>
  <c r="H51" i="1"/>
  <c r="G51" i="1"/>
  <c r="F51" i="1"/>
  <c r="E51" i="1"/>
  <c r="D51" i="1"/>
  <c r="C51" i="1"/>
  <c r="N49" i="1"/>
  <c r="M49" i="1"/>
  <c r="L49" i="1"/>
  <c r="K49" i="1"/>
  <c r="J49" i="1"/>
  <c r="I49" i="1"/>
  <c r="H49" i="1"/>
  <c r="G49" i="1"/>
  <c r="F49" i="1"/>
  <c r="E49" i="1"/>
  <c r="D49" i="1"/>
  <c r="C49" i="1"/>
  <c r="N12" i="1"/>
  <c r="M12" i="1"/>
  <c r="L12" i="1"/>
  <c r="K12" i="1"/>
  <c r="J12" i="1"/>
  <c r="I12" i="1"/>
  <c r="H12" i="1"/>
  <c r="G12" i="1"/>
  <c r="F12" i="1"/>
  <c r="E12" i="1"/>
  <c r="D12" i="1"/>
  <c r="C12" i="1"/>
  <c r="N11" i="1"/>
  <c r="M11" i="1"/>
  <c r="L11" i="1"/>
  <c r="K11" i="1"/>
  <c r="J11" i="1"/>
  <c r="I11" i="1"/>
  <c r="H11" i="1"/>
  <c r="G11" i="1"/>
  <c r="F11" i="1"/>
  <c r="E11" i="1"/>
  <c r="D11" i="1"/>
  <c r="C11" i="1"/>
  <c r="N10" i="1"/>
  <c r="M10" i="1"/>
  <c r="L10" i="1"/>
  <c r="K10" i="1"/>
  <c r="J10" i="1"/>
  <c r="I10" i="1"/>
  <c r="H10" i="1"/>
  <c r="G10" i="1"/>
  <c r="F10" i="1"/>
  <c r="E10" i="1"/>
  <c r="D10" i="1"/>
  <c r="C10" i="1"/>
  <c r="N9" i="1"/>
  <c r="M9" i="1"/>
  <c r="L9" i="1"/>
  <c r="K9" i="1"/>
  <c r="J9" i="1"/>
  <c r="I9" i="1"/>
  <c r="H9" i="1"/>
  <c r="G9" i="1"/>
  <c r="F9" i="1"/>
  <c r="E9" i="1"/>
  <c r="D9" i="1"/>
  <c r="C9" i="1"/>
  <c r="M5" i="2" l="1"/>
  <c r="E5" i="2"/>
  <c r="F5" i="2"/>
  <c r="G5" i="2"/>
  <c r="H5" i="2"/>
  <c r="I5" i="2"/>
  <c r="J5" i="2"/>
  <c r="K5" i="2"/>
  <c r="L5" i="2"/>
  <c r="N5" i="2"/>
  <c r="N150" i="2"/>
  <c r="M150" i="2"/>
  <c r="L150" i="2"/>
  <c r="K150" i="2"/>
  <c r="J150" i="2"/>
  <c r="I150" i="2"/>
  <c r="H150" i="2"/>
  <c r="G150" i="2"/>
  <c r="F150" i="2"/>
  <c r="E150" i="2"/>
  <c r="D150" i="2"/>
  <c r="C150" i="2"/>
  <c r="D9" i="2"/>
  <c r="E9" i="2"/>
  <c r="F9" i="2"/>
  <c r="G9" i="2"/>
  <c r="H9" i="2"/>
  <c r="I9" i="2"/>
  <c r="J9" i="2"/>
  <c r="K9" i="2"/>
  <c r="L9" i="2"/>
  <c r="M9" i="2"/>
  <c r="N9" i="2"/>
  <c r="C9" i="2"/>
  <c r="D135" i="1"/>
  <c r="E135" i="1" s="1"/>
  <c r="F135" i="1" s="1"/>
  <c r="G135" i="1" s="1"/>
  <c r="H135" i="1" s="1"/>
  <c r="I135" i="1" s="1"/>
  <c r="J135" i="1" s="1"/>
  <c r="K135" i="1" s="1"/>
  <c r="L135" i="1" s="1"/>
  <c r="M135" i="1" s="1"/>
  <c r="N135" i="1" s="1"/>
  <c r="F25" i="1"/>
  <c r="D25" i="1"/>
  <c r="D79" i="1" s="1"/>
  <c r="D19" i="1"/>
  <c r="E19" i="1" s="1"/>
  <c r="F19" i="1" s="1"/>
  <c r="G19" i="1" s="1"/>
  <c r="H19" i="1" s="1"/>
  <c r="I19" i="1" s="1"/>
  <c r="J19" i="1" s="1"/>
  <c r="K19" i="1" s="1"/>
  <c r="L19" i="1" s="1"/>
  <c r="M19" i="1" s="1"/>
  <c r="N19" i="1" s="1"/>
  <c r="D18" i="1"/>
  <c r="E18" i="1" s="1"/>
  <c r="F18" i="1" s="1"/>
  <c r="G18" i="1" s="1"/>
  <c r="H18" i="1" s="1"/>
  <c r="I18" i="1" s="1"/>
  <c r="J18" i="1" s="1"/>
  <c r="K18" i="1" s="1"/>
  <c r="L18" i="1" s="1"/>
  <c r="M18" i="1" s="1"/>
  <c r="N18" i="1" s="1"/>
  <c r="D16" i="1"/>
  <c r="E16" i="1" s="1"/>
  <c r="F16" i="1" s="1"/>
  <c r="G16" i="1" s="1"/>
  <c r="H16" i="1" s="1"/>
  <c r="I16" i="1" s="1"/>
  <c r="J16" i="1" s="1"/>
  <c r="K16" i="1" s="1"/>
  <c r="L16" i="1" s="1"/>
  <c r="M16" i="1" s="1"/>
  <c r="N16" i="1" s="1"/>
  <c r="D15" i="1"/>
  <c r="E15" i="1" s="1"/>
  <c r="F15" i="1" s="1"/>
  <c r="G15" i="1" s="1"/>
  <c r="H15" i="1" s="1"/>
  <c r="I15" i="1" s="1"/>
  <c r="J15" i="1" s="1"/>
  <c r="K15" i="1" s="1"/>
  <c r="L15" i="1" s="1"/>
  <c r="M15" i="1" s="1"/>
  <c r="N15" i="1" s="1"/>
  <c r="G25" i="1" l="1"/>
  <c r="F79" i="1"/>
  <c r="F100" i="2"/>
  <c r="C35" i="2"/>
  <c r="N146" i="2"/>
  <c r="M146" i="2"/>
  <c r="L146" i="2"/>
  <c r="K146" i="2"/>
  <c r="J146" i="2"/>
  <c r="I146" i="2"/>
  <c r="H146" i="2"/>
  <c r="G146" i="2"/>
  <c r="F146" i="2"/>
  <c r="E146" i="2"/>
  <c r="D146" i="2"/>
  <c r="C146" i="2"/>
  <c r="N145" i="2"/>
  <c r="M145" i="2"/>
  <c r="L145" i="2"/>
  <c r="K145" i="2"/>
  <c r="J145" i="2"/>
  <c r="I145" i="2"/>
  <c r="H145" i="2"/>
  <c r="G145" i="2"/>
  <c r="F145" i="2"/>
  <c r="E145" i="2"/>
  <c r="D145" i="2"/>
  <c r="C145" i="2"/>
  <c r="N144" i="2"/>
  <c r="M144" i="2"/>
  <c r="L144" i="2"/>
  <c r="K144" i="2"/>
  <c r="J144" i="2"/>
  <c r="I144" i="2"/>
  <c r="H144" i="2"/>
  <c r="G144" i="2"/>
  <c r="F144" i="2"/>
  <c r="E144" i="2"/>
  <c r="D144" i="2"/>
  <c r="C144" i="2"/>
  <c r="N143" i="2"/>
  <c r="M143" i="2"/>
  <c r="L143" i="2"/>
  <c r="K143" i="2"/>
  <c r="J143" i="2"/>
  <c r="I143" i="2"/>
  <c r="H143" i="2"/>
  <c r="G143" i="2"/>
  <c r="F143" i="2"/>
  <c r="E143" i="2"/>
  <c r="D143" i="2"/>
  <c r="C143" i="2"/>
  <c r="N142" i="2"/>
  <c r="M142" i="2"/>
  <c r="L142" i="2"/>
  <c r="K142" i="2"/>
  <c r="J142" i="2"/>
  <c r="I142" i="2"/>
  <c r="H142" i="2"/>
  <c r="G142" i="2"/>
  <c r="F142" i="2"/>
  <c r="E142" i="2"/>
  <c r="D142" i="2"/>
  <c r="C142" i="2"/>
  <c r="N139" i="2"/>
  <c r="M139" i="2"/>
  <c r="L139" i="2"/>
  <c r="K139" i="2"/>
  <c r="J139" i="2"/>
  <c r="I139" i="2"/>
  <c r="H139" i="2"/>
  <c r="G139" i="2"/>
  <c r="F139" i="2"/>
  <c r="E139" i="2"/>
  <c r="D139" i="2"/>
  <c r="C139" i="2"/>
  <c r="N138" i="2"/>
  <c r="M138" i="2"/>
  <c r="L138" i="2"/>
  <c r="K138" i="2"/>
  <c r="J138" i="2"/>
  <c r="I138" i="2"/>
  <c r="H138" i="2"/>
  <c r="G138" i="2"/>
  <c r="F138" i="2"/>
  <c r="E138" i="2"/>
  <c r="D138" i="2"/>
  <c r="C138" i="2"/>
  <c r="N137" i="2"/>
  <c r="M137" i="2"/>
  <c r="L137" i="2"/>
  <c r="K137" i="2"/>
  <c r="J137" i="2"/>
  <c r="I137" i="2"/>
  <c r="H137" i="2"/>
  <c r="G137" i="2"/>
  <c r="F137" i="2"/>
  <c r="E137" i="2"/>
  <c r="D137" i="2"/>
  <c r="C137" i="2"/>
  <c r="N136" i="2"/>
  <c r="M136" i="2"/>
  <c r="L136" i="2"/>
  <c r="K136" i="2"/>
  <c r="J136" i="2"/>
  <c r="I136" i="2"/>
  <c r="H136" i="2"/>
  <c r="G136" i="2"/>
  <c r="F136" i="2"/>
  <c r="E136" i="2"/>
  <c r="D136" i="2"/>
  <c r="C136" i="2"/>
  <c r="N135" i="2"/>
  <c r="M135" i="2"/>
  <c r="L135" i="2"/>
  <c r="K135" i="2"/>
  <c r="J135" i="2"/>
  <c r="I135" i="2"/>
  <c r="H135" i="2"/>
  <c r="G135" i="2"/>
  <c r="F135" i="2"/>
  <c r="E135" i="2"/>
  <c r="D135" i="2"/>
  <c r="C135" i="2"/>
  <c r="N134" i="2"/>
  <c r="M134" i="2"/>
  <c r="L134" i="2"/>
  <c r="K134" i="2"/>
  <c r="J134" i="2"/>
  <c r="I134" i="2"/>
  <c r="H134" i="2"/>
  <c r="G134" i="2"/>
  <c r="F134" i="2"/>
  <c r="E134" i="2"/>
  <c r="D134" i="2"/>
  <c r="C134" i="2"/>
  <c r="N133" i="2"/>
  <c r="M133" i="2"/>
  <c r="L133" i="2"/>
  <c r="K133" i="2"/>
  <c r="J133" i="2"/>
  <c r="I133" i="2"/>
  <c r="H133" i="2"/>
  <c r="G133" i="2"/>
  <c r="F133" i="2"/>
  <c r="E133" i="2"/>
  <c r="D133" i="2"/>
  <c r="C133" i="2"/>
  <c r="N132" i="2"/>
  <c r="M132" i="2"/>
  <c r="L132" i="2"/>
  <c r="K132" i="2"/>
  <c r="J132" i="2"/>
  <c r="I132" i="2"/>
  <c r="H132" i="2"/>
  <c r="G132" i="2"/>
  <c r="F132" i="2"/>
  <c r="E132" i="2"/>
  <c r="D132" i="2"/>
  <c r="C132" i="2"/>
  <c r="N131" i="2"/>
  <c r="M131" i="2"/>
  <c r="L131" i="2"/>
  <c r="K131" i="2"/>
  <c r="J131" i="2"/>
  <c r="I131" i="2"/>
  <c r="H131" i="2"/>
  <c r="G131" i="2"/>
  <c r="F131" i="2"/>
  <c r="E131" i="2"/>
  <c r="D131" i="2"/>
  <c r="C131" i="2"/>
  <c r="N130" i="2"/>
  <c r="M130" i="2"/>
  <c r="L130" i="2"/>
  <c r="K130" i="2"/>
  <c r="J130" i="2"/>
  <c r="I130" i="2"/>
  <c r="H130" i="2"/>
  <c r="G130" i="2"/>
  <c r="F130" i="2"/>
  <c r="E130" i="2"/>
  <c r="D130" i="2"/>
  <c r="C130" i="2"/>
  <c r="N129" i="2"/>
  <c r="M129" i="2"/>
  <c r="L129" i="2"/>
  <c r="K129" i="2"/>
  <c r="J129" i="2"/>
  <c r="I129" i="2"/>
  <c r="H129" i="2"/>
  <c r="G129" i="2"/>
  <c r="F129" i="2"/>
  <c r="E129" i="2"/>
  <c r="D129" i="2"/>
  <c r="C129" i="2"/>
  <c r="N128" i="2"/>
  <c r="M128" i="2"/>
  <c r="L128" i="2"/>
  <c r="K128" i="2"/>
  <c r="J128" i="2"/>
  <c r="I128" i="2"/>
  <c r="H128" i="2"/>
  <c r="G128" i="2"/>
  <c r="F128" i="2"/>
  <c r="E128" i="2"/>
  <c r="D128" i="2"/>
  <c r="C128" i="2"/>
  <c r="N127" i="2"/>
  <c r="M127" i="2"/>
  <c r="L127" i="2"/>
  <c r="K127" i="2"/>
  <c r="J127" i="2"/>
  <c r="I127" i="2"/>
  <c r="H127" i="2"/>
  <c r="G127" i="2"/>
  <c r="F127" i="2"/>
  <c r="E127" i="2"/>
  <c r="D127" i="2"/>
  <c r="C127" i="2"/>
  <c r="N126" i="2"/>
  <c r="M126" i="2"/>
  <c r="L126" i="2"/>
  <c r="K126" i="2"/>
  <c r="J126" i="2"/>
  <c r="I126" i="2"/>
  <c r="H126" i="2"/>
  <c r="G126" i="2"/>
  <c r="F126" i="2"/>
  <c r="E126" i="2"/>
  <c r="D126" i="2"/>
  <c r="C126" i="2"/>
  <c r="N125" i="2"/>
  <c r="M125" i="2"/>
  <c r="L125" i="2"/>
  <c r="K125" i="2"/>
  <c r="J125" i="2"/>
  <c r="I125" i="2"/>
  <c r="H125" i="2"/>
  <c r="G125" i="2"/>
  <c r="F125" i="2"/>
  <c r="E125" i="2"/>
  <c r="D125" i="2"/>
  <c r="C125" i="2"/>
  <c r="N124" i="2"/>
  <c r="M124" i="2"/>
  <c r="L124" i="2"/>
  <c r="K124" i="2"/>
  <c r="J124" i="2"/>
  <c r="I124" i="2"/>
  <c r="H124" i="2"/>
  <c r="G124" i="2"/>
  <c r="F124" i="2"/>
  <c r="E124" i="2"/>
  <c r="D124" i="2"/>
  <c r="C124" i="2"/>
  <c r="N123" i="2"/>
  <c r="M123" i="2"/>
  <c r="L123" i="2"/>
  <c r="K123" i="2"/>
  <c r="J123" i="2"/>
  <c r="I123" i="2"/>
  <c r="H123" i="2"/>
  <c r="G123" i="2"/>
  <c r="F123" i="2"/>
  <c r="E123" i="2"/>
  <c r="D123" i="2"/>
  <c r="C123" i="2"/>
  <c r="N121" i="2"/>
  <c r="M121" i="2"/>
  <c r="L121" i="2"/>
  <c r="K121" i="2"/>
  <c r="J121" i="2"/>
  <c r="I121" i="2"/>
  <c r="H121" i="2"/>
  <c r="G121" i="2"/>
  <c r="F121" i="2"/>
  <c r="E121" i="2"/>
  <c r="D121" i="2"/>
  <c r="C121" i="2"/>
  <c r="N120" i="2"/>
  <c r="M120" i="2"/>
  <c r="L120" i="2"/>
  <c r="K120" i="2"/>
  <c r="J120" i="2"/>
  <c r="I120" i="2"/>
  <c r="H120" i="2"/>
  <c r="G120" i="2"/>
  <c r="F120" i="2"/>
  <c r="E120" i="2"/>
  <c r="D120" i="2"/>
  <c r="C120" i="2"/>
  <c r="N119" i="2"/>
  <c r="M119" i="2"/>
  <c r="L119" i="2"/>
  <c r="K119" i="2"/>
  <c r="J119" i="2"/>
  <c r="I119" i="2"/>
  <c r="H119" i="2"/>
  <c r="G119" i="2"/>
  <c r="F119" i="2"/>
  <c r="E119" i="2"/>
  <c r="D119" i="2"/>
  <c r="C119" i="2"/>
  <c r="N117" i="2"/>
  <c r="M117" i="2"/>
  <c r="L117" i="2"/>
  <c r="K117" i="2"/>
  <c r="J117" i="2"/>
  <c r="I117" i="2"/>
  <c r="H117" i="2"/>
  <c r="G117" i="2"/>
  <c r="F117" i="2"/>
  <c r="E117" i="2"/>
  <c r="D117" i="2"/>
  <c r="C117" i="2"/>
  <c r="N116" i="2"/>
  <c r="M116" i="2"/>
  <c r="L116" i="2"/>
  <c r="K116" i="2"/>
  <c r="J116" i="2"/>
  <c r="I116" i="2"/>
  <c r="H116" i="2"/>
  <c r="G116" i="2"/>
  <c r="F116" i="2"/>
  <c r="E116" i="2"/>
  <c r="D116" i="2"/>
  <c r="C116" i="2"/>
  <c r="N115" i="2"/>
  <c r="M115" i="2"/>
  <c r="L115" i="2"/>
  <c r="K115" i="2"/>
  <c r="J115" i="2"/>
  <c r="I115" i="2"/>
  <c r="H115" i="2"/>
  <c r="G115" i="2"/>
  <c r="F115" i="2"/>
  <c r="E115" i="2"/>
  <c r="D115" i="2"/>
  <c r="C115" i="2"/>
  <c r="N114" i="2"/>
  <c r="M114" i="2"/>
  <c r="L114" i="2"/>
  <c r="K114" i="2"/>
  <c r="J114" i="2"/>
  <c r="I114" i="2"/>
  <c r="H114" i="2"/>
  <c r="G114" i="2"/>
  <c r="F114" i="2"/>
  <c r="E114" i="2"/>
  <c r="D114" i="2"/>
  <c r="C114" i="2"/>
  <c r="N113" i="2"/>
  <c r="M113" i="2"/>
  <c r="L113" i="2"/>
  <c r="K113" i="2"/>
  <c r="J113" i="2"/>
  <c r="I113" i="2"/>
  <c r="H113" i="2"/>
  <c r="G113" i="2"/>
  <c r="F113" i="2"/>
  <c r="E113" i="2"/>
  <c r="D113" i="2"/>
  <c r="C113" i="2"/>
  <c r="N112" i="2"/>
  <c r="M112" i="2"/>
  <c r="L112" i="2"/>
  <c r="K112" i="2"/>
  <c r="J112" i="2"/>
  <c r="I112" i="2"/>
  <c r="H112" i="2"/>
  <c r="G112" i="2"/>
  <c r="F112" i="2"/>
  <c r="E112" i="2"/>
  <c r="D112" i="2"/>
  <c r="C112" i="2"/>
  <c r="N111" i="2"/>
  <c r="M111" i="2"/>
  <c r="L111" i="2"/>
  <c r="K111" i="2"/>
  <c r="J111" i="2"/>
  <c r="I111" i="2"/>
  <c r="H111" i="2"/>
  <c r="G111" i="2"/>
  <c r="F111" i="2"/>
  <c r="E111" i="2"/>
  <c r="D111" i="2"/>
  <c r="C111" i="2"/>
  <c r="N110" i="2"/>
  <c r="M110" i="2"/>
  <c r="L110" i="2"/>
  <c r="K110" i="2"/>
  <c r="J110" i="2"/>
  <c r="I110" i="2"/>
  <c r="H110" i="2"/>
  <c r="G110" i="2"/>
  <c r="F110" i="2"/>
  <c r="E110" i="2"/>
  <c r="D110" i="2"/>
  <c r="C110" i="2"/>
  <c r="N107" i="2"/>
  <c r="M107" i="2"/>
  <c r="L107" i="2"/>
  <c r="K107" i="2"/>
  <c r="J107" i="2"/>
  <c r="I107" i="2"/>
  <c r="H107" i="2"/>
  <c r="G107" i="2"/>
  <c r="F107" i="2"/>
  <c r="E107" i="2"/>
  <c r="D107" i="2"/>
  <c r="C107" i="2"/>
  <c r="N105" i="2"/>
  <c r="M105" i="2"/>
  <c r="L105" i="2"/>
  <c r="K105" i="2"/>
  <c r="J105" i="2"/>
  <c r="I105" i="2"/>
  <c r="H105" i="2"/>
  <c r="G105" i="2"/>
  <c r="F105" i="2"/>
  <c r="E105" i="2"/>
  <c r="D105" i="2"/>
  <c r="C105" i="2"/>
  <c r="N104" i="2"/>
  <c r="M104" i="2"/>
  <c r="L104" i="2"/>
  <c r="K104" i="2"/>
  <c r="J104" i="2"/>
  <c r="I104" i="2"/>
  <c r="H104" i="2"/>
  <c r="G104" i="2"/>
  <c r="F104" i="2"/>
  <c r="E104" i="2"/>
  <c r="D104" i="2"/>
  <c r="C104" i="2"/>
  <c r="N103" i="2"/>
  <c r="M103" i="2"/>
  <c r="L103" i="2"/>
  <c r="K103" i="2"/>
  <c r="J103" i="2"/>
  <c r="I103" i="2"/>
  <c r="H103" i="2"/>
  <c r="G103" i="2"/>
  <c r="F103" i="2"/>
  <c r="E103" i="2"/>
  <c r="D103" i="2"/>
  <c r="C103" i="2"/>
  <c r="N102" i="2"/>
  <c r="M102" i="2"/>
  <c r="L102" i="2"/>
  <c r="K102" i="2"/>
  <c r="J102" i="2"/>
  <c r="I102" i="2"/>
  <c r="H102" i="2"/>
  <c r="G102" i="2"/>
  <c r="F102" i="2"/>
  <c r="E102" i="2"/>
  <c r="D102" i="2"/>
  <c r="C102" i="2"/>
  <c r="N98" i="2"/>
  <c r="M98" i="2"/>
  <c r="L98" i="2"/>
  <c r="K98" i="2"/>
  <c r="J98" i="2"/>
  <c r="I98" i="2"/>
  <c r="H98" i="2"/>
  <c r="G98" i="2"/>
  <c r="F98" i="2"/>
  <c r="E98" i="2"/>
  <c r="D98" i="2"/>
  <c r="C98" i="2"/>
  <c r="N97" i="2"/>
  <c r="M97" i="2"/>
  <c r="L97" i="2"/>
  <c r="K97" i="2"/>
  <c r="J97" i="2"/>
  <c r="I97" i="2"/>
  <c r="H97" i="2"/>
  <c r="G97" i="2"/>
  <c r="F97" i="2"/>
  <c r="E97" i="2"/>
  <c r="D97" i="2"/>
  <c r="C97" i="2"/>
  <c r="N96" i="2"/>
  <c r="M96" i="2"/>
  <c r="L96" i="2"/>
  <c r="K96" i="2"/>
  <c r="J96" i="2"/>
  <c r="I96" i="2"/>
  <c r="H96" i="2"/>
  <c r="G96" i="2"/>
  <c r="F96" i="2"/>
  <c r="E96" i="2"/>
  <c r="D96" i="2"/>
  <c r="C96" i="2"/>
  <c r="N95" i="2"/>
  <c r="M95" i="2"/>
  <c r="L95" i="2"/>
  <c r="K95" i="2"/>
  <c r="J95" i="2"/>
  <c r="I95" i="2"/>
  <c r="H95" i="2"/>
  <c r="G95" i="2"/>
  <c r="F95" i="2"/>
  <c r="E95" i="2"/>
  <c r="D95" i="2"/>
  <c r="C95" i="2"/>
  <c r="N94" i="2"/>
  <c r="M94" i="2"/>
  <c r="L94" i="2"/>
  <c r="K94" i="2"/>
  <c r="J94" i="2"/>
  <c r="I94" i="2"/>
  <c r="H94" i="2"/>
  <c r="G94" i="2"/>
  <c r="F94" i="2"/>
  <c r="E94" i="2"/>
  <c r="D94" i="2"/>
  <c r="C94" i="2"/>
  <c r="N93" i="2"/>
  <c r="M93" i="2"/>
  <c r="L93" i="2"/>
  <c r="K93" i="2"/>
  <c r="J93" i="2"/>
  <c r="I93" i="2"/>
  <c r="H93" i="2"/>
  <c r="G93" i="2"/>
  <c r="F93" i="2"/>
  <c r="E93" i="2"/>
  <c r="D93" i="2"/>
  <c r="C93" i="2"/>
  <c r="N91" i="2"/>
  <c r="M91" i="2"/>
  <c r="L91" i="2"/>
  <c r="K91" i="2"/>
  <c r="J91" i="2"/>
  <c r="I91" i="2"/>
  <c r="H91" i="2"/>
  <c r="G91" i="2"/>
  <c r="F91" i="2"/>
  <c r="E91" i="2"/>
  <c r="D91" i="2"/>
  <c r="C91" i="2"/>
  <c r="N90" i="2"/>
  <c r="M90" i="2"/>
  <c r="L90" i="2"/>
  <c r="K90" i="2"/>
  <c r="J90" i="2"/>
  <c r="I90" i="2"/>
  <c r="H90" i="2"/>
  <c r="G90" i="2"/>
  <c r="F90" i="2"/>
  <c r="E90" i="2"/>
  <c r="D90" i="2"/>
  <c r="C90" i="2"/>
  <c r="N89" i="2"/>
  <c r="M89" i="2"/>
  <c r="L89" i="2"/>
  <c r="K89" i="2"/>
  <c r="J89" i="2"/>
  <c r="I89" i="2"/>
  <c r="H89" i="2"/>
  <c r="G89" i="2"/>
  <c r="F89" i="2"/>
  <c r="E89" i="2"/>
  <c r="D89" i="2"/>
  <c r="C89" i="2"/>
  <c r="N87" i="2"/>
  <c r="M87" i="2"/>
  <c r="L87" i="2"/>
  <c r="K87" i="2"/>
  <c r="J87" i="2"/>
  <c r="I87" i="2"/>
  <c r="H87" i="2"/>
  <c r="G87" i="2"/>
  <c r="F87" i="2"/>
  <c r="E87" i="2"/>
  <c r="D87" i="2"/>
  <c r="C87" i="2"/>
  <c r="N86" i="2"/>
  <c r="M86" i="2"/>
  <c r="L86" i="2"/>
  <c r="K86" i="2"/>
  <c r="J86" i="2"/>
  <c r="I86" i="2"/>
  <c r="H86" i="2"/>
  <c r="G86" i="2"/>
  <c r="F86" i="2"/>
  <c r="E86" i="2"/>
  <c r="D86" i="2"/>
  <c r="C86" i="2"/>
  <c r="N85" i="2"/>
  <c r="M85" i="2"/>
  <c r="L85" i="2"/>
  <c r="K85" i="2"/>
  <c r="J85" i="2"/>
  <c r="I85" i="2"/>
  <c r="H85" i="2"/>
  <c r="G85" i="2"/>
  <c r="F85" i="2"/>
  <c r="E85" i="2"/>
  <c r="D85" i="2"/>
  <c r="C85" i="2"/>
  <c r="N82" i="2"/>
  <c r="M82" i="2"/>
  <c r="L82" i="2"/>
  <c r="K82" i="2"/>
  <c r="J82" i="2"/>
  <c r="I82" i="2"/>
  <c r="H82" i="2"/>
  <c r="G82" i="2"/>
  <c r="F82" i="2"/>
  <c r="E82" i="2"/>
  <c r="D82" i="2"/>
  <c r="C82" i="2"/>
  <c r="N81" i="2"/>
  <c r="M81" i="2"/>
  <c r="L81" i="2"/>
  <c r="K81" i="2"/>
  <c r="J81" i="2"/>
  <c r="I81" i="2"/>
  <c r="H81" i="2"/>
  <c r="G81" i="2"/>
  <c r="F81" i="2"/>
  <c r="E81" i="2"/>
  <c r="D81" i="2"/>
  <c r="C81" i="2"/>
  <c r="N75" i="2"/>
  <c r="M75" i="2"/>
  <c r="L75" i="2"/>
  <c r="K75" i="2"/>
  <c r="J75" i="2"/>
  <c r="I75" i="2"/>
  <c r="H75" i="2"/>
  <c r="G75" i="2"/>
  <c r="F75" i="2"/>
  <c r="E75" i="2"/>
  <c r="D75" i="2"/>
  <c r="C75" i="2"/>
  <c r="N73" i="2"/>
  <c r="M73" i="2"/>
  <c r="L73" i="2"/>
  <c r="K73" i="2"/>
  <c r="J73" i="2"/>
  <c r="I73" i="2"/>
  <c r="H73" i="2"/>
  <c r="G73" i="2"/>
  <c r="F73" i="2"/>
  <c r="E73" i="2"/>
  <c r="D73" i="2"/>
  <c r="C73" i="2"/>
  <c r="N72" i="2"/>
  <c r="M72" i="2"/>
  <c r="L72" i="2"/>
  <c r="K72" i="2"/>
  <c r="J72" i="2"/>
  <c r="I72" i="2"/>
  <c r="H72" i="2"/>
  <c r="G72" i="2"/>
  <c r="F72" i="2"/>
  <c r="E72" i="2"/>
  <c r="D72" i="2"/>
  <c r="C72" i="2"/>
  <c r="N71" i="2"/>
  <c r="M71" i="2"/>
  <c r="L71" i="2"/>
  <c r="K71" i="2"/>
  <c r="J71" i="2"/>
  <c r="I71" i="2"/>
  <c r="H71" i="2"/>
  <c r="G71" i="2"/>
  <c r="F71" i="2"/>
  <c r="E71" i="2"/>
  <c r="D71" i="2"/>
  <c r="C71" i="2"/>
  <c r="N69" i="2"/>
  <c r="M69" i="2"/>
  <c r="L69" i="2"/>
  <c r="K69" i="2"/>
  <c r="J69" i="2"/>
  <c r="I69" i="2"/>
  <c r="H69" i="2"/>
  <c r="G69" i="2"/>
  <c r="F69" i="2"/>
  <c r="E69" i="2"/>
  <c r="D69" i="2"/>
  <c r="C69" i="2"/>
  <c r="N68" i="2"/>
  <c r="M68" i="2"/>
  <c r="L68" i="2"/>
  <c r="K68" i="2"/>
  <c r="J68" i="2"/>
  <c r="I68" i="2"/>
  <c r="H68" i="2"/>
  <c r="G68" i="2"/>
  <c r="F68" i="2"/>
  <c r="E68" i="2"/>
  <c r="D68" i="2"/>
  <c r="C68" i="2"/>
  <c r="N67" i="2"/>
  <c r="M67" i="2"/>
  <c r="L67" i="2"/>
  <c r="K67" i="2"/>
  <c r="J67" i="2"/>
  <c r="I67" i="2"/>
  <c r="H67" i="2"/>
  <c r="G67" i="2"/>
  <c r="F67" i="2"/>
  <c r="E67" i="2"/>
  <c r="D67" i="2"/>
  <c r="C67" i="2"/>
  <c r="N65" i="2"/>
  <c r="M65" i="2"/>
  <c r="L65" i="2"/>
  <c r="K65" i="2"/>
  <c r="J65" i="2"/>
  <c r="I65" i="2"/>
  <c r="H65" i="2"/>
  <c r="G65" i="2"/>
  <c r="F65" i="2"/>
  <c r="E65" i="2"/>
  <c r="D65" i="2"/>
  <c r="C65" i="2"/>
  <c r="N64" i="2"/>
  <c r="M64" i="2"/>
  <c r="L64" i="2"/>
  <c r="K64" i="2"/>
  <c r="J64" i="2"/>
  <c r="I64" i="2"/>
  <c r="H64" i="2"/>
  <c r="G64" i="2"/>
  <c r="F64" i="2"/>
  <c r="E64" i="2"/>
  <c r="D64" i="2"/>
  <c r="C64" i="2"/>
  <c r="N63" i="2"/>
  <c r="M63" i="2"/>
  <c r="L63" i="2"/>
  <c r="K63" i="2"/>
  <c r="J63" i="2"/>
  <c r="I63" i="2"/>
  <c r="H63" i="2"/>
  <c r="G63" i="2"/>
  <c r="F63" i="2"/>
  <c r="E63" i="2"/>
  <c r="D63" i="2"/>
  <c r="C63" i="2"/>
  <c r="N62" i="2"/>
  <c r="M62" i="2"/>
  <c r="L62" i="2"/>
  <c r="K62" i="2"/>
  <c r="J62" i="2"/>
  <c r="I62" i="2"/>
  <c r="H62" i="2"/>
  <c r="G62" i="2"/>
  <c r="F62" i="2"/>
  <c r="E62" i="2"/>
  <c r="D62" i="2"/>
  <c r="C62" i="2"/>
  <c r="N61" i="2"/>
  <c r="M61" i="2"/>
  <c r="L61" i="2"/>
  <c r="K61" i="2"/>
  <c r="J61" i="2"/>
  <c r="I61" i="2"/>
  <c r="H61" i="2"/>
  <c r="G61" i="2"/>
  <c r="F61" i="2"/>
  <c r="E61" i="2"/>
  <c r="D61" i="2"/>
  <c r="C61" i="2"/>
  <c r="N60" i="2"/>
  <c r="M60" i="2"/>
  <c r="L60" i="2"/>
  <c r="K60" i="2"/>
  <c r="J60" i="2"/>
  <c r="I60" i="2"/>
  <c r="H60" i="2"/>
  <c r="G60" i="2"/>
  <c r="F60" i="2"/>
  <c r="E60" i="2"/>
  <c r="D60" i="2"/>
  <c r="C60" i="2"/>
  <c r="N59" i="2"/>
  <c r="M59" i="2"/>
  <c r="L59" i="2"/>
  <c r="K59" i="2"/>
  <c r="J59" i="2"/>
  <c r="I59" i="2"/>
  <c r="H59" i="2"/>
  <c r="G59" i="2"/>
  <c r="F59" i="2"/>
  <c r="E59" i="2"/>
  <c r="D59" i="2"/>
  <c r="C59" i="2"/>
  <c r="N58" i="2"/>
  <c r="M58" i="2"/>
  <c r="L58" i="2"/>
  <c r="K58" i="2"/>
  <c r="J58" i="2"/>
  <c r="I58" i="2"/>
  <c r="H58" i="2"/>
  <c r="G58" i="2"/>
  <c r="F58" i="2"/>
  <c r="E58" i="2"/>
  <c r="D58" i="2"/>
  <c r="C58" i="2"/>
  <c r="N57" i="2"/>
  <c r="M57" i="2"/>
  <c r="L57" i="2"/>
  <c r="K57" i="2"/>
  <c r="J57" i="2"/>
  <c r="I57" i="2"/>
  <c r="H57" i="2"/>
  <c r="G57" i="2"/>
  <c r="F57" i="2"/>
  <c r="E57" i="2"/>
  <c r="D57" i="2"/>
  <c r="C57" i="2"/>
  <c r="N56" i="2"/>
  <c r="M56" i="2"/>
  <c r="L56" i="2"/>
  <c r="K56" i="2"/>
  <c r="J56" i="2"/>
  <c r="I56" i="2"/>
  <c r="H56" i="2"/>
  <c r="G56" i="2"/>
  <c r="F56" i="2"/>
  <c r="E56" i="2"/>
  <c r="D56" i="2"/>
  <c r="C56" i="2"/>
  <c r="N54" i="2"/>
  <c r="M54" i="2"/>
  <c r="L54" i="2"/>
  <c r="K54" i="2"/>
  <c r="J54" i="2"/>
  <c r="I54" i="2"/>
  <c r="H54" i="2"/>
  <c r="G54" i="2"/>
  <c r="F54" i="2"/>
  <c r="E54" i="2"/>
  <c r="D54" i="2"/>
  <c r="C54" i="2"/>
  <c r="N53" i="2"/>
  <c r="M53" i="2"/>
  <c r="L53" i="2"/>
  <c r="K53" i="2"/>
  <c r="J53" i="2"/>
  <c r="I53" i="2"/>
  <c r="H53" i="2"/>
  <c r="G53" i="2"/>
  <c r="F53" i="2"/>
  <c r="E53" i="2"/>
  <c r="D53" i="2"/>
  <c r="C53" i="2"/>
  <c r="N50" i="2"/>
  <c r="M50" i="2"/>
  <c r="L50" i="2"/>
  <c r="K50" i="2"/>
  <c r="J50" i="2"/>
  <c r="I50" i="2"/>
  <c r="H50" i="2"/>
  <c r="G50" i="2"/>
  <c r="F50" i="2"/>
  <c r="E50" i="2"/>
  <c r="D50" i="2"/>
  <c r="C50" i="2"/>
  <c r="N49" i="2"/>
  <c r="M49" i="2"/>
  <c r="L49" i="2"/>
  <c r="K49" i="2"/>
  <c r="J49" i="2"/>
  <c r="I49" i="2"/>
  <c r="H49" i="2"/>
  <c r="G49" i="2"/>
  <c r="F49" i="2"/>
  <c r="E49" i="2"/>
  <c r="D49" i="2"/>
  <c r="C49" i="2"/>
  <c r="N48" i="2"/>
  <c r="M48" i="2"/>
  <c r="L48" i="2"/>
  <c r="K48" i="2"/>
  <c r="J48" i="2"/>
  <c r="I48" i="2"/>
  <c r="H48" i="2"/>
  <c r="G48" i="2"/>
  <c r="F48" i="2"/>
  <c r="E48" i="2"/>
  <c r="D48" i="2"/>
  <c r="C48" i="2"/>
  <c r="N47" i="2"/>
  <c r="M47" i="2"/>
  <c r="L47" i="2"/>
  <c r="K47" i="2"/>
  <c r="J47" i="2"/>
  <c r="I47" i="2"/>
  <c r="H47" i="2"/>
  <c r="G47" i="2"/>
  <c r="F47" i="2"/>
  <c r="E47" i="2"/>
  <c r="D47" i="2"/>
  <c r="C47" i="2"/>
  <c r="N46" i="2"/>
  <c r="M46" i="2"/>
  <c r="L46" i="2"/>
  <c r="K46" i="2"/>
  <c r="J46" i="2"/>
  <c r="I46" i="2"/>
  <c r="H46" i="2"/>
  <c r="G46" i="2"/>
  <c r="F46" i="2"/>
  <c r="E46" i="2"/>
  <c r="D46" i="2"/>
  <c r="C46" i="2"/>
  <c r="N45" i="2"/>
  <c r="M45" i="2"/>
  <c r="L45" i="2"/>
  <c r="K45" i="2"/>
  <c r="J45" i="2"/>
  <c r="I45" i="2"/>
  <c r="H45" i="2"/>
  <c r="G45" i="2"/>
  <c r="F45" i="2"/>
  <c r="E45" i="2"/>
  <c r="D45" i="2"/>
  <c r="C45" i="2"/>
  <c r="N44" i="2"/>
  <c r="M44" i="2"/>
  <c r="L44" i="2"/>
  <c r="K44" i="2"/>
  <c r="J44" i="2"/>
  <c r="I44" i="2"/>
  <c r="H44" i="2"/>
  <c r="G44" i="2"/>
  <c r="F44" i="2"/>
  <c r="E44" i="2"/>
  <c r="D44" i="2"/>
  <c r="C44" i="2"/>
  <c r="N42" i="2"/>
  <c r="M42" i="2"/>
  <c r="L42" i="2"/>
  <c r="K42" i="2"/>
  <c r="J42" i="2"/>
  <c r="I42" i="2"/>
  <c r="H42" i="2"/>
  <c r="G42" i="2"/>
  <c r="F42" i="2"/>
  <c r="E42" i="2"/>
  <c r="D42" i="2"/>
  <c r="C42" i="2"/>
  <c r="N41" i="2"/>
  <c r="M41" i="2"/>
  <c r="L41" i="2"/>
  <c r="K41" i="2"/>
  <c r="J41" i="2"/>
  <c r="I41" i="2"/>
  <c r="H41" i="2"/>
  <c r="G41" i="2"/>
  <c r="F41" i="2"/>
  <c r="E41" i="2"/>
  <c r="D41" i="2"/>
  <c r="C41" i="2"/>
  <c r="N36" i="2"/>
  <c r="M36" i="2"/>
  <c r="L36" i="2"/>
  <c r="K36" i="2"/>
  <c r="J36" i="2"/>
  <c r="I36" i="2"/>
  <c r="H36" i="2"/>
  <c r="G36" i="2"/>
  <c r="F36" i="2"/>
  <c r="E36" i="2"/>
  <c r="D36" i="2"/>
  <c r="C36" i="2"/>
  <c r="N30" i="2"/>
  <c r="N31" i="2" s="1"/>
  <c r="M30" i="2"/>
  <c r="M31" i="2" s="1"/>
  <c r="L30" i="2"/>
  <c r="L31" i="2" s="1"/>
  <c r="K30" i="2"/>
  <c r="K31" i="2" s="1"/>
  <c r="J30" i="2"/>
  <c r="J31" i="2" s="1"/>
  <c r="I30" i="2"/>
  <c r="I31" i="2" s="1"/>
  <c r="H30" i="2"/>
  <c r="H31" i="2" s="1"/>
  <c r="G30" i="2"/>
  <c r="F30" i="2"/>
  <c r="F31" i="2" s="1"/>
  <c r="E30" i="2"/>
  <c r="E31" i="2" s="1"/>
  <c r="D30" i="2"/>
  <c r="D31" i="2" s="1"/>
  <c r="C30" i="2"/>
  <c r="C31" i="2" s="1"/>
  <c r="N28" i="2"/>
  <c r="M28" i="2"/>
  <c r="L28" i="2"/>
  <c r="K28" i="2"/>
  <c r="J28" i="2"/>
  <c r="I28" i="2"/>
  <c r="H28" i="2"/>
  <c r="G28" i="2"/>
  <c r="F28" i="2"/>
  <c r="E28" i="2"/>
  <c r="D28" i="2"/>
  <c r="C28" i="2"/>
  <c r="G25" i="2"/>
  <c r="G26" i="2" s="1"/>
  <c r="F25" i="2"/>
  <c r="F26" i="2" s="1"/>
  <c r="E25" i="2"/>
  <c r="E26" i="2" s="1"/>
  <c r="D25" i="2"/>
  <c r="D26" i="2" s="1"/>
  <c r="C25" i="2"/>
  <c r="N23" i="2"/>
  <c r="M23" i="2"/>
  <c r="L23" i="2"/>
  <c r="K23" i="2"/>
  <c r="J23" i="2"/>
  <c r="I23" i="2"/>
  <c r="H23" i="2"/>
  <c r="G23" i="2"/>
  <c r="F23" i="2"/>
  <c r="E23" i="2"/>
  <c r="D23" i="2"/>
  <c r="C23" i="2"/>
  <c r="N22" i="2"/>
  <c r="M22" i="2"/>
  <c r="L22" i="2"/>
  <c r="K22" i="2"/>
  <c r="J22" i="2"/>
  <c r="I22" i="2"/>
  <c r="H22" i="2"/>
  <c r="G22" i="2"/>
  <c r="F22" i="2"/>
  <c r="E22" i="2"/>
  <c r="D22" i="2"/>
  <c r="C22" i="2"/>
  <c r="N21" i="2"/>
  <c r="M21" i="2"/>
  <c r="L21" i="2"/>
  <c r="K21" i="2"/>
  <c r="J21" i="2"/>
  <c r="I21" i="2"/>
  <c r="H21" i="2"/>
  <c r="G21" i="2"/>
  <c r="F21" i="2"/>
  <c r="E21" i="2"/>
  <c r="D21" i="2"/>
  <c r="C21" i="2"/>
  <c r="N20" i="2"/>
  <c r="M20" i="2"/>
  <c r="L20" i="2"/>
  <c r="K20" i="2"/>
  <c r="J20" i="2"/>
  <c r="I20" i="2"/>
  <c r="H20" i="2"/>
  <c r="G20" i="2"/>
  <c r="F20" i="2"/>
  <c r="E20" i="2"/>
  <c r="D20" i="2"/>
  <c r="C20" i="2"/>
  <c r="N19" i="2"/>
  <c r="M19" i="2"/>
  <c r="L19" i="2"/>
  <c r="K19" i="2"/>
  <c r="J19" i="2"/>
  <c r="I19" i="2"/>
  <c r="H19" i="2"/>
  <c r="G19" i="2"/>
  <c r="F19" i="2"/>
  <c r="E19" i="2"/>
  <c r="D19" i="2"/>
  <c r="C19" i="2"/>
  <c r="N18" i="2"/>
  <c r="M18" i="2"/>
  <c r="L18" i="2"/>
  <c r="K18" i="2"/>
  <c r="J18" i="2"/>
  <c r="I18" i="2"/>
  <c r="H18" i="2"/>
  <c r="G18" i="2"/>
  <c r="F18" i="2"/>
  <c r="E18" i="2"/>
  <c r="D18" i="2"/>
  <c r="C18" i="2"/>
  <c r="N17" i="2"/>
  <c r="M17" i="2"/>
  <c r="L17" i="2"/>
  <c r="K17" i="2"/>
  <c r="J17" i="2"/>
  <c r="I17" i="2"/>
  <c r="H17" i="2"/>
  <c r="G17" i="2"/>
  <c r="F17" i="2"/>
  <c r="E17" i="2"/>
  <c r="D17" i="2"/>
  <c r="C17" i="2"/>
  <c r="N16" i="2"/>
  <c r="M16" i="2"/>
  <c r="L16" i="2"/>
  <c r="K16" i="2"/>
  <c r="J16" i="2"/>
  <c r="I16" i="2"/>
  <c r="H16" i="2"/>
  <c r="G16" i="2"/>
  <c r="F16" i="2"/>
  <c r="E16" i="2"/>
  <c r="D16" i="2"/>
  <c r="C16" i="2"/>
  <c r="N15" i="2"/>
  <c r="M15" i="2"/>
  <c r="L15" i="2"/>
  <c r="K15" i="2"/>
  <c r="J15" i="2"/>
  <c r="I15" i="2"/>
  <c r="H15" i="2"/>
  <c r="G15" i="2"/>
  <c r="F15" i="2"/>
  <c r="E15" i="2"/>
  <c r="D15" i="2"/>
  <c r="N13" i="2"/>
  <c r="M13" i="2"/>
  <c r="L13" i="2"/>
  <c r="K13" i="2"/>
  <c r="J13" i="2"/>
  <c r="I13" i="2"/>
  <c r="H13" i="2"/>
  <c r="G13" i="2"/>
  <c r="F13" i="2"/>
  <c r="E13" i="2"/>
  <c r="D13" i="2"/>
  <c r="C13" i="2"/>
  <c r="N11" i="2"/>
  <c r="M11" i="2"/>
  <c r="L11" i="2"/>
  <c r="K11" i="2"/>
  <c r="J11" i="2"/>
  <c r="I11" i="2"/>
  <c r="H11" i="2"/>
  <c r="C152" i="2"/>
  <c r="B152" i="2" s="1"/>
  <c r="C77" i="2"/>
  <c r="C78" i="2" s="1"/>
  <c r="C15" i="2"/>
  <c r="D5" i="2"/>
  <c r="C5" i="2"/>
  <c r="B151" i="2"/>
  <c r="B149" i="2"/>
  <c r="B150" i="2" s="1"/>
  <c r="N78" i="2"/>
  <c r="M78" i="2"/>
  <c r="L78" i="2"/>
  <c r="K78" i="2"/>
  <c r="J78" i="2"/>
  <c r="I78" i="2"/>
  <c r="H78" i="2"/>
  <c r="G78" i="2"/>
  <c r="F78" i="2"/>
  <c r="E78" i="2"/>
  <c r="D78" i="2"/>
  <c r="N40" i="2"/>
  <c r="M40" i="2"/>
  <c r="L40" i="2"/>
  <c r="K40" i="2"/>
  <c r="J40" i="2"/>
  <c r="I40" i="2"/>
  <c r="H40" i="2"/>
  <c r="G40" i="2"/>
  <c r="F40" i="2"/>
  <c r="E40" i="2"/>
  <c r="D40" i="2"/>
  <c r="C40" i="2"/>
  <c r="B39" i="2"/>
  <c r="B38" i="2"/>
  <c r="B32" i="2"/>
  <c r="D52" i="2"/>
  <c r="E52" i="2"/>
  <c r="F52" i="2"/>
  <c r="G52" i="2"/>
  <c r="H52" i="2"/>
  <c r="I52" i="2"/>
  <c r="J52" i="2"/>
  <c r="K52" i="2"/>
  <c r="L52" i="2"/>
  <c r="M52" i="2"/>
  <c r="N52" i="2"/>
  <c r="E92" i="2"/>
  <c r="F92" i="2"/>
  <c r="G92" i="2"/>
  <c r="H92" i="2"/>
  <c r="J92" i="2"/>
  <c r="L92" i="2"/>
  <c r="N92" i="2"/>
  <c r="D122" i="2"/>
  <c r="E122" i="2"/>
  <c r="F122" i="2"/>
  <c r="G122" i="2"/>
  <c r="H122" i="2"/>
  <c r="I122" i="2"/>
  <c r="J122" i="2"/>
  <c r="K122" i="2"/>
  <c r="L122" i="2"/>
  <c r="M122" i="2"/>
  <c r="N122" i="2"/>
  <c r="C108" i="2"/>
  <c r="E101" i="2"/>
  <c r="F101" i="2"/>
  <c r="G101" i="2"/>
  <c r="H101" i="2"/>
  <c r="I101" i="2"/>
  <c r="J101" i="2"/>
  <c r="K101" i="2"/>
  <c r="L101" i="2"/>
  <c r="M101" i="2"/>
  <c r="N101" i="2"/>
  <c r="C101" i="2"/>
  <c r="E100" i="2"/>
  <c r="G100" i="2"/>
  <c r="I100" i="2"/>
  <c r="L100" i="2"/>
  <c r="C100" i="2"/>
  <c r="E99" i="2"/>
  <c r="F99" i="2"/>
  <c r="G99" i="2"/>
  <c r="H99" i="2"/>
  <c r="I99" i="2"/>
  <c r="J99" i="2"/>
  <c r="K99" i="2"/>
  <c r="L99" i="2"/>
  <c r="M99" i="2"/>
  <c r="N99" i="2"/>
  <c r="C99" i="2"/>
  <c r="B87" i="1"/>
  <c r="E88" i="2"/>
  <c r="F88" i="2"/>
  <c r="G88" i="2"/>
  <c r="H88" i="2"/>
  <c r="I88" i="2"/>
  <c r="J88" i="2"/>
  <c r="K88" i="2"/>
  <c r="L88" i="2"/>
  <c r="M88" i="2"/>
  <c r="N88" i="2"/>
  <c r="H84" i="2"/>
  <c r="I84" i="2"/>
  <c r="J84" i="2"/>
  <c r="K84" i="2"/>
  <c r="L84" i="2"/>
  <c r="M84" i="2"/>
  <c r="N84" i="2"/>
  <c r="C84" i="2"/>
  <c r="H10" i="2"/>
  <c r="I10" i="2"/>
  <c r="J10" i="2"/>
  <c r="K10" i="2"/>
  <c r="L10" i="2"/>
  <c r="M10" i="2"/>
  <c r="N10" i="2"/>
  <c r="H12" i="2"/>
  <c r="I12" i="2"/>
  <c r="J12" i="2"/>
  <c r="K12" i="2"/>
  <c r="L12" i="2"/>
  <c r="M12" i="2"/>
  <c r="N12" i="2"/>
  <c r="E55" i="2"/>
  <c r="F55" i="2"/>
  <c r="G55" i="2"/>
  <c r="H55" i="2"/>
  <c r="I55" i="2"/>
  <c r="J55" i="2"/>
  <c r="K55" i="2"/>
  <c r="L55" i="2"/>
  <c r="M55" i="2"/>
  <c r="N55" i="2"/>
  <c r="C55" i="2"/>
  <c r="D66" i="2"/>
  <c r="E66" i="2"/>
  <c r="F66" i="2"/>
  <c r="G66" i="2"/>
  <c r="H66" i="2"/>
  <c r="I66" i="2"/>
  <c r="J66" i="2"/>
  <c r="K66" i="2"/>
  <c r="L66" i="2"/>
  <c r="M66" i="2"/>
  <c r="N66" i="2"/>
  <c r="H74" i="2"/>
  <c r="J74" i="2"/>
  <c r="L74" i="2"/>
  <c r="N74" i="2"/>
  <c r="D35" i="2"/>
  <c r="F35" i="2"/>
  <c r="H35" i="2"/>
  <c r="J35" i="2"/>
  <c r="L35" i="2"/>
  <c r="N35" i="2"/>
  <c r="H25" i="1" l="1"/>
  <c r="G79" i="1"/>
  <c r="B47" i="2"/>
  <c r="K24" i="2"/>
  <c r="M24" i="2"/>
  <c r="I24" i="2"/>
  <c r="B73" i="2"/>
  <c r="B133" i="2"/>
  <c r="B57" i="2"/>
  <c r="B97" i="2"/>
  <c r="B117" i="2"/>
  <c r="B89" i="2"/>
  <c r="B77" i="2"/>
  <c r="B78" i="2" s="1"/>
  <c r="E24" i="2"/>
  <c r="J24" i="2"/>
  <c r="B58" i="2"/>
  <c r="B95" i="2"/>
  <c r="B21" i="2"/>
  <c r="B102" i="2"/>
  <c r="B112" i="2"/>
  <c r="B120" i="2"/>
  <c r="B128" i="2"/>
  <c r="B144" i="2"/>
  <c r="L24" i="2"/>
  <c r="B18" i="2"/>
  <c r="B87" i="2"/>
  <c r="B90" i="2"/>
  <c r="B98" i="2"/>
  <c r="B107" i="2"/>
  <c r="B125" i="2"/>
  <c r="B134" i="2"/>
  <c r="B139" i="2"/>
  <c r="B19" i="2"/>
  <c r="B30" i="2"/>
  <c r="B31" i="2" s="1"/>
  <c r="B45" i="2"/>
  <c r="B64" i="2"/>
  <c r="B71" i="2"/>
  <c r="B105" i="2"/>
  <c r="B110" i="2"/>
  <c r="B115" i="2"/>
  <c r="B126" i="2"/>
  <c r="B142" i="2"/>
  <c r="B157" i="2"/>
  <c r="N24" i="2"/>
  <c r="B16" i="2"/>
  <c r="B46" i="2"/>
  <c r="B53" i="2"/>
  <c r="B56" i="2"/>
  <c r="B61" i="2"/>
  <c r="B69" i="2"/>
  <c r="B85" i="2"/>
  <c r="B96" i="2"/>
  <c r="B116" i="2"/>
  <c r="B123" i="2"/>
  <c r="B132" i="2"/>
  <c r="B137" i="2"/>
  <c r="B17" i="2"/>
  <c r="B54" i="2"/>
  <c r="B62" i="2"/>
  <c r="B82" i="2"/>
  <c r="B86" i="2"/>
  <c r="B93" i="2"/>
  <c r="B103" i="2"/>
  <c r="B113" i="2"/>
  <c r="B121" i="2"/>
  <c r="B124" i="2"/>
  <c r="B129" i="2"/>
  <c r="B138" i="2"/>
  <c r="B145" i="2"/>
  <c r="B49" i="2"/>
  <c r="B59" i="2"/>
  <c r="B67" i="2"/>
  <c r="B91" i="2"/>
  <c r="B104" i="2"/>
  <c r="B114" i="2"/>
  <c r="B130" i="2"/>
  <c r="B135" i="2"/>
  <c r="B146" i="2"/>
  <c r="F24" i="2"/>
  <c r="G24" i="2"/>
  <c r="B20" i="2"/>
  <c r="B42" i="2"/>
  <c r="B50" i="2"/>
  <c r="B60" i="2"/>
  <c r="B65" i="2"/>
  <c r="B75" i="2"/>
  <c r="B111" i="2"/>
  <c r="B119" i="2"/>
  <c r="B127" i="2"/>
  <c r="B136" i="2"/>
  <c r="B143" i="2"/>
  <c r="D108" i="1"/>
  <c r="E108" i="1" s="1"/>
  <c r="F108" i="1" s="1"/>
  <c r="G108" i="1" s="1"/>
  <c r="N14" i="2"/>
  <c r="L14" i="2"/>
  <c r="K14" i="2"/>
  <c r="H14" i="2"/>
  <c r="D88" i="2"/>
  <c r="H24" i="2"/>
  <c r="B131" i="2"/>
  <c r="D24" i="2"/>
  <c r="B48" i="2"/>
  <c r="B13" i="2"/>
  <c r="B63" i="2"/>
  <c r="M14" i="2"/>
  <c r="I14" i="2"/>
  <c r="B81" i="2"/>
  <c r="B28" i="2"/>
  <c r="B156" i="2"/>
  <c r="B155" i="2"/>
  <c r="B5" i="2"/>
  <c r="B15" i="2"/>
  <c r="B23" i="2"/>
  <c r="B36" i="2"/>
  <c r="B44" i="2"/>
  <c r="B68" i="2"/>
  <c r="B72" i="2"/>
  <c r="B94" i="2"/>
  <c r="C24" i="2"/>
  <c r="G31" i="2"/>
  <c r="C26" i="2"/>
  <c r="B158" i="2"/>
  <c r="B41" i="2"/>
  <c r="B22" i="2"/>
  <c r="B40" i="2"/>
  <c r="J14" i="2"/>
  <c r="I25" i="1" l="1"/>
  <c r="H79" i="1"/>
  <c r="H25" i="2"/>
  <c r="D108" i="2"/>
  <c r="B24" i="2"/>
  <c r="F108" i="2"/>
  <c r="E108" i="2"/>
  <c r="H108" i="1"/>
  <c r="G108" i="2"/>
  <c r="H26" i="2" l="1"/>
  <c r="J25" i="1"/>
  <c r="I79" i="1"/>
  <c r="I25" i="2"/>
  <c r="I26" i="2" s="1"/>
  <c r="I108" i="1"/>
  <c r="H108" i="2"/>
  <c r="B151" i="1"/>
  <c r="C78" i="1"/>
  <c r="D78" i="1"/>
  <c r="E78" i="1"/>
  <c r="F78" i="1"/>
  <c r="G78" i="1"/>
  <c r="H78" i="1"/>
  <c r="I78" i="1"/>
  <c r="J78" i="1"/>
  <c r="K78" i="1"/>
  <c r="L78" i="1"/>
  <c r="M78" i="1"/>
  <c r="N78" i="1"/>
  <c r="B32" i="1"/>
  <c r="C31" i="1"/>
  <c r="D31" i="1"/>
  <c r="E31" i="1"/>
  <c r="F31" i="1"/>
  <c r="G31" i="1"/>
  <c r="H31" i="1"/>
  <c r="I31" i="1"/>
  <c r="J31" i="1"/>
  <c r="K31" i="1"/>
  <c r="L31" i="1"/>
  <c r="M31" i="1"/>
  <c r="N31" i="1"/>
  <c r="H14" i="1"/>
  <c r="I14" i="1"/>
  <c r="J14" i="1"/>
  <c r="K14" i="1"/>
  <c r="L14" i="1"/>
  <c r="M14" i="1"/>
  <c r="N14" i="1"/>
  <c r="K25" i="1" l="1"/>
  <c r="J79" i="1"/>
  <c r="J25" i="2"/>
  <c r="J26" i="2" s="1"/>
  <c r="J108" i="1"/>
  <c r="I108" i="2"/>
  <c r="N40" i="1"/>
  <c r="M40" i="1"/>
  <c r="L40" i="1"/>
  <c r="K40" i="1"/>
  <c r="J40" i="1"/>
  <c r="I40" i="1"/>
  <c r="H40" i="1"/>
  <c r="G40" i="1"/>
  <c r="F40" i="1"/>
  <c r="E40" i="1"/>
  <c r="D40" i="1"/>
  <c r="C40" i="1"/>
  <c r="B158" i="1"/>
  <c r="B157" i="1"/>
  <c r="B156" i="1"/>
  <c r="B155" i="1"/>
  <c r="B152" i="1"/>
  <c r="B149" i="1"/>
  <c r="B150" i="1" s="1"/>
  <c r="B146" i="1"/>
  <c r="B145" i="1"/>
  <c r="B144" i="1"/>
  <c r="B143" i="1"/>
  <c r="B142" i="1"/>
  <c r="B139" i="1"/>
  <c r="B138" i="1"/>
  <c r="B137" i="1"/>
  <c r="B136" i="1"/>
  <c r="B135" i="1"/>
  <c r="B134" i="1"/>
  <c r="B133" i="1"/>
  <c r="B132" i="1"/>
  <c r="B131" i="1"/>
  <c r="B130" i="1"/>
  <c r="B129" i="1"/>
  <c r="B128" i="1"/>
  <c r="B127" i="1"/>
  <c r="B126" i="1"/>
  <c r="B125" i="1"/>
  <c r="B124" i="1"/>
  <c r="B123" i="1"/>
  <c r="B121" i="1"/>
  <c r="B120" i="1"/>
  <c r="B119" i="1"/>
  <c r="B117" i="1"/>
  <c r="B116" i="1"/>
  <c r="B115" i="1"/>
  <c r="B114" i="1"/>
  <c r="B113" i="1"/>
  <c r="B112" i="1"/>
  <c r="B111" i="1"/>
  <c r="B110" i="1"/>
  <c r="B107" i="1"/>
  <c r="B105" i="1"/>
  <c r="B104" i="1"/>
  <c r="B103" i="1"/>
  <c r="B102" i="1"/>
  <c r="B98" i="1"/>
  <c r="B97" i="1"/>
  <c r="B96" i="1"/>
  <c r="B95" i="1"/>
  <c r="B94" i="1"/>
  <c r="B93" i="1"/>
  <c r="B91" i="1"/>
  <c r="B90" i="1"/>
  <c r="B89" i="1"/>
  <c r="B86" i="1"/>
  <c r="B85" i="1"/>
  <c r="B82" i="1"/>
  <c r="B81" i="1"/>
  <c r="B77" i="1"/>
  <c r="B78" i="1" s="1"/>
  <c r="B75" i="1"/>
  <c r="B73" i="1"/>
  <c r="B72" i="1"/>
  <c r="B71" i="1"/>
  <c r="B69" i="1"/>
  <c r="B68" i="1"/>
  <c r="B67" i="1"/>
  <c r="B65" i="1"/>
  <c r="B64" i="1"/>
  <c r="B63" i="1"/>
  <c r="B62" i="1"/>
  <c r="B61" i="1"/>
  <c r="B60" i="1"/>
  <c r="B59" i="1"/>
  <c r="B58" i="1"/>
  <c r="B57" i="1"/>
  <c r="B56" i="1"/>
  <c r="B54" i="1"/>
  <c r="B53" i="1"/>
  <c r="B50" i="1"/>
  <c r="B49" i="1"/>
  <c r="B48" i="1"/>
  <c r="B47" i="1"/>
  <c r="B46" i="1"/>
  <c r="B45" i="1"/>
  <c r="B44" i="1"/>
  <c r="B42" i="1"/>
  <c r="B41" i="1"/>
  <c r="B39" i="1"/>
  <c r="B38" i="1"/>
  <c r="B36" i="1"/>
  <c r="B30" i="1"/>
  <c r="B31" i="1" s="1"/>
  <c r="B28" i="1"/>
  <c r="K26" i="1"/>
  <c r="J26" i="1"/>
  <c r="I26" i="1"/>
  <c r="H26" i="1"/>
  <c r="G26" i="1"/>
  <c r="F26" i="1"/>
  <c r="E26" i="1"/>
  <c r="D26" i="1"/>
  <c r="C26" i="1"/>
  <c r="N24" i="1"/>
  <c r="M24" i="1"/>
  <c r="L24" i="1"/>
  <c r="K24" i="1"/>
  <c r="J24" i="1"/>
  <c r="I24" i="1"/>
  <c r="H24" i="1"/>
  <c r="G24" i="1"/>
  <c r="F24" i="1"/>
  <c r="E24" i="1"/>
  <c r="D24" i="1"/>
  <c r="C24" i="1"/>
  <c r="B23" i="1"/>
  <c r="B22" i="1"/>
  <c r="B21" i="1"/>
  <c r="B20" i="1"/>
  <c r="B19" i="1"/>
  <c r="B18" i="1"/>
  <c r="B17" i="1"/>
  <c r="B16" i="1"/>
  <c r="B15" i="1"/>
  <c r="B13" i="1"/>
  <c r="B5" i="1"/>
  <c r="L25" i="1" l="1"/>
  <c r="K79" i="1"/>
  <c r="K25" i="2"/>
  <c r="K26" i="2" s="1"/>
  <c r="K108" i="1"/>
  <c r="J108" i="2"/>
  <c r="B40" i="1"/>
  <c r="B24" i="1"/>
  <c r="M25" i="1" l="1"/>
  <c r="L79" i="1"/>
  <c r="L25" i="2"/>
  <c r="L26" i="2" s="1"/>
  <c r="L26" i="1"/>
  <c r="L108" i="1"/>
  <c r="K108" i="2"/>
  <c r="D12" i="2"/>
  <c r="E12" i="2"/>
  <c r="F12" i="2"/>
  <c r="G12" i="2"/>
  <c r="N25" i="1" l="1"/>
  <c r="M79" i="1"/>
  <c r="M25" i="2"/>
  <c r="M26" i="1"/>
  <c r="M108" i="1"/>
  <c r="L108" i="2"/>
  <c r="H100" i="2"/>
  <c r="C70" i="2"/>
  <c r="F10" i="2"/>
  <c r="C12" i="2"/>
  <c r="B12" i="2" s="1"/>
  <c r="B12" i="1"/>
  <c r="G10" i="2"/>
  <c r="M92" i="2"/>
  <c r="M26" i="2" l="1"/>
  <c r="N79" i="1"/>
  <c r="N25" i="2"/>
  <c r="N26" i="2" s="1"/>
  <c r="N26" i="1"/>
  <c r="B25" i="1"/>
  <c r="B26" i="1" s="1"/>
  <c r="N108" i="1"/>
  <c r="N108" i="2" s="1"/>
  <c r="M108" i="2"/>
  <c r="C33" i="2"/>
  <c r="D148" i="2"/>
  <c r="C43" i="2"/>
  <c r="G70" i="2"/>
  <c r="J100" i="2"/>
  <c r="D43" i="2"/>
  <c r="K92" i="2"/>
  <c r="I92" i="2"/>
  <c r="B25" i="2" l="1"/>
  <c r="B26" i="2" s="1"/>
  <c r="B108" i="1"/>
  <c r="B108" i="2"/>
  <c r="E148" i="2"/>
  <c r="E43" i="2"/>
  <c r="K100" i="2"/>
  <c r="I70" i="2"/>
  <c r="C122" i="2"/>
  <c r="B122" i="2" s="1"/>
  <c r="B122" i="1"/>
  <c r="G84" i="2"/>
  <c r="G35" i="2" l="1"/>
  <c r="E35" i="2"/>
  <c r="M100" i="2"/>
  <c r="N100" i="2"/>
  <c r="L70" i="2"/>
  <c r="F148" i="2"/>
  <c r="E84" i="2"/>
  <c r="E147" i="1"/>
  <c r="B84" i="1"/>
  <c r="D92" i="2"/>
  <c r="D84" i="2"/>
  <c r="N70" i="2" l="1"/>
  <c r="M70" i="2"/>
  <c r="D141" i="2"/>
  <c r="G43" i="2"/>
  <c r="F43" i="2"/>
  <c r="G148" i="2"/>
  <c r="D109" i="2"/>
  <c r="C109" i="2"/>
  <c r="F84" i="2"/>
  <c r="H148" i="2" l="1"/>
  <c r="M35" i="2"/>
  <c r="K35" i="2"/>
  <c r="I35" i="2"/>
  <c r="E109" i="2"/>
  <c r="B84" i="2"/>
  <c r="B35" i="2" l="1"/>
  <c r="H43" i="2"/>
  <c r="E141" i="2"/>
  <c r="I43" i="2"/>
  <c r="F141" i="2"/>
  <c r="I148" i="2"/>
  <c r="B35" i="1"/>
  <c r="E70" i="2"/>
  <c r="G74" i="2"/>
  <c r="D74" i="2"/>
  <c r="E74" i="2"/>
  <c r="F74" i="2"/>
  <c r="J148" i="2" l="1"/>
  <c r="G141" i="2"/>
  <c r="J43" i="2"/>
  <c r="F109" i="2"/>
  <c r="K74" i="2"/>
  <c r="I74" i="2"/>
  <c r="M74" i="2"/>
  <c r="F70" i="2"/>
  <c r="D55" i="2"/>
  <c r="B55" i="2" s="1"/>
  <c r="B55" i="1"/>
  <c r="K43" i="2" l="1"/>
  <c r="H141" i="2"/>
  <c r="K148" i="2"/>
  <c r="G109" i="2"/>
  <c r="H70" i="2"/>
  <c r="L148" i="2" l="1"/>
  <c r="C118" i="2"/>
  <c r="B118" i="1"/>
  <c r="I141" i="2"/>
  <c r="L43" i="2"/>
  <c r="H109" i="2"/>
  <c r="K70" i="2"/>
  <c r="L34" i="2"/>
  <c r="D101" i="2"/>
  <c r="B101" i="2" s="1"/>
  <c r="B101" i="1"/>
  <c r="H34" i="2"/>
  <c r="I34" i="2"/>
  <c r="D100" i="2"/>
  <c r="B100" i="2" s="1"/>
  <c r="B100" i="1"/>
  <c r="K34" i="2"/>
  <c r="D118" i="2"/>
  <c r="E11" i="2"/>
  <c r="M43" i="2" l="1"/>
  <c r="J141" i="2"/>
  <c r="D33" i="2"/>
  <c r="M148" i="2"/>
  <c r="I109" i="2"/>
  <c r="D11" i="2"/>
  <c r="N34" i="2"/>
  <c r="C74" i="2"/>
  <c r="B74" i="2" s="1"/>
  <c r="B74" i="1"/>
  <c r="C52" i="2"/>
  <c r="B52" i="2" s="1"/>
  <c r="B52" i="1"/>
  <c r="C92" i="2"/>
  <c r="B92" i="2" s="1"/>
  <c r="B92" i="1"/>
  <c r="M34" i="2"/>
  <c r="D10" i="2"/>
  <c r="D14" i="1"/>
  <c r="F34" i="2"/>
  <c r="D34" i="2"/>
  <c r="D37" i="1"/>
  <c r="D70" i="2"/>
  <c r="C10" i="2"/>
  <c r="C34" i="2"/>
  <c r="C37" i="1"/>
  <c r="B34" i="1"/>
  <c r="E34" i="2"/>
  <c r="G34" i="2"/>
  <c r="J34" i="2"/>
  <c r="D99" i="2"/>
  <c r="B99" i="1"/>
  <c r="D147" i="1"/>
  <c r="E118" i="2"/>
  <c r="E33" i="2"/>
  <c r="D14" i="2" l="1"/>
  <c r="N148" i="2"/>
  <c r="D37" i="2"/>
  <c r="K141" i="2"/>
  <c r="E37" i="1"/>
  <c r="E37" i="2"/>
  <c r="N76" i="1"/>
  <c r="C80" i="2"/>
  <c r="C83" i="1"/>
  <c r="J109" i="2"/>
  <c r="E10" i="2"/>
  <c r="E14" i="2" s="1"/>
  <c r="E14" i="1"/>
  <c r="B34" i="2"/>
  <c r="C37" i="2"/>
  <c r="B10" i="1"/>
  <c r="C51" i="2"/>
  <c r="C76" i="1"/>
  <c r="B51" i="1"/>
  <c r="C66" i="2"/>
  <c r="B66" i="2" s="1"/>
  <c r="B66" i="1"/>
  <c r="F51" i="2"/>
  <c r="F76" i="2" s="1"/>
  <c r="F76" i="1"/>
  <c r="C148" i="2"/>
  <c r="B148" i="1"/>
  <c r="J51" i="2"/>
  <c r="I51" i="2"/>
  <c r="I76" i="2" s="1"/>
  <c r="I76" i="1"/>
  <c r="H51" i="2"/>
  <c r="H76" i="2" s="1"/>
  <c r="H76" i="1"/>
  <c r="C88" i="2"/>
  <c r="B88" i="1"/>
  <c r="E51" i="2"/>
  <c r="E76" i="2" s="1"/>
  <c r="E76" i="1"/>
  <c r="K51" i="2"/>
  <c r="K76" i="2" s="1"/>
  <c r="K76" i="1"/>
  <c r="F11" i="2"/>
  <c r="F14" i="2" s="1"/>
  <c r="F14" i="1"/>
  <c r="D51" i="2"/>
  <c r="D76" i="2" s="1"/>
  <c r="D76" i="1"/>
  <c r="G11" i="2"/>
  <c r="G14" i="2" s="1"/>
  <c r="G14" i="1"/>
  <c r="B99" i="2"/>
  <c r="N51" i="2"/>
  <c r="C11" i="2"/>
  <c r="B11" i="1"/>
  <c r="C14" i="1"/>
  <c r="B9" i="1"/>
  <c r="L51" i="2"/>
  <c r="L76" i="2" s="1"/>
  <c r="L76" i="1"/>
  <c r="G51" i="2"/>
  <c r="G76" i="2" s="1"/>
  <c r="G76" i="1"/>
  <c r="M51" i="2"/>
  <c r="M76" i="2" s="1"/>
  <c r="M76" i="1"/>
  <c r="F118" i="2"/>
  <c r="B148" i="2" l="1"/>
  <c r="B10" i="2"/>
  <c r="L141" i="2"/>
  <c r="N43" i="2"/>
  <c r="B43" i="2" s="1"/>
  <c r="B43" i="1"/>
  <c r="F33" i="2"/>
  <c r="F37" i="1"/>
  <c r="D80" i="2"/>
  <c r="D83" i="2" s="1"/>
  <c r="D83" i="1"/>
  <c r="C83" i="2"/>
  <c r="K109" i="2"/>
  <c r="B14" i="1"/>
  <c r="C14" i="2"/>
  <c r="B9" i="2"/>
  <c r="B88" i="2"/>
  <c r="B51" i="2"/>
  <c r="C76" i="2"/>
  <c r="B11" i="2"/>
  <c r="G118" i="2"/>
  <c r="G33" i="2" l="1"/>
  <c r="G37" i="2" s="1"/>
  <c r="G37" i="1"/>
  <c r="M141" i="2"/>
  <c r="N76" i="2"/>
  <c r="F37" i="2"/>
  <c r="E80" i="2"/>
  <c r="E83" i="1"/>
  <c r="L109" i="2"/>
  <c r="B14" i="2"/>
  <c r="H118" i="2"/>
  <c r="H33" i="2" l="1"/>
  <c r="H37" i="2" s="1"/>
  <c r="H37" i="1"/>
  <c r="F80" i="2"/>
  <c r="F83" i="2" s="1"/>
  <c r="F83" i="1"/>
  <c r="E83" i="2"/>
  <c r="M109" i="2"/>
  <c r="N109" i="2"/>
  <c r="B109" i="1"/>
  <c r="I118" i="2"/>
  <c r="I33" i="2" l="1"/>
  <c r="I37" i="2" s="1"/>
  <c r="I37" i="1"/>
  <c r="N141" i="2"/>
  <c r="G80" i="2"/>
  <c r="G83" i="1"/>
  <c r="B109" i="2"/>
  <c r="J118" i="2"/>
  <c r="J33" i="2" l="1"/>
  <c r="J37" i="2" s="1"/>
  <c r="J37" i="1"/>
  <c r="H80" i="2"/>
  <c r="H83" i="2" s="1"/>
  <c r="H83" i="1"/>
  <c r="G83" i="2"/>
  <c r="K118" i="2"/>
  <c r="K33" i="2" l="1"/>
  <c r="K37" i="2" s="1"/>
  <c r="K37" i="1"/>
  <c r="I80" i="2"/>
  <c r="I83" i="2" s="1"/>
  <c r="I83" i="1"/>
  <c r="G27" i="2"/>
  <c r="G29" i="2" s="1"/>
  <c r="G29" i="1"/>
  <c r="L118" i="2"/>
  <c r="D153" i="1" l="1"/>
  <c r="C153" i="2"/>
  <c r="C154" i="1"/>
  <c r="L33" i="2"/>
  <c r="L37" i="2" s="1"/>
  <c r="L37" i="1"/>
  <c r="N27" i="2"/>
  <c r="N29" i="2" s="1"/>
  <c r="N29" i="1"/>
  <c r="J80" i="2"/>
  <c r="J83" i="2" s="1"/>
  <c r="J83" i="1"/>
  <c r="M27" i="2"/>
  <c r="M29" i="2" s="1"/>
  <c r="M29" i="1"/>
  <c r="F27" i="2"/>
  <c r="F29" i="2" s="1"/>
  <c r="F29" i="1"/>
  <c r="M118" i="2"/>
  <c r="C154" i="2" l="1"/>
  <c r="E153" i="1"/>
  <c r="D153" i="2"/>
  <c r="D154" i="2" s="1"/>
  <c r="D154" i="1"/>
  <c r="M33" i="2"/>
  <c r="M37" i="2" s="1"/>
  <c r="M37" i="1"/>
  <c r="I27" i="2"/>
  <c r="I29" i="2" s="1"/>
  <c r="I29" i="1"/>
  <c r="L27" i="2"/>
  <c r="L29" i="2" s="1"/>
  <c r="L29" i="1"/>
  <c r="J27" i="2"/>
  <c r="J29" i="2" s="1"/>
  <c r="J29" i="1"/>
  <c r="H27" i="2"/>
  <c r="H29" i="2" s="1"/>
  <c r="H29" i="1"/>
  <c r="K80" i="2"/>
  <c r="K83" i="2" s="1"/>
  <c r="K83" i="1"/>
  <c r="K27" i="2"/>
  <c r="K29" i="2" s="1"/>
  <c r="K29" i="1"/>
  <c r="N118" i="2"/>
  <c r="B118" i="2" s="1"/>
  <c r="F153" i="1" l="1"/>
  <c r="E153" i="2"/>
  <c r="E154" i="2" s="1"/>
  <c r="E154" i="1"/>
  <c r="N33" i="2"/>
  <c r="N37" i="1"/>
  <c r="B33" i="1"/>
  <c r="B37" i="1" s="1"/>
  <c r="D27" i="2"/>
  <c r="D29" i="2" s="1"/>
  <c r="D29" i="1"/>
  <c r="E27" i="2"/>
  <c r="E29" i="2" s="1"/>
  <c r="E29" i="1"/>
  <c r="L80" i="2"/>
  <c r="L83" i="2" s="1"/>
  <c r="L83" i="1"/>
  <c r="C79" i="2"/>
  <c r="D79" i="2"/>
  <c r="E79" i="2"/>
  <c r="G153" i="1" l="1"/>
  <c r="F153" i="2"/>
  <c r="F154" i="1"/>
  <c r="N37" i="2"/>
  <c r="B33" i="2"/>
  <c r="B37" i="2" s="1"/>
  <c r="M80" i="2"/>
  <c r="M83" i="2" s="1"/>
  <c r="M83" i="1"/>
  <c r="N80" i="2"/>
  <c r="N83" i="1"/>
  <c r="B80" i="1"/>
  <c r="B83" i="1" s="1"/>
  <c r="F154" i="2" l="1"/>
  <c r="H153" i="1"/>
  <c r="G153" i="2"/>
  <c r="G154" i="2" s="1"/>
  <c r="G154" i="1"/>
  <c r="N83" i="2"/>
  <c r="B80" i="2"/>
  <c r="B83" i="2" s="1"/>
  <c r="I153" i="1" l="1"/>
  <c r="H153" i="2"/>
  <c r="H154" i="2" s="1"/>
  <c r="H154" i="1"/>
  <c r="J153" i="1" l="1"/>
  <c r="I153" i="2"/>
  <c r="I154" i="2" s="1"/>
  <c r="I154" i="1"/>
  <c r="K153" i="1" l="1"/>
  <c r="J153" i="2"/>
  <c r="J154" i="2" s="1"/>
  <c r="J154" i="1"/>
  <c r="K153" i="2" l="1"/>
  <c r="K154" i="2" s="1"/>
  <c r="L153" i="1"/>
  <c r="K154" i="1"/>
  <c r="M153" i="1" l="1"/>
  <c r="L153" i="2"/>
  <c r="L154" i="2" s="1"/>
  <c r="L154" i="1"/>
  <c r="N153" i="1" l="1"/>
  <c r="M153" i="2"/>
  <c r="M154" i="2" s="1"/>
  <c r="M154" i="1"/>
  <c r="C160" i="1" l="1"/>
  <c r="N153" i="2"/>
  <c r="N154" i="1"/>
  <c r="B153" i="1"/>
  <c r="B154" i="1" s="1"/>
  <c r="C106" i="2"/>
  <c r="C147" i="1"/>
  <c r="D106" i="2"/>
  <c r="N154" i="2" l="1"/>
  <c r="B153" i="2"/>
  <c r="B154" i="2" s="1"/>
  <c r="C160" i="2"/>
  <c r="D160" i="2"/>
  <c r="D160" i="1"/>
  <c r="D161" i="1" s="1"/>
  <c r="C140" i="2"/>
  <c r="D140" i="2"/>
  <c r="D147" i="2" s="1"/>
  <c r="C27" i="2"/>
  <c r="C29" i="1"/>
  <c r="C161" i="1" s="1"/>
  <c r="C162" i="1" s="1"/>
  <c r="B27" i="1"/>
  <c r="B29" i="1" s="1"/>
  <c r="E106" i="2"/>
  <c r="D161" i="2" l="1"/>
  <c r="D162" i="1"/>
  <c r="E160" i="1"/>
  <c r="E161" i="1" s="1"/>
  <c r="E140" i="2"/>
  <c r="E147" i="2" s="1"/>
  <c r="B27" i="2"/>
  <c r="B29" i="2" s="1"/>
  <c r="C29" i="2"/>
  <c r="E162" i="1" l="1"/>
  <c r="F160" i="2"/>
  <c r="F160" i="1"/>
  <c r="F140" i="2"/>
  <c r="E160" i="2"/>
  <c r="E161" i="2" s="1"/>
  <c r="F106" i="2"/>
  <c r="F147" i="1"/>
  <c r="F79" i="2"/>
  <c r="F161" i="1" l="1"/>
  <c r="F162" i="1" s="1"/>
  <c r="G140" i="2"/>
  <c r="G160" i="1"/>
  <c r="G106" i="2"/>
  <c r="G147" i="1"/>
  <c r="G161" i="1" s="1"/>
  <c r="F147" i="2"/>
  <c r="F161" i="2" s="1"/>
  <c r="G79" i="2"/>
  <c r="G147" i="2" l="1"/>
  <c r="G162" i="1"/>
  <c r="G160" i="2"/>
  <c r="H160" i="2"/>
  <c r="H160" i="1"/>
  <c r="H106" i="2"/>
  <c r="H147" i="1"/>
  <c r="H161" i="1" s="1"/>
  <c r="H79" i="2"/>
  <c r="G161" i="2" l="1"/>
  <c r="H162" i="1"/>
  <c r="I160" i="2"/>
  <c r="I160" i="1"/>
  <c r="I140" i="2"/>
  <c r="H140" i="2"/>
  <c r="H147" i="2" s="1"/>
  <c r="H161" i="2" s="1"/>
  <c r="I106" i="2"/>
  <c r="I147" i="1"/>
  <c r="I161" i="1" s="1"/>
  <c r="I79" i="2"/>
  <c r="J79" i="2"/>
  <c r="I147" i="2" l="1"/>
  <c r="I161" i="2" s="1"/>
  <c r="I162" i="1"/>
  <c r="J140" i="2"/>
  <c r="J160" i="1"/>
  <c r="J106" i="2"/>
  <c r="J147" i="1"/>
  <c r="J147" i="2" l="1"/>
  <c r="J160" i="2"/>
  <c r="K160" i="2"/>
  <c r="K160" i="1"/>
  <c r="K140" i="2"/>
  <c r="K106" i="2"/>
  <c r="K147" i="1"/>
  <c r="K161" i="1" s="1"/>
  <c r="K79" i="2"/>
  <c r="K147" i="2" l="1"/>
  <c r="K161" i="2" s="1"/>
  <c r="L140" i="2"/>
  <c r="L160" i="2"/>
  <c r="L160" i="1"/>
  <c r="L106" i="2"/>
  <c r="L147" i="1"/>
  <c r="L161" i="1" s="1"/>
  <c r="L79" i="2"/>
  <c r="L147" i="2" l="1"/>
  <c r="L161" i="2" s="1"/>
  <c r="M160" i="2"/>
  <c r="M160" i="1"/>
  <c r="M140" i="2"/>
  <c r="M106" i="2"/>
  <c r="M147" i="2" s="1"/>
  <c r="M147" i="1"/>
  <c r="M161" i="1" s="1"/>
  <c r="M79" i="2"/>
  <c r="N79" i="2"/>
  <c r="B79" i="1"/>
  <c r="N160" i="1" l="1"/>
  <c r="B159" i="1"/>
  <c r="B160" i="1" s="1"/>
  <c r="N140" i="2"/>
  <c r="B140" i="2" s="1"/>
  <c r="B140" i="1"/>
  <c r="M161" i="2"/>
  <c r="B79" i="2"/>
  <c r="N160" i="2" l="1"/>
  <c r="B159" i="2"/>
  <c r="B160" i="2" s="1"/>
  <c r="N106" i="2"/>
  <c r="N147" i="1"/>
  <c r="N161" i="1" s="1"/>
  <c r="B106" i="1"/>
  <c r="N147" i="2" l="1"/>
  <c r="N161" i="2" s="1"/>
  <c r="B106" i="2"/>
  <c r="J70" i="2" l="1"/>
  <c r="B70" i="1" l="1"/>
  <c r="B76" i="1" s="1"/>
  <c r="J76" i="1"/>
  <c r="J161" i="1" s="1"/>
  <c r="J162" i="1" s="1"/>
  <c r="K162" i="1" s="1"/>
  <c r="L162" i="1" s="1"/>
  <c r="M162" i="1" s="1"/>
  <c r="N162" i="1" s="1"/>
  <c r="B70" i="2"/>
  <c r="B76" i="2" s="1"/>
  <c r="J76" i="2"/>
  <c r="J161" i="2" s="1"/>
  <c r="C141" i="2" l="1"/>
  <c r="B141" i="2" l="1"/>
  <c r="B147" i="2" s="1"/>
  <c r="B161" i="2" s="1"/>
  <c r="C147" i="2"/>
  <c r="C161" i="2" s="1"/>
  <c r="C162" i="2" s="1"/>
  <c r="D162" i="2" s="1"/>
  <c r="E162" i="2" s="1"/>
  <c r="F162" i="2" s="1"/>
  <c r="G162" i="2" s="1"/>
  <c r="H162" i="2" s="1"/>
  <c r="I162" i="2" s="1"/>
  <c r="J162" i="2" s="1"/>
  <c r="K162" i="2" s="1"/>
  <c r="L162" i="2" s="1"/>
  <c r="M162" i="2" s="1"/>
  <c r="N162" i="2" s="1"/>
  <c r="B141" i="1"/>
  <c r="B147" i="1" s="1"/>
  <c r="B161" i="1" s="1"/>
</calcChain>
</file>

<file path=xl/sharedStrings.xml><?xml version="1.0" encoding="utf-8"?>
<sst xmlns="http://schemas.openxmlformats.org/spreadsheetml/2006/main" count="398" uniqueCount="185">
  <si>
    <t>Descripcion</t>
  </si>
  <si>
    <t>Total Presupuestado</t>
  </si>
  <si>
    <t>Enero Pre</t>
  </si>
  <si>
    <t>Febrero Pre</t>
  </si>
  <si>
    <t>Marzo Pre</t>
  </si>
  <si>
    <t>Abril Pre</t>
  </si>
  <si>
    <t>Mayo Pre</t>
  </si>
  <si>
    <t>Junio Pre</t>
  </si>
  <si>
    <t>Julio Pre</t>
  </si>
  <si>
    <t>Agosto Pre</t>
  </si>
  <si>
    <t>Septiembre Pre</t>
  </si>
  <si>
    <t>Octubre Pre</t>
  </si>
  <si>
    <t>Noviembre Pre</t>
  </si>
  <si>
    <t>Diciembre Pre</t>
  </si>
  <si>
    <t>FACTURACION</t>
  </si>
  <si>
    <t>ACTIVOS</t>
  </si>
  <si>
    <t>ARRENDA DE INMUEBLES Y SERV</t>
  </si>
  <si>
    <t>ARTICULOS DE SEGURIDAD</t>
  </si>
  <si>
    <t>EQUIPO DE COMPUTO</t>
  </si>
  <si>
    <t>EQUIPOS Y ENSERES</t>
  </si>
  <si>
    <t>INSUMOS AGRICOLAS</t>
  </si>
  <si>
    <t>INSUMOS DE OFICINA</t>
  </si>
  <si>
    <t>MARKETING</t>
  </si>
  <si>
    <t>MATERIALES</t>
  </si>
  <si>
    <t>MATERIALES DE SALUD</t>
  </si>
  <si>
    <t>NOMINA Y ADICIONALES</t>
  </si>
  <si>
    <t>SERV TELEFONIA CELULAR Y RADIO</t>
  </si>
  <si>
    <t>SERVICIOS</t>
  </si>
  <si>
    <t>SERVICIOS DE CAPACITACION</t>
  </si>
  <si>
    <t>SERVICIOS DE SALUD</t>
  </si>
  <si>
    <t>UNIFORMES</t>
  </si>
  <si>
    <t>VEHICULOS Y COMBUSTIBLE</t>
  </si>
  <si>
    <t>VIATICOS</t>
  </si>
  <si>
    <t>TOTAL</t>
  </si>
  <si>
    <t>OTROS ACTIVOS</t>
  </si>
  <si>
    <t>EQUIPO DE TRANSPORTE</t>
  </si>
  <si>
    <t>EQUIPO DE MOBILIARIO</t>
  </si>
  <si>
    <t>MAQUINARIA Y EQUIPO</t>
  </si>
  <si>
    <t>SOFTWARE Y LICICENCIAS</t>
  </si>
  <si>
    <t>ARRENDAMIENTO DE INMUEBLES</t>
  </si>
  <si>
    <t>ENERGIA ELECTRICA</t>
  </si>
  <si>
    <t>SERVICIOS DE VIGILANCIA</t>
  </si>
  <si>
    <t>SERVICIOS DE LIMPIEZA</t>
  </si>
  <si>
    <t>SERVICIOS DE FUMIGACION</t>
  </si>
  <si>
    <t>TELEFONIA FIJA</t>
  </si>
  <si>
    <t>AGUA Y ALCANTARILLADO</t>
  </si>
  <si>
    <t>ARRENDAMIENTO DE OF. MOVILES</t>
  </si>
  <si>
    <t>RENTA DE CASAS NO DEDUCIBLE</t>
  </si>
  <si>
    <t>ROPA Y ARTICULOS DE PROTECCION</t>
  </si>
  <si>
    <t>EQUIPO DE COMPUTO (Adquisición)</t>
  </si>
  <si>
    <t>ARRENDAMIENTO DE EQ. COMPUTO</t>
  </si>
  <si>
    <t>ENSERES MENORES DIVERSOS (Acondicionamiento de casas)</t>
  </si>
  <si>
    <t>PAPELERIA Y UTILES DE OFICINA</t>
  </si>
  <si>
    <t>ARTICULOS DE ASEO Y SANITARIOS</t>
  </si>
  <si>
    <t>ARTICULOS DE CAFETERIA</t>
  </si>
  <si>
    <t>ARTICULOS DIGITALES Y DE COMPUTO</t>
  </si>
  <si>
    <t>SERVICIOS DE MERCADOTECNIA</t>
  </si>
  <si>
    <t>PUBLICIDAD Y PROPAGANDA</t>
  </si>
  <si>
    <t>ABRASIVOS</t>
  </si>
  <si>
    <t>ACEITES Y LUBRICANTES</t>
  </si>
  <si>
    <t>AISLANTES IMPERM REFRA</t>
  </si>
  <si>
    <t>BANDA CADEN TRANS COPL</t>
  </si>
  <si>
    <t>ENVASES</t>
  </si>
  <si>
    <t>FIBRAS HILOS Y TELAS</t>
  </si>
  <si>
    <t>GRASAS</t>
  </si>
  <si>
    <t>HERRAMIENTAS MANUALES</t>
  </si>
  <si>
    <t xml:space="preserve">MANGUERAS, CONEXIONES </t>
  </si>
  <si>
    <t>MATERIAL ELECTRICO</t>
  </si>
  <si>
    <t>METALES</t>
  </si>
  <si>
    <t>SUSTANCIAS QUIMICAS</t>
  </si>
  <si>
    <t>TORNILLERIA Y ARTICULO</t>
  </si>
  <si>
    <t>TUBERIAS</t>
  </si>
  <si>
    <t>VALVULAS</t>
  </si>
  <si>
    <t>ACEITE LUBRICANTE P/MAQUINARIA</t>
  </si>
  <si>
    <t>CONEXIONES PARA TUBERIA</t>
  </si>
  <si>
    <t>EMPAQUETAD JTAS Y SELLOS</t>
  </si>
  <si>
    <t>INSTRUM DE MEDICION Y CONTROL</t>
  </si>
  <si>
    <t>LLANTAS, CAMARAS Y ACCESORIOS</t>
  </si>
  <si>
    <t>MATERIAL PARA LA CONSTRUCCION</t>
  </si>
  <si>
    <t>MATERIALES Y ART P/MANTENIMIENTO</t>
  </si>
  <si>
    <t>PASTA PEGAMENTO OTRO COMPUESTO</t>
  </si>
  <si>
    <t>PINTURA Y OTROS RECUBRIMIENTOS</t>
  </si>
  <si>
    <t>REFAC P/INSTRUM DE MED Y CONTROL</t>
  </si>
  <si>
    <t>REFACC Y ACCES PARA VALVULAS</t>
  </si>
  <si>
    <t>REFACCIONES P/MAQUINARIA</t>
  </si>
  <si>
    <t>PART REP ACCES Y PROD P/VEHIC</t>
  </si>
  <si>
    <t>PARTES ELECT, ACCES Y REFACC</t>
  </si>
  <si>
    <t>REFACC Y ACCESORIO PARA HERRAMIENTA</t>
  </si>
  <si>
    <t>RODAM ACCES Y SELLOS P/ ACEITE</t>
  </si>
  <si>
    <t>PARTES ACCES Y MAT P/LABORATORIO</t>
  </si>
  <si>
    <t>PARTES ACCES Y REFAC P/ LUBRICANTES</t>
  </si>
  <si>
    <t>PARTES Y REFAC TELECOM Y VIDEO</t>
  </si>
  <si>
    <t>PARTES Y REFACCION C/INCENDIO</t>
  </si>
  <si>
    <t>MATERIAL PRIMEROS AUXILIOS</t>
  </si>
  <si>
    <t>SERV TELEFONIA CELULAR</t>
  </si>
  <si>
    <t>SERVICIO DE BANDA ANCHA</t>
  </si>
  <si>
    <t>SERVICIO DE RADIOCOMUNICACION</t>
  </si>
  <si>
    <t>ANALISIS CAUSA RAIZ</t>
  </si>
  <si>
    <t>ANALISIS DE RIESGO</t>
  </si>
  <si>
    <t>ANALISIS DE VIBRACION</t>
  </si>
  <si>
    <t>CARGOS EXTRAORDINARIOS</t>
  </si>
  <si>
    <t>CERTIFICACION</t>
  </si>
  <si>
    <t>COLOCACION DE PILOTE</t>
  </si>
  <si>
    <t>CORREOS Y MENSAJERIAS</t>
  </si>
  <si>
    <t>CUOTAS Y SUSCRIPCIONES</t>
  </si>
  <si>
    <t>DESARROLLO DE SOFTWARE</t>
  </si>
  <si>
    <t>FIANZAS</t>
  </si>
  <si>
    <t>FLETES  EXTRANJEROS</t>
  </si>
  <si>
    <t>FLETES NACIONALES</t>
  </si>
  <si>
    <t>GASTOS DE IMPORTACION</t>
  </si>
  <si>
    <t>HIELO Y AGUA</t>
  </si>
  <si>
    <t>IMPUESTOS Y DERECHOS</t>
  </si>
  <si>
    <t>INTERNET Y DATOS</t>
  </si>
  <si>
    <t>MANIOBRAS</t>
  </si>
  <si>
    <t>MECANICA DE SUELOS</t>
  </si>
  <si>
    <t>OTROS DERECHOS</t>
  </si>
  <si>
    <t>PAGO DE RECARGOS</t>
  </si>
  <si>
    <t>RENTA DE SANITARIOS</t>
  </si>
  <si>
    <t>REPARACIONES</t>
  </si>
  <si>
    <t>SEGUROS</t>
  </si>
  <si>
    <t>SERVICIO DE AUTOLAVADO</t>
  </si>
  <si>
    <t>SERVICIOS DE COPIADO</t>
  </si>
  <si>
    <t>SERVICIOS DE TAXI</t>
  </si>
  <si>
    <t>TENENCIA</t>
  </si>
  <si>
    <t>TOPOGRAFIA</t>
  </si>
  <si>
    <t>VERIFICACIONES</t>
  </si>
  <si>
    <t>ASESORIA ESPECIAL VIAL</t>
  </si>
  <si>
    <t>PAGO DE MULTAS</t>
  </si>
  <si>
    <t>ADICION Y MODIFIC DE MATERIAL</t>
  </si>
  <si>
    <t>ADQUISICION TARJET COMBUSTIBLE</t>
  </si>
  <si>
    <t>BASES LICITACION Y CONCURSOS</t>
  </si>
  <si>
    <t>DEDUCIBLE POR SINIESTRO</t>
  </si>
  <si>
    <t>GTO EXPED DE SEG/TRAMITE</t>
  </si>
  <si>
    <t>HONORARIOS A PERSONA FISICA</t>
  </si>
  <si>
    <t>MANTENIMIENTO A VEHICULOS</t>
  </si>
  <si>
    <t>MANTTO A EQUIPOS DE SEGURIDAD</t>
  </si>
  <si>
    <t>MANTTO DE MOBILIARIO Y EQUIPO</t>
  </si>
  <si>
    <t>MANTTO PREV A EQUIPOS DE MEDICION</t>
  </si>
  <si>
    <t>MANTTO Y ACONDICION DE CAMPER</t>
  </si>
  <si>
    <t>PACMA PEMEX EXPLORACION</t>
  </si>
  <si>
    <t>RECARGA DE GASES INDUSTRIALES</t>
  </si>
  <si>
    <t>RENTA DE MAQUINARIA Y EQUIPO</t>
  </si>
  <si>
    <t>SERV DE DISPOS DE RESIDUOS</t>
  </si>
  <si>
    <t>SERV DE MANTO A INSTALACIONES</t>
  </si>
  <si>
    <t>SERV DE RECARGA DE EXTINTORES</t>
  </si>
  <si>
    <t>SERV DE TRANSMISION DE DATOS</t>
  </si>
  <si>
    <t>SERV PROFES DE PERSONA MORAL</t>
  </si>
  <si>
    <t>SERV Y MANTTO A EQ INFORMATICO</t>
  </si>
  <si>
    <t>SERVICIO DE EQPO Y MAQUINARIA</t>
  </si>
  <si>
    <t>SERVICIO REPRESENTACION LEGAL</t>
  </si>
  <si>
    <t>SERVICIOS DE BANQUETERIA</t>
  </si>
  <si>
    <t>SERVICIOS PREOPERATIVOS</t>
  </si>
  <si>
    <t>SERVICIOS RADIOGRAFICOS</t>
  </si>
  <si>
    <t>ASESORIA ESPECIAL INTERNA</t>
  </si>
  <si>
    <t>ASESORIA ESPECIAL OPERATIVA</t>
  </si>
  <si>
    <t>ASESORIA ESPECIAL SINDICAL</t>
  </si>
  <si>
    <t>INTERESES</t>
  </si>
  <si>
    <t>SERVICIOS MEDICOS</t>
  </si>
  <si>
    <t>ARRENDAMIENTO DE VEHIC</t>
  </si>
  <si>
    <t>COMBUSTIBLES</t>
  </si>
  <si>
    <t>ALIMENTACION</t>
  </si>
  <si>
    <t>SERVICIOS DE HOSPEDAJE</t>
  </si>
  <si>
    <t>SERV DE TRANSPORTAC TERRESTRE</t>
  </si>
  <si>
    <t>SERV DE TRANSPORTAC AEREA</t>
  </si>
  <si>
    <t>CASETAS PUENTES Y PEAJES</t>
  </si>
  <si>
    <t>ACONDICION DE CASA HABITACION</t>
  </si>
  <si>
    <t>SERV DE DISEÑO Y ROTULACION</t>
  </si>
  <si>
    <t>ACUMULADO</t>
  </si>
  <si>
    <t>GEOLIS SA DE CV</t>
  </si>
  <si>
    <t>10 tarjetas de combustible</t>
  </si>
  <si>
    <t>honorarios doctos Assam sucursal Colombia y apostilla de documentos; extra requerimientos de documentos legales para tramites</t>
  </si>
  <si>
    <t>Renta de copiadora oficina veracruz, la renta es por consumo</t>
  </si>
  <si>
    <t>Maestría Guillermo, Maestría Yael, Actualización fiscal Giovanna, Guillermo, Anel, Curso Ingles Giovanna 6 meses, Curso ingles Maria del Rosario y Cristina 6 meses, Curso extrajero JLMM y extra</t>
  </si>
  <si>
    <t>Servicio mensual Jimena, publicación en periodico o revista digital, renovacion anual en el directorio de la industria enegetica y extras</t>
  </si>
  <si>
    <t>overoles, botas, lentes, porta credencial</t>
  </si>
  <si>
    <t>renta casa staff villahermosa, servicio de limpieza</t>
  </si>
  <si>
    <t>Mobiliario de oficina</t>
  </si>
  <si>
    <t>internet oficina veracruz</t>
  </si>
  <si>
    <t>Auditoria estados financieros 2020, estudio de precios de transferencia 2019, estudio de precios de transferencia 2020, gastos Arturo Tangarife Colombia, gastos revisor fiscal Colombia, EQA, reembolsos CIA, asesoria mensual leonides por 6 meses</t>
  </si>
  <si>
    <t>zoom, renovación dropbox, renovación licencias SNAP, renovación antivirus, renovación office, servicio anual de hosting web, correo electronico y dominio, cemefi, inscripcion congreso villahermosa, congreso colombia inscripción, renovación plataforma de licitaciones, renovación aquiles, renovacion plataforma proveedores colombia</t>
  </si>
  <si>
    <t xml:space="preserve">Evento de Jornada de la Salud, 2 examenes médicos nuevo ingreso </t>
  </si>
  <si>
    <t>Proyecto: colocar unidad de negocio</t>
  </si>
  <si>
    <t>INGRESOS 2025</t>
  </si>
  <si>
    <t>EGRESOS 2025</t>
  </si>
  <si>
    <t>Proyecto: PRC LITORAL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</si>
</sst>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0"/>
      <name val="Arial"/>
      <family val="2"/>
    </font>
    <font>
      <i/>
      <sz val="10"/>
      <name val="Arial"/>
      <family val="2"/>
    </font>
    <font>
      <i/>
      <sz val="8"/>
      <name val="Arial"/>
      <family val="2"/>
    </font>
    <font>
      <b/>
      <i/>
      <sz val="11"/>
      <color theme="1"/>
      <name val="Calibri"/>
      <family val="2"/>
      <scheme val="minor"/>
    </font>
    <font>
      <b/>
      <sz val="11"/>
      <color theme="0"/>
      <name val="Calibri"/>
      <family val="2"/>
      <scheme val="minor"/>
    </font>
    <font>
      <sz val="11"/>
      <color theme="0"/>
      <name val="Calibri"/>
      <family val="2"/>
      <scheme val="minor"/>
    </font>
    <font>
      <b/>
      <sz val="10"/>
      <color theme="0"/>
      <name val="Arial"/>
      <family val="2"/>
    </font>
  </fonts>
  <fills count="8">
    <fill>
      <patternFill patternType="none"/>
    </fill>
    <fill>
      <patternFill patternType="gray125"/>
    </fill>
    <fill>
      <patternFill patternType="solid">
        <fgColor indexed="22"/>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DBAC00"/>
        <bgColor indexed="64"/>
      </patternFill>
    </fill>
    <fill>
      <patternFill patternType="solid">
        <fgColor theme="7" tint="-0.249977111117893"/>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3">
    <xf numFmtId="0" fontId="0" fillId="0" borderId="0" xfId="0"/>
    <xf numFmtId="0" fontId="3" fillId="2" borderId="1" xfId="0" applyFont="1" applyFill="1" applyBorder="1" applyAlignment="1">
      <alignment horizontal="center"/>
    </xf>
    <xf numFmtId="0" fontId="5" fillId="0" borderId="1" xfId="0" applyFont="1" applyBorder="1"/>
    <xf numFmtId="0" fontId="2" fillId="3" borderId="1" xfId="0" applyFont="1" applyFill="1" applyBorder="1"/>
    <xf numFmtId="0" fontId="2" fillId="3" borderId="1" xfId="0" applyFont="1" applyFill="1" applyBorder="1" applyAlignment="1">
      <alignment horizontal="center"/>
    </xf>
    <xf numFmtId="0" fontId="2" fillId="0" borderId="0" xfId="0" applyFont="1"/>
    <xf numFmtId="43" fontId="2" fillId="3" borderId="1" xfId="0" applyNumberFormat="1" applyFont="1" applyFill="1" applyBorder="1"/>
    <xf numFmtId="43" fontId="4" fillId="0" borderId="1" xfId="1" applyFont="1" applyFill="1" applyBorder="1"/>
    <xf numFmtId="43" fontId="4" fillId="0" borderId="1" xfId="1" applyFont="1" applyBorder="1"/>
    <xf numFmtId="0" fontId="5" fillId="4" borderId="1" xfId="0" applyFont="1" applyFill="1" applyBorder="1"/>
    <xf numFmtId="43" fontId="4" fillId="4" borderId="1" xfId="1" applyFont="1" applyFill="1" applyBorder="1"/>
    <xf numFmtId="0" fontId="8" fillId="0" borderId="0" xfId="0" applyFont="1"/>
    <xf numFmtId="0" fontId="7" fillId="0" borderId="0" xfId="0" applyFont="1"/>
    <xf numFmtId="0" fontId="3" fillId="5" borderId="1" xfId="0" applyFont="1" applyFill="1" applyBorder="1" applyAlignment="1">
      <alignment horizontal="left" vertical="center"/>
    </xf>
    <xf numFmtId="43" fontId="3" fillId="5" borderId="1" xfId="1" applyFont="1" applyFill="1" applyBorder="1" applyAlignment="1">
      <alignment horizontal="left" vertical="center"/>
    </xf>
    <xf numFmtId="0" fontId="9" fillId="6" borderId="1" xfId="0" applyFont="1" applyFill="1" applyBorder="1" applyAlignment="1">
      <alignment horizontal="center" vertical="center"/>
    </xf>
    <xf numFmtId="43" fontId="9" fillId="6" borderId="1" xfId="1" applyFont="1" applyFill="1" applyBorder="1" applyAlignment="1">
      <alignment horizontal="left" vertical="center"/>
    </xf>
    <xf numFmtId="1" fontId="0" fillId="7" borderId="0" xfId="1" applyNumberFormat="1" applyFont="1" applyFill="1" applyBorder="1" applyAlignment="1">
      <alignment horizontal="center"/>
    </xf>
    <xf numFmtId="0" fontId="2" fillId="0" borderId="0" xfId="0" applyFont="1" applyAlignment="1">
      <alignment horizontal="center"/>
    </xf>
    <xf numFmtId="0" fontId="6" fillId="0" borderId="0" xfId="0" applyFont="1" applyAlignment="1">
      <alignment horizontal="center"/>
    </xf>
    <xf numFmtId="0" fontId="9" fillId="5" borderId="2" xfId="0" applyFont="1" applyFill="1" applyBorder="1" applyAlignment="1">
      <alignment horizontal="left" vertical="center"/>
    </xf>
    <xf numFmtId="0" fontId="9" fillId="5" borderId="3" xfId="0" applyFont="1" applyFill="1" applyBorder="1" applyAlignment="1">
      <alignment horizontal="left" vertical="center"/>
    </xf>
    <xf numFmtId="0" fontId="9" fillId="5" borderId="4" xfId="0" applyFont="1" applyFill="1" applyBorder="1" applyAlignment="1">
      <alignment horizontal="left" vertic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egabinog/Desktop/DIRECCI&#211;N/6.%20Presupuestos/5.%20Presupuesto%202026/04122025%20Corrida%20Financiera%20PRC%20RMSO.xlsx" TargetMode="External"/><Relationship Id="rId2" Type="http://schemas.openxmlformats.org/officeDocument/2006/relationships/externalLinkPath" Target="file:///C:\Users\egabinog\Desktop\DIRECCI&#211;N\6.%20Presupuestos\5.%20Presupuesto%202026\04122025%20Corrida%20Financiera%20PRC%20RMSO.xlsx" TargetMode="External"/><Relationship Id="rId1" Type="http://schemas.openxmlformats.org/officeDocument/2006/relationships/externalLinkPath" Target="/Users/egabinog/Desktop/DIRECCI&#211;N/6.%20Presupuestos/5.%20Presupuesto%202026/04122025%20Corrida%20Financiera%20PRC%20RMSO.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egabinog/Desktop/DIRECCI&#211;N/6.%20Presupuestos/5.%20Presupuesto%202026/041224%20Corrida%20Financiera%20PRC%20RMSO.xlsx" TargetMode="External"/><Relationship Id="rId1" Type="http://schemas.openxmlformats.org/officeDocument/2006/relationships/externalLinkPath" Target="/Users/egabinog/Desktop/DIRECCI&#211;N/6.%20Presupuestos/5.%20Presupuesto%202026/041224%20Corrida%20Financiera%20PRC%20RMS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LUJO"/>
      <sheetName val="F00 INV"/>
      <sheetName val="F01 NÓM"/>
      <sheetName val="F02 INM Y SERV"/>
      <sheetName val="F03 COM Y EQ COM"/>
      <sheetName val="F04 VEH Y COMB. "/>
      <sheetName val="F05 VIÁ"/>
      <sheetName val="F06 CONST. "/>
      <sheetName val="F07 OPERAC"/>
      <sheetName val="F08 ING"/>
      <sheetName val="EGRESOS"/>
      <sheetName val="Hoja1"/>
    </sheetNames>
    <sheetDataSet>
      <sheetData sheetId="0">
        <row r="43">
          <cell r="E43">
            <v>18.3</v>
          </cell>
        </row>
      </sheetData>
      <sheetData sheetId="1">
        <row r="9">
          <cell r="Q9">
            <v>87500</v>
          </cell>
          <cell r="R9">
            <v>75000</v>
          </cell>
          <cell r="S9">
            <v>87500</v>
          </cell>
        </row>
        <row r="10">
          <cell r="Q10">
            <v>99000</v>
          </cell>
          <cell r="R10">
            <v>99000</v>
          </cell>
          <cell r="S10">
            <v>102000.00000000001</v>
          </cell>
        </row>
        <row r="11">
          <cell r="T11">
            <v>3000</v>
          </cell>
          <cell r="U11">
            <v>3000</v>
          </cell>
        </row>
        <row r="12">
          <cell r="R12">
            <v>30000</v>
          </cell>
        </row>
        <row r="13">
          <cell r="R13">
            <v>182800</v>
          </cell>
        </row>
        <row r="14">
          <cell r="R14">
            <v>15000</v>
          </cell>
        </row>
        <row r="15">
          <cell r="R15">
            <v>35000</v>
          </cell>
        </row>
        <row r="16">
          <cell r="Q16">
            <v>22800</v>
          </cell>
          <cell r="R16">
            <v>22800</v>
          </cell>
          <cell r="S16">
            <v>30400</v>
          </cell>
        </row>
        <row r="17">
          <cell r="S17">
            <v>250000</v>
          </cell>
        </row>
        <row r="18">
          <cell r="Q18">
            <v>120000</v>
          </cell>
          <cell r="T18">
            <v>300000</v>
          </cell>
        </row>
        <row r="19">
          <cell r="R19">
            <v>12000</v>
          </cell>
        </row>
        <row r="20">
          <cell r="R20">
            <v>30000</v>
          </cell>
        </row>
        <row r="21">
          <cell r="R21">
            <v>20000</v>
          </cell>
        </row>
        <row r="22">
          <cell r="R22">
            <v>40000</v>
          </cell>
        </row>
        <row r="23">
          <cell r="R23">
            <v>163934.42622950819</v>
          </cell>
        </row>
        <row r="24">
          <cell r="R24">
            <v>75000</v>
          </cell>
        </row>
        <row r="25">
          <cell r="R25">
            <v>15000</v>
          </cell>
          <cell r="S25">
            <v>15000</v>
          </cell>
          <cell r="T25">
            <v>15000</v>
          </cell>
          <cell r="U25">
            <v>15000</v>
          </cell>
          <cell r="V25">
            <v>15000</v>
          </cell>
        </row>
        <row r="26">
          <cell r="R26">
            <v>15000</v>
          </cell>
          <cell r="W26">
            <v>15000</v>
          </cell>
          <cell r="Y26">
            <v>15000</v>
          </cell>
          <cell r="AA26">
            <v>15000</v>
          </cell>
        </row>
        <row r="27">
          <cell r="R27">
            <v>50000</v>
          </cell>
        </row>
        <row r="29">
          <cell r="R29">
            <v>15000</v>
          </cell>
        </row>
        <row r="30">
          <cell r="R30">
            <v>16000</v>
          </cell>
        </row>
        <row r="31">
          <cell r="R31">
            <v>52000</v>
          </cell>
        </row>
        <row r="32">
          <cell r="S32">
            <v>60000</v>
          </cell>
        </row>
        <row r="33">
          <cell r="S33">
            <v>18000</v>
          </cell>
        </row>
        <row r="34">
          <cell r="R34">
            <v>3000</v>
          </cell>
          <cell r="S34">
            <v>3000</v>
          </cell>
          <cell r="T34">
            <v>3000</v>
          </cell>
          <cell r="U34">
            <v>3000</v>
          </cell>
        </row>
        <row r="35">
          <cell r="R35">
            <v>10000</v>
          </cell>
        </row>
        <row r="36">
          <cell r="S36">
            <v>50000</v>
          </cell>
        </row>
        <row r="39">
          <cell r="R39">
            <v>30000</v>
          </cell>
        </row>
        <row r="40">
          <cell r="R40">
            <v>5000</v>
          </cell>
        </row>
        <row r="41">
          <cell r="R41">
            <v>25000</v>
          </cell>
        </row>
        <row r="42">
          <cell r="R42">
            <v>25000</v>
          </cell>
        </row>
        <row r="43">
          <cell r="R43">
            <v>40000</v>
          </cell>
        </row>
        <row r="44">
          <cell r="R44">
            <v>4200</v>
          </cell>
        </row>
        <row r="45">
          <cell r="R45">
            <v>2500</v>
          </cell>
        </row>
        <row r="46">
          <cell r="R46">
            <v>7000</v>
          </cell>
        </row>
        <row r="47">
          <cell r="R47">
            <v>12000</v>
          </cell>
        </row>
        <row r="48">
          <cell r="Q48">
            <v>50000</v>
          </cell>
          <cell r="R48">
            <v>50000</v>
          </cell>
          <cell r="S48">
            <v>50000</v>
          </cell>
          <cell r="T48">
            <v>50000</v>
          </cell>
          <cell r="U48">
            <v>50000</v>
          </cell>
        </row>
        <row r="49">
          <cell r="Q49">
            <v>160000</v>
          </cell>
          <cell r="R49">
            <v>160000</v>
          </cell>
        </row>
        <row r="50">
          <cell r="Q50">
            <v>120000</v>
          </cell>
          <cell r="R50">
            <v>120000</v>
          </cell>
        </row>
        <row r="51">
          <cell r="Q51">
            <v>150000</v>
          </cell>
          <cell r="R51">
            <v>150000</v>
          </cell>
          <cell r="S51">
            <v>150000</v>
          </cell>
          <cell r="T51">
            <v>150000</v>
          </cell>
        </row>
        <row r="52">
          <cell r="Q52">
            <v>200000</v>
          </cell>
          <cell r="R52">
            <v>200000</v>
          </cell>
          <cell r="S52">
            <v>200000</v>
          </cell>
          <cell r="T52">
            <v>200000</v>
          </cell>
        </row>
        <row r="53">
          <cell r="Q53">
            <v>450000</v>
          </cell>
          <cell r="R53">
            <v>450000</v>
          </cell>
          <cell r="S53">
            <v>450000</v>
          </cell>
          <cell r="T53">
            <v>450000</v>
          </cell>
          <cell r="U53">
            <v>450000</v>
          </cell>
          <cell r="V53">
            <v>450000</v>
          </cell>
        </row>
        <row r="54">
          <cell r="Q54">
            <v>70000</v>
          </cell>
          <cell r="R54">
            <v>70000</v>
          </cell>
          <cell r="S54">
            <v>70000</v>
          </cell>
        </row>
        <row r="55">
          <cell r="Q55">
            <v>30000</v>
          </cell>
          <cell r="R55">
            <v>30000</v>
          </cell>
          <cell r="S55">
            <v>40000</v>
          </cell>
        </row>
      </sheetData>
      <sheetData sheetId="2">
        <row r="137">
          <cell r="O137">
            <v>24423.098907103871</v>
          </cell>
        </row>
        <row r="138">
          <cell r="O138">
            <v>29316.706557377103</v>
          </cell>
          <cell r="S138">
            <v>316089.87777777755</v>
          </cell>
          <cell r="T138">
            <v>318018.60391621105</v>
          </cell>
          <cell r="U138">
            <v>372003.60409836005</v>
          </cell>
          <cell r="V138">
            <v>372003.60409836005</v>
          </cell>
          <cell r="W138">
            <v>372003.60409836005</v>
          </cell>
          <cell r="X138">
            <v>372003.60409836005</v>
          </cell>
          <cell r="Y138">
            <v>372003.60409836005</v>
          </cell>
          <cell r="Z138">
            <v>372003.60409836005</v>
          </cell>
          <cell r="AA138">
            <v>372003.60409836005</v>
          </cell>
          <cell r="AB138">
            <v>372003.60409836005</v>
          </cell>
          <cell r="AC138">
            <v>372003.60409836005</v>
          </cell>
          <cell r="AD138">
            <v>372003.60409836005</v>
          </cell>
        </row>
      </sheetData>
      <sheetData sheetId="3">
        <row r="9">
          <cell r="F9">
            <v>35000</v>
          </cell>
          <cell r="H9">
            <v>7000</v>
          </cell>
          <cell r="P9">
            <v>6020</v>
          </cell>
        </row>
        <row r="10">
          <cell r="F10">
            <v>18000</v>
          </cell>
          <cell r="H10">
            <v>7000</v>
          </cell>
        </row>
        <row r="11">
          <cell r="F11">
            <v>69000</v>
          </cell>
          <cell r="H11">
            <v>20000</v>
          </cell>
          <cell r="O11">
            <v>30000</v>
          </cell>
          <cell r="P11">
            <v>20000</v>
          </cell>
        </row>
      </sheetData>
      <sheetData sheetId="4">
        <row r="8">
          <cell r="J8">
            <v>49.180327868852459</v>
          </cell>
          <cell r="K8">
            <v>49.180327868852459</v>
          </cell>
          <cell r="L8">
            <v>49.180327868852459</v>
          </cell>
          <cell r="M8">
            <v>49.180327868852459</v>
          </cell>
          <cell r="N8">
            <v>49.180327868852459</v>
          </cell>
          <cell r="O8">
            <v>49.180327868852459</v>
          </cell>
          <cell r="P8">
            <v>49.180327868852459</v>
          </cell>
          <cell r="Q8">
            <v>49.180327868852459</v>
          </cell>
          <cell r="R8">
            <v>49.180327868852459</v>
          </cell>
          <cell r="S8">
            <v>49.180327868852459</v>
          </cell>
          <cell r="T8">
            <v>49.180327868852459</v>
          </cell>
          <cell r="U8">
            <v>49.180327868852459</v>
          </cell>
        </row>
        <row r="9">
          <cell r="J9">
            <v>27.3224043715847</v>
          </cell>
          <cell r="K9">
            <v>27.3224043715847</v>
          </cell>
          <cell r="L9">
            <v>27.3224043715847</v>
          </cell>
          <cell r="M9">
            <v>27.3224043715847</v>
          </cell>
          <cell r="N9">
            <v>27.3224043715847</v>
          </cell>
          <cell r="O9">
            <v>27.3224043715847</v>
          </cell>
          <cell r="P9">
            <v>27.3224043715847</v>
          </cell>
          <cell r="Q9">
            <v>27.3224043715847</v>
          </cell>
          <cell r="R9">
            <v>27.3224043715847</v>
          </cell>
          <cell r="S9">
            <v>27.3224043715847</v>
          </cell>
          <cell r="T9">
            <v>27.3224043715847</v>
          </cell>
          <cell r="U9">
            <v>27.3224043715847</v>
          </cell>
        </row>
        <row r="10">
          <cell r="J10">
            <v>27.3224043715847</v>
          </cell>
          <cell r="K10">
            <v>27.3224043715847</v>
          </cell>
          <cell r="L10">
            <v>27.3224043715847</v>
          </cell>
          <cell r="M10">
            <v>27.3224043715847</v>
          </cell>
          <cell r="N10">
            <v>27.3224043715847</v>
          </cell>
          <cell r="O10">
            <v>27.3224043715847</v>
          </cell>
          <cell r="P10">
            <v>27.3224043715847</v>
          </cell>
          <cell r="Q10">
            <v>27.3224043715847</v>
          </cell>
          <cell r="R10">
            <v>27.3224043715847</v>
          </cell>
          <cell r="S10">
            <v>27.3224043715847</v>
          </cell>
          <cell r="T10">
            <v>27.3224043715847</v>
          </cell>
          <cell r="U10">
            <v>27.3224043715847</v>
          </cell>
        </row>
        <row r="11">
          <cell r="J11">
            <v>27.3224043715847</v>
          </cell>
          <cell r="K11">
            <v>27.3224043715847</v>
          </cell>
          <cell r="L11">
            <v>27.3224043715847</v>
          </cell>
          <cell r="M11">
            <v>27.3224043715847</v>
          </cell>
          <cell r="N11">
            <v>27.3224043715847</v>
          </cell>
          <cell r="O11">
            <v>27.3224043715847</v>
          </cell>
          <cell r="P11">
            <v>27.3224043715847</v>
          </cell>
          <cell r="Q11">
            <v>27.3224043715847</v>
          </cell>
          <cell r="R11">
            <v>27.3224043715847</v>
          </cell>
          <cell r="S11">
            <v>27.3224043715847</v>
          </cell>
          <cell r="T11">
            <v>27.3224043715847</v>
          </cell>
          <cell r="U11">
            <v>27.3224043715847</v>
          </cell>
        </row>
        <row r="12">
          <cell r="J12">
            <v>27.3224043715847</v>
          </cell>
          <cell r="K12">
            <v>27.3224043715847</v>
          </cell>
          <cell r="L12">
            <v>27.3224043715847</v>
          </cell>
          <cell r="M12">
            <v>27.3224043715847</v>
          </cell>
          <cell r="N12">
            <v>27.3224043715847</v>
          </cell>
          <cell r="O12">
            <v>27.3224043715847</v>
          </cell>
          <cell r="P12">
            <v>27.3224043715847</v>
          </cell>
          <cell r="Q12">
            <v>27.3224043715847</v>
          </cell>
          <cell r="R12">
            <v>27.3224043715847</v>
          </cell>
          <cell r="S12">
            <v>27.3224043715847</v>
          </cell>
          <cell r="T12">
            <v>27.3224043715847</v>
          </cell>
          <cell r="U12">
            <v>27.3224043715847</v>
          </cell>
        </row>
        <row r="13">
          <cell r="J13">
            <v>27.3224043715847</v>
          </cell>
          <cell r="K13">
            <v>27.3224043715847</v>
          </cell>
          <cell r="L13">
            <v>27.3224043715847</v>
          </cell>
          <cell r="M13">
            <v>27.3224043715847</v>
          </cell>
          <cell r="N13">
            <v>27.3224043715847</v>
          </cell>
          <cell r="O13">
            <v>27.3224043715847</v>
          </cell>
          <cell r="P13">
            <v>27.3224043715847</v>
          </cell>
          <cell r="Q13">
            <v>27.3224043715847</v>
          </cell>
          <cell r="R13">
            <v>27.3224043715847</v>
          </cell>
          <cell r="S13">
            <v>27.3224043715847</v>
          </cell>
          <cell r="T13">
            <v>27.3224043715847</v>
          </cell>
          <cell r="U13">
            <v>27.3224043715847</v>
          </cell>
        </row>
        <row r="14">
          <cell r="J14">
            <v>27.3224043715847</v>
          </cell>
          <cell r="K14">
            <v>27.3224043715847</v>
          </cell>
          <cell r="L14">
            <v>27.3224043715847</v>
          </cell>
          <cell r="M14">
            <v>27.3224043715847</v>
          </cell>
          <cell r="N14">
            <v>27.3224043715847</v>
          </cell>
          <cell r="O14">
            <v>27.3224043715847</v>
          </cell>
          <cell r="P14">
            <v>27.3224043715847</v>
          </cell>
          <cell r="Q14">
            <v>27.3224043715847</v>
          </cell>
          <cell r="R14">
            <v>27.3224043715847</v>
          </cell>
          <cell r="S14">
            <v>27.3224043715847</v>
          </cell>
          <cell r="T14">
            <v>27.3224043715847</v>
          </cell>
          <cell r="U14">
            <v>27.3224043715847</v>
          </cell>
        </row>
        <row r="15">
          <cell r="J15">
            <v>27.3224043715847</v>
          </cell>
          <cell r="K15">
            <v>27.3224043715847</v>
          </cell>
          <cell r="L15">
            <v>27.3224043715847</v>
          </cell>
          <cell r="M15">
            <v>27.3224043715847</v>
          </cell>
          <cell r="N15">
            <v>27.3224043715847</v>
          </cell>
          <cell r="O15">
            <v>27.3224043715847</v>
          </cell>
          <cell r="P15">
            <v>27.3224043715847</v>
          </cell>
          <cell r="Q15">
            <v>27.3224043715847</v>
          </cell>
          <cell r="R15">
            <v>27.3224043715847</v>
          </cell>
          <cell r="S15">
            <v>27.3224043715847</v>
          </cell>
          <cell r="T15">
            <v>27.3224043715847</v>
          </cell>
          <cell r="U15">
            <v>27.3224043715847</v>
          </cell>
        </row>
        <row r="16">
          <cell r="J16">
            <v>27.3224043715847</v>
          </cell>
          <cell r="K16">
            <v>27.3224043715847</v>
          </cell>
          <cell r="L16">
            <v>27.3224043715847</v>
          </cell>
          <cell r="M16">
            <v>27.3224043715847</v>
          </cell>
          <cell r="N16">
            <v>27.3224043715847</v>
          </cell>
          <cell r="O16">
            <v>27.3224043715847</v>
          </cell>
          <cell r="P16">
            <v>27.3224043715847</v>
          </cell>
          <cell r="Q16">
            <v>27.3224043715847</v>
          </cell>
          <cell r="R16">
            <v>27.3224043715847</v>
          </cell>
          <cell r="S16">
            <v>27.3224043715847</v>
          </cell>
          <cell r="T16">
            <v>27.3224043715847</v>
          </cell>
          <cell r="U16">
            <v>27.3224043715847</v>
          </cell>
        </row>
        <row r="17">
          <cell r="J17">
            <v>27.3224043715847</v>
          </cell>
          <cell r="K17">
            <v>27.3224043715847</v>
          </cell>
          <cell r="L17">
            <v>27.3224043715847</v>
          </cell>
          <cell r="M17">
            <v>27.3224043715847</v>
          </cell>
          <cell r="N17">
            <v>27.3224043715847</v>
          </cell>
          <cell r="O17">
            <v>27.3224043715847</v>
          </cell>
          <cell r="P17">
            <v>27.3224043715847</v>
          </cell>
          <cell r="Q17">
            <v>27.3224043715847</v>
          </cell>
          <cell r="R17">
            <v>27.3224043715847</v>
          </cell>
          <cell r="S17">
            <v>27.3224043715847</v>
          </cell>
          <cell r="T17">
            <v>27.3224043715847</v>
          </cell>
          <cell r="U17">
            <v>27.3224043715847</v>
          </cell>
        </row>
        <row r="18">
          <cell r="J18">
            <v>27.3224043715847</v>
          </cell>
          <cell r="K18">
            <v>27.3224043715847</v>
          </cell>
          <cell r="L18">
            <v>27.3224043715847</v>
          </cell>
          <cell r="M18">
            <v>27.3224043715847</v>
          </cell>
          <cell r="N18">
            <v>27.3224043715847</v>
          </cell>
          <cell r="O18">
            <v>27.3224043715847</v>
          </cell>
          <cell r="P18">
            <v>27.3224043715847</v>
          </cell>
          <cell r="Q18">
            <v>27.3224043715847</v>
          </cell>
          <cell r="R18">
            <v>27.3224043715847</v>
          </cell>
          <cell r="S18">
            <v>27.3224043715847</v>
          </cell>
          <cell r="T18">
            <v>27.3224043715847</v>
          </cell>
          <cell r="U18">
            <v>27.3224043715847</v>
          </cell>
        </row>
        <row r="19">
          <cell r="J19">
            <v>27.3224043715847</v>
          </cell>
          <cell r="K19">
            <v>27.3224043715847</v>
          </cell>
          <cell r="L19">
            <v>27.3224043715847</v>
          </cell>
          <cell r="M19">
            <v>27.3224043715847</v>
          </cell>
          <cell r="N19">
            <v>27.3224043715847</v>
          </cell>
          <cell r="O19">
            <v>27.3224043715847</v>
          </cell>
          <cell r="P19">
            <v>27.3224043715847</v>
          </cell>
          <cell r="Q19">
            <v>27.3224043715847</v>
          </cell>
          <cell r="R19">
            <v>27.3224043715847</v>
          </cell>
          <cell r="S19">
            <v>27.3224043715847</v>
          </cell>
          <cell r="T19">
            <v>27.3224043715847</v>
          </cell>
          <cell r="U19">
            <v>27.3224043715847</v>
          </cell>
        </row>
        <row r="20">
          <cell r="J20">
            <v>27.3224043715847</v>
          </cell>
          <cell r="K20">
            <v>27.3224043715847</v>
          </cell>
          <cell r="L20">
            <v>27.3224043715847</v>
          </cell>
          <cell r="M20">
            <v>27.3224043715847</v>
          </cell>
          <cell r="N20">
            <v>27.3224043715847</v>
          </cell>
          <cell r="O20">
            <v>27.3224043715847</v>
          </cell>
          <cell r="P20">
            <v>27.3224043715847</v>
          </cell>
          <cell r="Q20">
            <v>27.3224043715847</v>
          </cell>
          <cell r="R20">
            <v>27.3224043715847</v>
          </cell>
          <cell r="S20">
            <v>27.3224043715847</v>
          </cell>
          <cell r="T20">
            <v>27.3224043715847</v>
          </cell>
          <cell r="U20">
            <v>27.3224043715847</v>
          </cell>
        </row>
        <row r="21">
          <cell r="J21">
            <v>27.3224043715847</v>
          </cell>
          <cell r="K21">
            <v>27.3224043715847</v>
          </cell>
          <cell r="L21">
            <v>27.3224043715847</v>
          </cell>
          <cell r="M21">
            <v>27.3224043715847</v>
          </cell>
          <cell r="N21">
            <v>27.3224043715847</v>
          </cell>
          <cell r="O21">
            <v>27.3224043715847</v>
          </cell>
          <cell r="P21">
            <v>27.3224043715847</v>
          </cell>
          <cell r="Q21">
            <v>27.3224043715847</v>
          </cell>
          <cell r="R21">
            <v>27.3224043715847</v>
          </cell>
          <cell r="S21">
            <v>27.3224043715847</v>
          </cell>
          <cell r="T21">
            <v>27.3224043715847</v>
          </cell>
          <cell r="U21">
            <v>27.3224043715847</v>
          </cell>
        </row>
        <row r="22">
          <cell r="J22">
            <v>27.3224043715847</v>
          </cell>
          <cell r="K22">
            <v>27.3224043715847</v>
          </cell>
          <cell r="L22">
            <v>27.3224043715847</v>
          </cell>
          <cell r="M22">
            <v>27.3224043715847</v>
          </cell>
          <cell r="N22">
            <v>27.3224043715847</v>
          </cell>
          <cell r="O22">
            <v>27.3224043715847</v>
          </cell>
          <cell r="P22">
            <v>27.3224043715847</v>
          </cell>
          <cell r="Q22">
            <v>27.3224043715847</v>
          </cell>
          <cell r="R22">
            <v>27.3224043715847</v>
          </cell>
          <cell r="S22">
            <v>27.3224043715847</v>
          </cell>
          <cell r="T22">
            <v>27.3224043715847</v>
          </cell>
          <cell r="U22">
            <v>27.3224043715847</v>
          </cell>
        </row>
        <row r="23">
          <cell r="J23">
            <v>27.3224043715847</v>
          </cell>
          <cell r="K23">
            <v>27.3224043715847</v>
          </cell>
          <cell r="L23">
            <v>27.3224043715847</v>
          </cell>
          <cell r="M23">
            <v>27.3224043715847</v>
          </cell>
          <cell r="N23">
            <v>27.3224043715847</v>
          </cell>
          <cell r="O23">
            <v>27.3224043715847</v>
          </cell>
          <cell r="P23">
            <v>27.3224043715847</v>
          </cell>
          <cell r="Q23">
            <v>27.3224043715847</v>
          </cell>
          <cell r="R23">
            <v>27.3224043715847</v>
          </cell>
          <cell r="S23">
            <v>27.3224043715847</v>
          </cell>
          <cell r="T23">
            <v>27.3224043715847</v>
          </cell>
          <cell r="U23">
            <v>27.3224043715847</v>
          </cell>
        </row>
        <row r="24">
          <cell r="J24">
            <v>27.3224043715847</v>
          </cell>
          <cell r="K24">
            <v>27.3224043715847</v>
          </cell>
          <cell r="L24">
            <v>27.3224043715847</v>
          </cell>
          <cell r="M24">
            <v>27.3224043715847</v>
          </cell>
          <cell r="N24">
            <v>27.3224043715847</v>
          </cell>
          <cell r="O24">
            <v>27.3224043715847</v>
          </cell>
          <cell r="P24">
            <v>27.3224043715847</v>
          </cell>
          <cell r="Q24">
            <v>27.3224043715847</v>
          </cell>
          <cell r="R24">
            <v>27.3224043715847</v>
          </cell>
          <cell r="S24">
            <v>27.3224043715847</v>
          </cell>
          <cell r="T24">
            <v>27.3224043715847</v>
          </cell>
          <cell r="U24">
            <v>27.3224043715847</v>
          </cell>
        </row>
        <row r="25">
          <cell r="J25">
            <v>27.3224043715847</v>
          </cell>
          <cell r="K25">
            <v>27.3224043715847</v>
          </cell>
          <cell r="L25">
            <v>27.3224043715847</v>
          </cell>
          <cell r="M25">
            <v>27.3224043715847</v>
          </cell>
          <cell r="N25">
            <v>27.3224043715847</v>
          </cell>
          <cell r="O25">
            <v>27.3224043715847</v>
          </cell>
          <cell r="P25">
            <v>27.3224043715847</v>
          </cell>
          <cell r="Q25">
            <v>27.3224043715847</v>
          </cell>
          <cell r="R25">
            <v>27.3224043715847</v>
          </cell>
          <cell r="S25">
            <v>27.3224043715847</v>
          </cell>
          <cell r="T25">
            <v>27.3224043715847</v>
          </cell>
          <cell r="U25">
            <v>27.3224043715847</v>
          </cell>
        </row>
        <row r="26">
          <cell r="L26">
            <v>27.3224043715847</v>
          </cell>
          <cell r="M26">
            <v>27.3224043715847</v>
          </cell>
          <cell r="N26">
            <v>27.3224043715847</v>
          </cell>
          <cell r="O26">
            <v>27.3224043715847</v>
          </cell>
          <cell r="P26">
            <v>27.3224043715847</v>
          </cell>
          <cell r="Q26">
            <v>27.3224043715847</v>
          </cell>
          <cell r="R26">
            <v>27.3224043715847</v>
          </cell>
          <cell r="S26">
            <v>27.3224043715847</v>
          </cell>
          <cell r="T26">
            <v>27.3224043715847</v>
          </cell>
          <cell r="U26">
            <v>27.3224043715847</v>
          </cell>
        </row>
        <row r="27">
          <cell r="J27">
            <v>21.857923497267759</v>
          </cell>
          <cell r="K27">
            <v>21.857923497267759</v>
          </cell>
          <cell r="L27">
            <v>21.857923497267759</v>
          </cell>
          <cell r="M27">
            <v>21.857923497267759</v>
          </cell>
          <cell r="N27">
            <v>21.857923497267759</v>
          </cell>
          <cell r="O27">
            <v>21.857923497267759</v>
          </cell>
          <cell r="P27">
            <v>21.857923497267759</v>
          </cell>
          <cell r="Q27">
            <v>21.857923497267759</v>
          </cell>
          <cell r="R27">
            <v>21.857923497267759</v>
          </cell>
          <cell r="S27">
            <v>21.857923497267759</v>
          </cell>
          <cell r="T27">
            <v>21.857923497267759</v>
          </cell>
          <cell r="U27">
            <v>21.857923497267759</v>
          </cell>
        </row>
        <row r="28">
          <cell r="J28">
            <v>21.857923497267759</v>
          </cell>
          <cell r="K28">
            <v>21.857923497267759</v>
          </cell>
          <cell r="L28">
            <v>21.857923497267759</v>
          </cell>
          <cell r="M28">
            <v>21.857923497267759</v>
          </cell>
          <cell r="N28">
            <v>21.857923497267759</v>
          </cell>
          <cell r="O28">
            <v>21.857923497267759</v>
          </cell>
          <cell r="P28">
            <v>21.857923497267759</v>
          </cell>
          <cell r="Q28">
            <v>21.857923497267759</v>
          </cell>
          <cell r="R28">
            <v>21.857923497267759</v>
          </cell>
          <cell r="S28">
            <v>21.857923497267759</v>
          </cell>
          <cell r="T28">
            <v>21.857923497267759</v>
          </cell>
          <cell r="U28">
            <v>21.857923497267759</v>
          </cell>
        </row>
        <row r="29">
          <cell r="J29">
            <v>21.857923497267759</v>
          </cell>
          <cell r="K29">
            <v>21.857923497267759</v>
          </cell>
          <cell r="L29">
            <v>21.857923497267759</v>
          </cell>
          <cell r="M29">
            <v>21.857923497267759</v>
          </cell>
          <cell r="N29">
            <v>21.857923497267759</v>
          </cell>
          <cell r="O29">
            <v>21.857923497267759</v>
          </cell>
          <cell r="P29">
            <v>21.857923497267759</v>
          </cell>
          <cell r="Q29">
            <v>21.857923497267759</v>
          </cell>
          <cell r="R29">
            <v>21.857923497267759</v>
          </cell>
          <cell r="S29">
            <v>21.857923497267759</v>
          </cell>
          <cell r="T29">
            <v>21.857923497267759</v>
          </cell>
          <cell r="U29">
            <v>21.857923497267759</v>
          </cell>
        </row>
        <row r="30">
          <cell r="J30">
            <v>118.39708561020038</v>
          </cell>
          <cell r="K30">
            <v>118.39708561020038</v>
          </cell>
          <cell r="L30">
            <v>118.39708561020038</v>
          </cell>
          <cell r="M30">
            <v>118.39708561020038</v>
          </cell>
          <cell r="N30">
            <v>118.39708561020038</v>
          </cell>
          <cell r="O30">
            <v>118.39708561020038</v>
          </cell>
          <cell r="P30">
            <v>118.39708561020038</v>
          </cell>
          <cell r="Q30">
            <v>118.39708561020038</v>
          </cell>
          <cell r="R30">
            <v>118.39708561020038</v>
          </cell>
          <cell r="S30">
            <v>118.39708561020038</v>
          </cell>
          <cell r="T30">
            <v>118.39708561020038</v>
          </cell>
          <cell r="U30">
            <v>118.39708561020038</v>
          </cell>
        </row>
        <row r="31">
          <cell r="J31">
            <v>118.39708561020038</v>
          </cell>
          <cell r="K31">
            <v>118.39708561020038</v>
          </cell>
          <cell r="L31">
            <v>118.39708561020038</v>
          </cell>
          <cell r="M31">
            <v>118.39708561020038</v>
          </cell>
          <cell r="N31">
            <v>118.39708561020038</v>
          </cell>
          <cell r="O31">
            <v>118.39708561020038</v>
          </cell>
          <cell r="P31">
            <v>118.39708561020038</v>
          </cell>
          <cell r="Q31">
            <v>118.39708561020038</v>
          </cell>
          <cell r="R31">
            <v>118.39708561020038</v>
          </cell>
          <cell r="S31">
            <v>118.39708561020038</v>
          </cell>
          <cell r="T31">
            <v>118.39708561020038</v>
          </cell>
          <cell r="U31">
            <v>118.39708561020038</v>
          </cell>
        </row>
        <row r="32">
          <cell r="J32">
            <v>118.39708561020038</v>
          </cell>
          <cell r="K32">
            <v>118.39708561020038</v>
          </cell>
          <cell r="L32">
            <v>118.39708561020038</v>
          </cell>
          <cell r="M32">
            <v>118.39708561020038</v>
          </cell>
          <cell r="N32">
            <v>118.39708561020038</v>
          </cell>
          <cell r="O32">
            <v>118.39708561020038</v>
          </cell>
          <cell r="P32">
            <v>118.39708561020038</v>
          </cell>
          <cell r="Q32">
            <v>118.39708561020038</v>
          </cell>
          <cell r="R32">
            <v>118.39708561020038</v>
          </cell>
          <cell r="S32">
            <v>118.39708561020038</v>
          </cell>
          <cell r="T32">
            <v>118.39708561020038</v>
          </cell>
          <cell r="U32">
            <v>118.39708561020038</v>
          </cell>
        </row>
        <row r="33">
          <cell r="J33">
            <v>118.39708561020038</v>
          </cell>
          <cell r="K33">
            <v>118.39708561020038</v>
          </cell>
          <cell r="L33">
            <v>118.39708561020038</v>
          </cell>
          <cell r="M33">
            <v>118.39708561020038</v>
          </cell>
          <cell r="N33">
            <v>118.39708561020038</v>
          </cell>
          <cell r="O33">
            <v>118.39708561020038</v>
          </cell>
          <cell r="P33">
            <v>118.39708561020038</v>
          </cell>
          <cell r="Q33">
            <v>118.39708561020038</v>
          </cell>
          <cell r="R33">
            <v>118.39708561020038</v>
          </cell>
          <cell r="S33">
            <v>118.39708561020038</v>
          </cell>
          <cell r="T33">
            <v>118.39708561020038</v>
          </cell>
          <cell r="U33">
            <v>118.39708561020038</v>
          </cell>
        </row>
        <row r="34">
          <cell r="J34">
            <v>118.39708561020038</v>
          </cell>
          <cell r="K34">
            <v>118.39708561020038</v>
          </cell>
          <cell r="L34">
            <v>118.39708561020038</v>
          </cell>
          <cell r="M34">
            <v>118.39708561020038</v>
          </cell>
          <cell r="N34">
            <v>118.39708561020038</v>
          </cell>
          <cell r="O34">
            <v>118.39708561020038</v>
          </cell>
          <cell r="P34">
            <v>118.39708561020038</v>
          </cell>
          <cell r="Q34">
            <v>118.39708561020038</v>
          </cell>
          <cell r="R34">
            <v>118.39708561020038</v>
          </cell>
          <cell r="S34">
            <v>118.39708561020038</v>
          </cell>
          <cell r="T34">
            <v>118.39708561020038</v>
          </cell>
          <cell r="U34">
            <v>118.39708561020038</v>
          </cell>
        </row>
        <row r="35">
          <cell r="J35">
            <v>118.39708561020038</v>
          </cell>
          <cell r="K35">
            <v>118.39708561020038</v>
          </cell>
          <cell r="L35">
            <v>118.39708561020038</v>
          </cell>
          <cell r="M35">
            <v>118.39708561020038</v>
          </cell>
          <cell r="N35">
            <v>118.39708561020038</v>
          </cell>
          <cell r="O35">
            <v>118.39708561020038</v>
          </cell>
          <cell r="P35">
            <v>118.39708561020038</v>
          </cell>
          <cell r="Q35">
            <v>118.39708561020038</v>
          </cell>
          <cell r="R35">
            <v>118.39708561020038</v>
          </cell>
          <cell r="S35">
            <v>118.39708561020038</v>
          </cell>
          <cell r="T35">
            <v>118.39708561020038</v>
          </cell>
          <cell r="U35">
            <v>118.39708561020038</v>
          </cell>
        </row>
        <row r="36">
          <cell r="J36">
            <v>173.04189435336977</v>
          </cell>
          <cell r="K36">
            <v>173.04189435336977</v>
          </cell>
          <cell r="L36">
            <v>173.04189435336977</v>
          </cell>
          <cell r="M36">
            <v>173.04189435336977</v>
          </cell>
          <cell r="N36">
            <v>173.04189435336977</v>
          </cell>
          <cell r="O36">
            <v>173.04189435336977</v>
          </cell>
          <cell r="P36">
            <v>173.04189435336977</v>
          </cell>
          <cell r="Q36">
            <v>173.04189435336977</v>
          </cell>
          <cell r="R36">
            <v>173.04189435336977</v>
          </cell>
          <cell r="S36">
            <v>173.04189435336977</v>
          </cell>
          <cell r="T36">
            <v>173.04189435336977</v>
          </cell>
          <cell r="U36">
            <v>173.04189435336977</v>
          </cell>
        </row>
        <row r="51">
          <cell r="J51">
            <v>9180.6557377049176</v>
          </cell>
          <cell r="K51">
            <v>0</v>
          </cell>
          <cell r="L51">
            <v>0</v>
          </cell>
          <cell r="M51">
            <v>0</v>
          </cell>
          <cell r="N51">
            <v>0</v>
          </cell>
          <cell r="O51">
            <v>0</v>
          </cell>
          <cell r="P51">
            <v>0</v>
          </cell>
          <cell r="Q51">
            <v>0</v>
          </cell>
          <cell r="R51">
            <v>0</v>
          </cell>
          <cell r="S51">
            <v>0</v>
          </cell>
          <cell r="T51">
            <v>0</v>
          </cell>
          <cell r="U51">
            <v>0</v>
          </cell>
        </row>
      </sheetData>
      <sheetData sheetId="5">
        <row r="8">
          <cell r="S8">
            <v>5000</v>
          </cell>
          <cell r="Z8">
            <v>12504</v>
          </cell>
        </row>
        <row r="9">
          <cell r="S9">
            <v>5000</v>
          </cell>
          <cell r="Z9">
            <v>12504</v>
          </cell>
        </row>
        <row r="10">
          <cell r="S10">
            <v>5000</v>
          </cell>
          <cell r="Z10">
            <v>12504</v>
          </cell>
        </row>
        <row r="11">
          <cell r="S11">
            <v>5000</v>
          </cell>
          <cell r="Z11">
            <v>12504</v>
          </cell>
        </row>
        <row r="12">
          <cell r="S12">
            <v>5000</v>
          </cell>
          <cell r="Z12">
            <v>12504</v>
          </cell>
        </row>
        <row r="13">
          <cell r="S13">
            <v>5000</v>
          </cell>
          <cell r="Z13">
            <v>12504</v>
          </cell>
        </row>
      </sheetData>
      <sheetData sheetId="6">
        <row r="8">
          <cell r="G8">
            <v>5464.4808743169397</v>
          </cell>
          <cell r="H8">
            <v>5464.4808743169397</v>
          </cell>
          <cell r="I8">
            <v>5464.4808743169397</v>
          </cell>
          <cell r="J8">
            <v>5464.4808743169397</v>
          </cell>
          <cell r="K8">
            <v>5464.4808743169397</v>
          </cell>
          <cell r="L8">
            <v>5464.4808743169397</v>
          </cell>
          <cell r="M8">
            <v>5464.4808743169397</v>
          </cell>
          <cell r="N8">
            <v>5464.4808743169397</v>
          </cell>
          <cell r="O8">
            <v>5464.4808743169397</v>
          </cell>
          <cell r="P8">
            <v>5464.4808743169397</v>
          </cell>
          <cell r="Q8">
            <v>5464.4808743169397</v>
          </cell>
          <cell r="R8">
            <v>5464.4808743169397</v>
          </cell>
        </row>
        <row r="9">
          <cell r="D9">
            <v>20000</v>
          </cell>
        </row>
      </sheetData>
      <sheetData sheetId="7" refreshError="1"/>
      <sheetData sheetId="8">
        <row r="8">
          <cell r="M8">
            <v>800</v>
          </cell>
          <cell r="N8">
            <v>800</v>
          </cell>
          <cell r="O8">
            <v>800</v>
          </cell>
          <cell r="P8">
            <v>800</v>
          </cell>
          <cell r="Q8">
            <v>800</v>
          </cell>
          <cell r="R8">
            <v>800</v>
          </cell>
          <cell r="S8">
            <v>800</v>
          </cell>
          <cell r="T8">
            <v>800</v>
          </cell>
          <cell r="U8">
            <v>800</v>
          </cell>
          <cell r="V8">
            <v>800</v>
          </cell>
          <cell r="W8">
            <v>800</v>
          </cell>
          <cell r="X8">
            <v>800</v>
          </cell>
        </row>
        <row r="9">
          <cell r="M9">
            <v>1200</v>
          </cell>
          <cell r="N9">
            <v>1200</v>
          </cell>
          <cell r="O9">
            <v>1200</v>
          </cell>
          <cell r="P9">
            <v>1200</v>
          </cell>
          <cell r="Q9">
            <v>1200</v>
          </cell>
          <cell r="R9">
            <v>1200</v>
          </cell>
          <cell r="S9">
            <v>1200</v>
          </cell>
          <cell r="T9">
            <v>1200</v>
          </cell>
          <cell r="U9">
            <v>1200</v>
          </cell>
          <cell r="V9">
            <v>1200</v>
          </cell>
          <cell r="W9">
            <v>1200</v>
          </cell>
          <cell r="X9">
            <v>1200</v>
          </cell>
        </row>
        <row r="10">
          <cell r="M10">
            <v>9000</v>
          </cell>
          <cell r="O10">
            <v>9000</v>
          </cell>
          <cell r="Q10">
            <v>9000</v>
          </cell>
          <cell r="S10">
            <v>9000</v>
          </cell>
          <cell r="U10">
            <v>9000</v>
          </cell>
          <cell r="W10">
            <v>9000</v>
          </cell>
        </row>
        <row r="18">
          <cell r="N18">
            <v>51912.56830601093</v>
          </cell>
          <cell r="O18">
            <v>51912.56830601093</v>
          </cell>
          <cell r="P18">
            <v>51912.56830601093</v>
          </cell>
          <cell r="Q18">
            <v>51912.56830601093</v>
          </cell>
          <cell r="R18">
            <v>51912.56830601093</v>
          </cell>
          <cell r="S18">
            <v>51912.56830601093</v>
          </cell>
          <cell r="T18">
            <v>51912.56830601093</v>
          </cell>
          <cell r="U18">
            <v>51912.56830601093</v>
          </cell>
          <cell r="V18">
            <v>51912.56830601093</v>
          </cell>
          <cell r="W18">
            <v>51912.56830601093</v>
          </cell>
          <cell r="X18">
            <v>51912.56830601093</v>
          </cell>
        </row>
        <row r="19">
          <cell r="N19">
            <v>51912.56830601093</v>
          </cell>
          <cell r="O19">
            <v>51912.56830601093</v>
          </cell>
          <cell r="P19">
            <v>51912.56830601093</v>
          </cell>
          <cell r="Q19">
            <v>51912.56830601093</v>
          </cell>
          <cell r="R19">
            <v>51912.56830601093</v>
          </cell>
          <cell r="S19">
            <v>51912.56830601093</v>
          </cell>
          <cell r="T19">
            <v>51912.56830601093</v>
          </cell>
          <cell r="U19">
            <v>51912.56830601093</v>
          </cell>
          <cell r="V19">
            <v>51912.56830601093</v>
          </cell>
          <cell r="W19">
            <v>51912.56830601093</v>
          </cell>
          <cell r="X19">
            <v>51912.56830601093</v>
          </cell>
        </row>
        <row r="20">
          <cell r="N20">
            <v>51912.56830601093</v>
          </cell>
          <cell r="O20">
            <v>51912.56830601093</v>
          </cell>
          <cell r="P20">
            <v>51912.56830601093</v>
          </cell>
          <cell r="Q20">
            <v>51912.56830601093</v>
          </cell>
          <cell r="R20">
            <v>51912.56830601093</v>
          </cell>
          <cell r="S20">
            <v>51912.56830601093</v>
          </cell>
          <cell r="T20">
            <v>51912.56830601093</v>
          </cell>
          <cell r="U20">
            <v>51912.56830601093</v>
          </cell>
          <cell r="V20">
            <v>51912.56830601093</v>
          </cell>
          <cell r="W20">
            <v>51912.56830601093</v>
          </cell>
          <cell r="X20">
            <v>51912.56830601093</v>
          </cell>
        </row>
        <row r="21">
          <cell r="N21">
            <v>51912.56830601093</v>
          </cell>
          <cell r="O21">
            <v>51912.56830601093</v>
          </cell>
          <cell r="P21">
            <v>51912.56830601093</v>
          </cell>
          <cell r="Q21">
            <v>51912.56830601093</v>
          </cell>
          <cell r="R21">
            <v>51912.56830601093</v>
          </cell>
          <cell r="S21">
            <v>51912.56830601093</v>
          </cell>
          <cell r="T21">
            <v>51912.56830601093</v>
          </cell>
          <cell r="U21">
            <v>51912.56830601093</v>
          </cell>
          <cell r="V21">
            <v>51912.56830601093</v>
          </cell>
          <cell r="W21">
            <v>51912.56830601093</v>
          </cell>
          <cell r="X21">
            <v>51912.56830601093</v>
          </cell>
        </row>
        <row r="22">
          <cell r="N22">
            <v>51912.56830601093</v>
          </cell>
          <cell r="O22">
            <v>51912.56830601093</v>
          </cell>
          <cell r="P22">
            <v>51912.56830601093</v>
          </cell>
          <cell r="Q22">
            <v>51912.56830601093</v>
          </cell>
          <cell r="R22">
            <v>51912.56830601093</v>
          </cell>
          <cell r="S22">
            <v>51912.56830601093</v>
          </cell>
          <cell r="T22">
            <v>51912.56830601093</v>
          </cell>
          <cell r="U22">
            <v>51912.56830601093</v>
          </cell>
          <cell r="V22">
            <v>51912.56830601093</v>
          </cell>
          <cell r="W22">
            <v>51912.56830601093</v>
          </cell>
          <cell r="X22">
            <v>51912.56830601093</v>
          </cell>
        </row>
        <row r="24">
          <cell r="N24">
            <v>14500</v>
          </cell>
          <cell r="O24">
            <v>14500</v>
          </cell>
          <cell r="P24">
            <v>14500</v>
          </cell>
          <cell r="Q24">
            <v>14500</v>
          </cell>
          <cell r="R24">
            <v>14500</v>
          </cell>
          <cell r="S24">
            <v>14500</v>
          </cell>
          <cell r="T24">
            <v>14500</v>
          </cell>
          <cell r="U24">
            <v>14500</v>
          </cell>
          <cell r="V24">
            <v>14500</v>
          </cell>
          <cell r="W24">
            <v>14500</v>
          </cell>
          <cell r="X24">
            <v>14500</v>
          </cell>
        </row>
        <row r="25">
          <cell r="N25">
            <v>14500</v>
          </cell>
          <cell r="O25">
            <v>14500</v>
          </cell>
          <cell r="P25">
            <v>14500</v>
          </cell>
          <cell r="Q25">
            <v>14500</v>
          </cell>
          <cell r="R25">
            <v>14500</v>
          </cell>
          <cell r="S25">
            <v>14500</v>
          </cell>
          <cell r="T25">
            <v>14500</v>
          </cell>
          <cell r="U25">
            <v>14500</v>
          </cell>
          <cell r="V25">
            <v>14500</v>
          </cell>
          <cell r="W25">
            <v>14500</v>
          </cell>
          <cell r="X25">
            <v>14500</v>
          </cell>
        </row>
        <row r="26">
          <cell r="N26">
            <v>14500</v>
          </cell>
          <cell r="O26">
            <v>14500</v>
          </cell>
          <cell r="P26">
            <v>14500</v>
          </cell>
          <cell r="Q26">
            <v>14500</v>
          </cell>
          <cell r="R26">
            <v>14500</v>
          </cell>
          <cell r="S26">
            <v>14500</v>
          </cell>
          <cell r="T26">
            <v>14500</v>
          </cell>
          <cell r="U26">
            <v>14500</v>
          </cell>
          <cell r="V26">
            <v>14500</v>
          </cell>
          <cell r="W26">
            <v>14500</v>
          </cell>
          <cell r="X26">
            <v>14500</v>
          </cell>
        </row>
        <row r="27">
          <cell r="N27">
            <v>14500</v>
          </cell>
          <cell r="O27">
            <v>14500</v>
          </cell>
          <cell r="P27">
            <v>14500</v>
          </cell>
          <cell r="Q27">
            <v>14500</v>
          </cell>
          <cell r="R27">
            <v>14500</v>
          </cell>
          <cell r="S27">
            <v>14500</v>
          </cell>
          <cell r="T27">
            <v>14500</v>
          </cell>
          <cell r="U27">
            <v>14500</v>
          </cell>
          <cell r="V27">
            <v>14500</v>
          </cell>
          <cell r="W27">
            <v>14500</v>
          </cell>
          <cell r="X27">
            <v>14500</v>
          </cell>
        </row>
        <row r="29">
          <cell r="N29">
            <v>4000</v>
          </cell>
          <cell r="O29">
            <v>4000</v>
          </cell>
          <cell r="P29">
            <v>4000</v>
          </cell>
          <cell r="Q29">
            <v>4000</v>
          </cell>
          <cell r="R29">
            <v>4000</v>
          </cell>
          <cell r="S29">
            <v>4000</v>
          </cell>
          <cell r="T29">
            <v>4000</v>
          </cell>
          <cell r="U29">
            <v>4000</v>
          </cell>
          <cell r="V29">
            <v>4000</v>
          </cell>
          <cell r="W29">
            <v>4000</v>
          </cell>
          <cell r="X29">
            <v>4000</v>
          </cell>
        </row>
        <row r="30">
          <cell r="N30">
            <v>4000</v>
          </cell>
          <cell r="O30">
            <v>4000</v>
          </cell>
          <cell r="P30">
            <v>4000</v>
          </cell>
          <cell r="Q30">
            <v>4000</v>
          </cell>
          <cell r="R30">
            <v>4000</v>
          </cell>
          <cell r="S30">
            <v>4000</v>
          </cell>
          <cell r="T30">
            <v>4000</v>
          </cell>
          <cell r="U30">
            <v>4000</v>
          </cell>
          <cell r="V30">
            <v>4000</v>
          </cell>
          <cell r="W30">
            <v>4000</v>
          </cell>
          <cell r="X30">
            <v>4000</v>
          </cell>
        </row>
        <row r="31">
          <cell r="N31">
            <v>4000</v>
          </cell>
          <cell r="O31">
            <v>4000</v>
          </cell>
          <cell r="P31">
            <v>4000</v>
          </cell>
          <cell r="Q31">
            <v>4000</v>
          </cell>
          <cell r="R31">
            <v>4000</v>
          </cell>
          <cell r="S31">
            <v>4000</v>
          </cell>
          <cell r="T31">
            <v>4000</v>
          </cell>
          <cell r="U31">
            <v>4000</v>
          </cell>
          <cell r="V31">
            <v>4000</v>
          </cell>
          <cell r="W31">
            <v>4000</v>
          </cell>
          <cell r="X31">
            <v>4000</v>
          </cell>
        </row>
        <row r="32">
          <cell r="N32">
            <v>4000</v>
          </cell>
          <cell r="O32">
            <v>4000</v>
          </cell>
          <cell r="P32">
            <v>4000</v>
          </cell>
          <cell r="Q32">
            <v>4000</v>
          </cell>
          <cell r="R32">
            <v>4000</v>
          </cell>
          <cell r="S32">
            <v>4000</v>
          </cell>
          <cell r="T32">
            <v>4000</v>
          </cell>
          <cell r="U32">
            <v>4000</v>
          </cell>
          <cell r="V32">
            <v>4000</v>
          </cell>
          <cell r="W32">
            <v>4000</v>
          </cell>
          <cell r="X32">
            <v>4000</v>
          </cell>
        </row>
        <row r="34">
          <cell r="N34">
            <v>62000</v>
          </cell>
          <cell r="O34">
            <v>62000</v>
          </cell>
          <cell r="P34">
            <v>62000</v>
          </cell>
        </row>
        <row r="35">
          <cell r="N35">
            <v>62000</v>
          </cell>
          <cell r="O35">
            <v>62000</v>
          </cell>
          <cell r="P35">
            <v>62000</v>
          </cell>
          <cell r="Q35">
            <v>62000</v>
          </cell>
          <cell r="R35">
            <v>62000</v>
          </cell>
          <cell r="S35">
            <v>62000</v>
          </cell>
          <cell r="T35">
            <v>62000</v>
          </cell>
          <cell r="U35">
            <v>62000</v>
          </cell>
          <cell r="V35">
            <v>62000</v>
          </cell>
          <cell r="W35">
            <v>62000</v>
          </cell>
          <cell r="X35">
            <v>62000</v>
          </cell>
        </row>
        <row r="36">
          <cell r="N36">
            <v>31000</v>
          </cell>
          <cell r="O36">
            <v>31000</v>
          </cell>
          <cell r="P36">
            <v>31000</v>
          </cell>
          <cell r="Q36">
            <v>31000</v>
          </cell>
          <cell r="R36">
            <v>31000</v>
          </cell>
          <cell r="S36">
            <v>31000</v>
          </cell>
          <cell r="T36">
            <v>31000</v>
          </cell>
          <cell r="U36">
            <v>31000</v>
          </cell>
          <cell r="V36">
            <v>31000</v>
          </cell>
          <cell r="W36">
            <v>31000</v>
          </cell>
          <cell r="X36">
            <v>31000</v>
          </cell>
        </row>
        <row r="37">
          <cell r="N37">
            <v>31000</v>
          </cell>
          <cell r="O37">
            <v>31000</v>
          </cell>
          <cell r="P37">
            <v>31000</v>
          </cell>
          <cell r="Q37">
            <v>31000</v>
          </cell>
          <cell r="R37">
            <v>31000</v>
          </cell>
          <cell r="S37">
            <v>31000</v>
          </cell>
          <cell r="T37">
            <v>31000</v>
          </cell>
          <cell r="U37">
            <v>31000</v>
          </cell>
          <cell r="V37">
            <v>31000</v>
          </cell>
          <cell r="W37">
            <v>31000</v>
          </cell>
          <cell r="X37">
            <v>31000</v>
          </cell>
        </row>
        <row r="38">
          <cell r="N38">
            <v>31000</v>
          </cell>
          <cell r="O38">
            <v>31000</v>
          </cell>
          <cell r="P38">
            <v>31000</v>
          </cell>
          <cell r="Q38">
            <v>31000</v>
          </cell>
          <cell r="R38">
            <v>31000</v>
          </cell>
          <cell r="S38">
            <v>31000</v>
          </cell>
          <cell r="T38">
            <v>31000</v>
          </cell>
          <cell r="U38">
            <v>31000</v>
          </cell>
          <cell r="V38">
            <v>31000</v>
          </cell>
          <cell r="W38">
            <v>31000</v>
          </cell>
          <cell r="X38">
            <v>31000</v>
          </cell>
        </row>
        <row r="40">
          <cell r="M40">
            <v>15176.470588235294</v>
          </cell>
          <cell r="N40">
            <v>15176.470588235294</v>
          </cell>
          <cell r="O40">
            <v>15176.470588235294</v>
          </cell>
          <cell r="P40">
            <v>15176.470588235294</v>
          </cell>
          <cell r="Q40">
            <v>15176.470588235294</v>
          </cell>
          <cell r="R40">
            <v>15176.470588235294</v>
          </cell>
          <cell r="S40">
            <v>15176.470588235294</v>
          </cell>
          <cell r="T40">
            <v>15176.470588235294</v>
          </cell>
          <cell r="U40">
            <v>15176.470588235294</v>
          </cell>
          <cell r="V40">
            <v>15176.470588235294</v>
          </cell>
          <cell r="W40">
            <v>15176.470588235294</v>
          </cell>
          <cell r="X40">
            <v>15176.470588235294</v>
          </cell>
        </row>
        <row r="41">
          <cell r="M41">
            <v>30352.941176470587</v>
          </cell>
          <cell r="N41">
            <v>30352.941176470587</v>
          </cell>
          <cell r="O41">
            <v>30352.941176470587</v>
          </cell>
          <cell r="P41">
            <v>30352.941176470587</v>
          </cell>
          <cell r="Q41">
            <v>30352.941176470587</v>
          </cell>
          <cell r="R41">
            <v>30352.941176470587</v>
          </cell>
          <cell r="S41">
            <v>30352.941176470587</v>
          </cell>
          <cell r="T41">
            <v>30352.941176470587</v>
          </cell>
          <cell r="U41">
            <v>30352.941176470587</v>
          </cell>
          <cell r="V41">
            <v>30352.941176470587</v>
          </cell>
          <cell r="W41">
            <v>30352.941176470587</v>
          </cell>
          <cell r="X41">
            <v>30352.941176470587</v>
          </cell>
        </row>
        <row r="42">
          <cell r="W42">
            <v>3000</v>
          </cell>
          <cell r="X42">
            <v>3000</v>
          </cell>
        </row>
        <row r="43">
          <cell r="P43">
            <v>10000</v>
          </cell>
          <cell r="R43">
            <v>10000</v>
          </cell>
          <cell r="T43">
            <v>10000</v>
          </cell>
          <cell r="U43">
            <v>10000</v>
          </cell>
          <cell r="W43">
            <v>10000</v>
          </cell>
          <cell r="X43">
            <v>10000</v>
          </cell>
        </row>
        <row r="44">
          <cell r="P44">
            <v>10000</v>
          </cell>
          <cell r="R44">
            <v>10000</v>
          </cell>
          <cell r="T44">
            <v>10000</v>
          </cell>
          <cell r="U44">
            <v>10000</v>
          </cell>
          <cell r="W44">
            <v>10000</v>
          </cell>
          <cell r="X44">
            <v>10000</v>
          </cell>
        </row>
        <row r="45">
          <cell r="M45">
            <v>6000</v>
          </cell>
          <cell r="N45">
            <v>6000</v>
          </cell>
          <cell r="O45">
            <v>6000</v>
          </cell>
          <cell r="P45">
            <v>6000</v>
          </cell>
          <cell r="Q45">
            <v>6000</v>
          </cell>
          <cell r="R45">
            <v>6000</v>
          </cell>
          <cell r="S45">
            <v>6000</v>
          </cell>
          <cell r="T45">
            <v>6000</v>
          </cell>
          <cell r="U45">
            <v>6000</v>
          </cell>
          <cell r="V45">
            <v>6000</v>
          </cell>
          <cell r="W45">
            <v>6000</v>
          </cell>
          <cell r="X45">
            <v>6000</v>
          </cell>
        </row>
        <row r="46">
          <cell r="X46">
            <v>20000</v>
          </cell>
        </row>
        <row r="47">
          <cell r="X47">
            <v>15000</v>
          </cell>
        </row>
        <row r="48">
          <cell r="M48">
            <v>55000</v>
          </cell>
          <cell r="O48">
            <v>55000</v>
          </cell>
          <cell r="Q48">
            <v>55000</v>
          </cell>
          <cell r="S48">
            <v>55000</v>
          </cell>
          <cell r="U48">
            <v>55000</v>
          </cell>
          <cell r="W48">
            <v>55000</v>
          </cell>
        </row>
        <row r="49">
          <cell r="M49">
            <v>4000</v>
          </cell>
          <cell r="N49">
            <v>4000</v>
          </cell>
          <cell r="O49">
            <v>4000</v>
          </cell>
          <cell r="P49">
            <v>4000</v>
          </cell>
          <cell r="Q49">
            <v>4000</v>
          </cell>
          <cell r="R49">
            <v>4000</v>
          </cell>
          <cell r="S49">
            <v>4000</v>
          </cell>
          <cell r="T49">
            <v>4000</v>
          </cell>
          <cell r="U49">
            <v>4000</v>
          </cell>
          <cell r="V49">
            <v>4000</v>
          </cell>
          <cell r="W49">
            <v>4000</v>
          </cell>
          <cell r="X49">
            <v>4000</v>
          </cell>
        </row>
        <row r="50">
          <cell r="M50">
            <v>18000</v>
          </cell>
          <cell r="N50">
            <v>18000</v>
          </cell>
          <cell r="O50">
            <v>18000</v>
          </cell>
          <cell r="P50">
            <v>18000</v>
          </cell>
          <cell r="Q50">
            <v>18000</v>
          </cell>
          <cell r="R50">
            <v>18000</v>
          </cell>
          <cell r="S50">
            <v>18000</v>
          </cell>
          <cell r="T50">
            <v>18000</v>
          </cell>
          <cell r="U50">
            <v>18000</v>
          </cell>
          <cell r="V50">
            <v>18000</v>
          </cell>
          <cell r="W50">
            <v>18000</v>
          </cell>
          <cell r="X50">
            <v>18000</v>
          </cell>
        </row>
        <row r="51">
          <cell r="M51">
            <v>540000</v>
          </cell>
          <cell r="N51">
            <v>540000</v>
          </cell>
          <cell r="O51">
            <v>540000</v>
          </cell>
          <cell r="P51">
            <v>540000</v>
          </cell>
          <cell r="Q51">
            <v>540000</v>
          </cell>
          <cell r="R51">
            <v>540000</v>
          </cell>
          <cell r="S51">
            <v>540000</v>
          </cell>
          <cell r="T51">
            <v>540000</v>
          </cell>
          <cell r="U51">
            <v>540000</v>
          </cell>
          <cell r="V51">
            <v>540000</v>
          </cell>
          <cell r="W51">
            <v>186385.26195757702</v>
          </cell>
        </row>
        <row r="58">
          <cell r="M58">
            <v>6000</v>
          </cell>
          <cell r="N58">
            <v>6000</v>
          </cell>
          <cell r="O58">
            <v>6000</v>
          </cell>
          <cell r="P58">
            <v>6000</v>
          </cell>
          <cell r="Q58">
            <v>6000</v>
          </cell>
          <cell r="R58">
            <v>6000</v>
          </cell>
          <cell r="S58">
            <v>6000</v>
          </cell>
          <cell r="T58">
            <v>6000</v>
          </cell>
          <cell r="U58">
            <v>6000</v>
          </cell>
          <cell r="V58">
            <v>6000</v>
          </cell>
          <cell r="W58">
            <v>6000</v>
          </cell>
          <cell r="X58">
            <v>6000</v>
          </cell>
        </row>
        <row r="59">
          <cell r="M59">
            <v>500</v>
          </cell>
          <cell r="N59">
            <v>500</v>
          </cell>
          <cell r="O59">
            <v>500</v>
          </cell>
          <cell r="P59">
            <v>500</v>
          </cell>
          <cell r="Q59">
            <v>500</v>
          </cell>
          <cell r="R59">
            <v>500</v>
          </cell>
          <cell r="S59">
            <v>500</v>
          </cell>
          <cell r="T59">
            <v>500</v>
          </cell>
          <cell r="U59">
            <v>500</v>
          </cell>
          <cell r="V59">
            <v>500</v>
          </cell>
          <cell r="W59">
            <v>500</v>
          </cell>
          <cell r="X59">
            <v>500</v>
          </cell>
        </row>
        <row r="60">
          <cell r="M60">
            <v>1000</v>
          </cell>
          <cell r="N60">
            <v>1000</v>
          </cell>
          <cell r="O60">
            <v>1000</v>
          </cell>
          <cell r="P60">
            <v>1000</v>
          </cell>
          <cell r="Q60">
            <v>1000</v>
          </cell>
          <cell r="R60">
            <v>1000</v>
          </cell>
          <cell r="S60">
            <v>1000</v>
          </cell>
          <cell r="T60">
            <v>1000</v>
          </cell>
          <cell r="U60">
            <v>1000</v>
          </cell>
          <cell r="V60">
            <v>1000</v>
          </cell>
          <cell r="W60">
            <v>1000</v>
          </cell>
          <cell r="X60">
            <v>1000</v>
          </cell>
        </row>
        <row r="61">
          <cell r="M61">
            <v>18000</v>
          </cell>
          <cell r="N61">
            <v>18000</v>
          </cell>
          <cell r="O61">
            <v>18000</v>
          </cell>
          <cell r="P61">
            <v>18000</v>
          </cell>
          <cell r="Q61">
            <v>18000</v>
          </cell>
          <cell r="R61">
            <v>18000</v>
          </cell>
          <cell r="S61">
            <v>18000</v>
          </cell>
          <cell r="T61">
            <v>18000</v>
          </cell>
          <cell r="U61">
            <v>18000</v>
          </cell>
          <cell r="V61">
            <v>18000</v>
          </cell>
          <cell r="W61">
            <v>18000</v>
          </cell>
          <cell r="X61">
            <v>18000</v>
          </cell>
        </row>
        <row r="62">
          <cell r="M62">
            <v>2000</v>
          </cell>
          <cell r="N62">
            <v>2000</v>
          </cell>
          <cell r="O62">
            <v>2000</v>
          </cell>
          <cell r="P62">
            <v>2000</v>
          </cell>
          <cell r="Q62">
            <v>2000</v>
          </cell>
          <cell r="R62">
            <v>2000</v>
          </cell>
          <cell r="S62">
            <v>2000</v>
          </cell>
          <cell r="T62">
            <v>2000</v>
          </cell>
          <cell r="U62">
            <v>2000</v>
          </cell>
          <cell r="V62">
            <v>2000</v>
          </cell>
          <cell r="W62">
            <v>2000</v>
          </cell>
          <cell r="X62">
            <v>2000</v>
          </cell>
        </row>
        <row r="63">
          <cell r="M63">
            <v>45000</v>
          </cell>
          <cell r="P63">
            <v>45000</v>
          </cell>
          <cell r="S63">
            <v>45000</v>
          </cell>
          <cell r="V63">
            <v>45000</v>
          </cell>
        </row>
        <row r="64">
          <cell r="M64">
            <v>50000</v>
          </cell>
          <cell r="R64">
            <v>50000</v>
          </cell>
          <cell r="S64">
            <v>0</v>
          </cell>
          <cell r="V64">
            <v>0</v>
          </cell>
          <cell r="W64">
            <v>50000</v>
          </cell>
        </row>
        <row r="65">
          <cell r="M65">
            <v>12000</v>
          </cell>
          <cell r="N65">
            <v>12000</v>
          </cell>
          <cell r="O65">
            <v>12000</v>
          </cell>
          <cell r="P65">
            <v>12000</v>
          </cell>
          <cell r="Q65">
            <v>12000</v>
          </cell>
          <cell r="R65">
            <v>12000</v>
          </cell>
          <cell r="S65">
            <v>12000</v>
          </cell>
          <cell r="T65">
            <v>12000</v>
          </cell>
          <cell r="U65">
            <v>12000</v>
          </cell>
          <cell r="V65">
            <v>12000</v>
          </cell>
          <cell r="W65">
            <v>12000</v>
          </cell>
          <cell r="X65">
            <v>12000</v>
          </cell>
        </row>
        <row r="66">
          <cell r="M66">
            <v>30000</v>
          </cell>
          <cell r="Q66">
            <v>30000</v>
          </cell>
          <cell r="U66">
            <v>30000</v>
          </cell>
        </row>
      </sheetData>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LUJO"/>
      <sheetName val="F00 INV"/>
      <sheetName val="F01 NÓM"/>
      <sheetName val="F02 INM Y SERV"/>
      <sheetName val="F03 COM Y EQ COM"/>
      <sheetName val="F04 VEH Y COMB. "/>
      <sheetName val="F05 VIÁ"/>
      <sheetName val="F06 CONST. "/>
      <sheetName val="F07 OPERAC"/>
      <sheetName val="F08 ING"/>
      <sheetName val="EGRESOS"/>
      <sheetName val="Hoja1"/>
    </sheetNames>
    <sheetDataSet>
      <sheetData sheetId="0"/>
      <sheetData sheetId="1"/>
      <sheetData sheetId="2"/>
      <sheetData sheetId="3"/>
      <sheetData sheetId="4"/>
      <sheetData sheetId="5"/>
      <sheetData sheetId="6"/>
      <sheetData sheetId="7"/>
      <sheetData sheetId="8">
        <row r="18">
          <cell r="M18">
            <v>51912.56830601093</v>
          </cell>
        </row>
        <row r="19">
          <cell r="M19">
            <v>51912.56830601093</v>
          </cell>
        </row>
        <row r="20">
          <cell r="M20">
            <v>51912.56830601093</v>
          </cell>
        </row>
        <row r="21">
          <cell r="M21">
            <v>51912.56830601093</v>
          </cell>
        </row>
        <row r="22">
          <cell r="M22">
            <v>51912.56830601093</v>
          </cell>
        </row>
        <row r="23">
          <cell r="M23"/>
        </row>
        <row r="24">
          <cell r="M24">
            <v>14500</v>
          </cell>
        </row>
        <row r="25">
          <cell r="M25">
            <v>14500</v>
          </cell>
        </row>
        <row r="26">
          <cell r="M26">
            <v>14500</v>
          </cell>
        </row>
        <row r="27">
          <cell r="M27">
            <v>14500</v>
          </cell>
        </row>
        <row r="28">
          <cell r="M28"/>
        </row>
        <row r="29">
          <cell r="M29">
            <v>4000</v>
          </cell>
        </row>
        <row r="30">
          <cell r="M30">
            <v>4000</v>
          </cell>
        </row>
        <row r="31">
          <cell r="M31">
            <v>4000</v>
          </cell>
        </row>
        <row r="32">
          <cell r="M32">
            <v>4000</v>
          </cell>
        </row>
        <row r="33">
          <cell r="M33"/>
        </row>
        <row r="34">
          <cell r="M34">
            <v>62000</v>
          </cell>
        </row>
        <row r="35">
          <cell r="M35">
            <v>62000</v>
          </cell>
        </row>
        <row r="36">
          <cell r="M36">
            <v>31000</v>
          </cell>
        </row>
        <row r="37">
          <cell r="M37">
            <v>31000</v>
          </cell>
        </row>
        <row r="38">
          <cell r="M38">
            <v>31000</v>
          </cell>
        </row>
        <row r="39">
          <cell r="M39"/>
        </row>
      </sheetData>
      <sheetData sheetId="9"/>
      <sheetData sheetId="10"/>
      <sheetData sheetId="1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E3874-06CA-4B5F-BE27-628D7B39A5DE}">
  <dimension ref="A1:P162"/>
  <sheetViews>
    <sheetView workbookViewId="0">
      <pane xSplit="2" ySplit="8" topLeftCell="C14" activePane="bottomRight" state="frozen"/>
      <selection pane="topRight" activeCell="C1" sqref="C1"/>
      <selection pane="bottomLeft" activeCell="A7" sqref="A7"/>
      <selection pane="bottomRight" activeCell="I78" sqref="I78"/>
    </sheetView>
  </sheetViews>
  <sheetFormatPr baseColWidth="10" defaultRowHeight="15" outlineLevelRow="1" x14ac:dyDescent="0.25"/>
  <cols>
    <col min="1" max="1" width="34.140625" bestFit="1" customWidth="1"/>
    <col min="2" max="2" width="18.85546875" bestFit="1" customWidth="1"/>
    <col min="3" max="3" width="16.5703125" customWidth="1"/>
    <col min="4" max="14" width="15.5703125" customWidth="1"/>
    <col min="16" max="16" width="10.85546875" style="11"/>
    <col min="231" max="231" width="34.140625" bestFit="1" customWidth="1"/>
    <col min="232" max="270" width="15.5703125" customWidth="1"/>
    <col min="487" max="487" width="34.140625" bestFit="1" customWidth="1"/>
    <col min="488" max="526" width="15.5703125" customWidth="1"/>
    <col min="743" max="743" width="34.140625" bestFit="1" customWidth="1"/>
    <col min="744" max="782" width="15.5703125" customWidth="1"/>
    <col min="999" max="999" width="34.140625" bestFit="1" customWidth="1"/>
    <col min="1000" max="1038" width="15.5703125" customWidth="1"/>
    <col min="1255" max="1255" width="34.140625" bestFit="1" customWidth="1"/>
    <col min="1256" max="1294" width="15.5703125" customWidth="1"/>
    <col min="1511" max="1511" width="34.140625" bestFit="1" customWidth="1"/>
    <col min="1512" max="1550" width="15.5703125" customWidth="1"/>
    <col min="1767" max="1767" width="34.140625" bestFit="1" customWidth="1"/>
    <col min="1768" max="1806" width="15.5703125" customWidth="1"/>
    <col min="2023" max="2023" width="34.140625" bestFit="1" customWidth="1"/>
    <col min="2024" max="2062" width="15.5703125" customWidth="1"/>
    <col min="2279" max="2279" width="34.140625" bestFit="1" customWidth="1"/>
    <col min="2280" max="2318" width="15.5703125" customWidth="1"/>
    <col min="2535" max="2535" width="34.140625" bestFit="1" customWidth="1"/>
    <col min="2536" max="2574" width="15.5703125" customWidth="1"/>
    <col min="2791" max="2791" width="34.140625" bestFit="1" customWidth="1"/>
    <col min="2792" max="2830" width="15.5703125" customWidth="1"/>
    <col min="3047" max="3047" width="34.140625" bestFit="1" customWidth="1"/>
    <col min="3048" max="3086" width="15.5703125" customWidth="1"/>
    <col min="3303" max="3303" width="34.140625" bestFit="1" customWidth="1"/>
    <col min="3304" max="3342" width="15.5703125" customWidth="1"/>
    <col min="3559" max="3559" width="34.140625" bestFit="1" customWidth="1"/>
    <col min="3560" max="3598" width="15.5703125" customWidth="1"/>
    <col min="3815" max="3815" width="34.140625" bestFit="1" customWidth="1"/>
    <col min="3816" max="3854" width="15.5703125" customWidth="1"/>
    <col min="4071" max="4071" width="34.140625" bestFit="1" customWidth="1"/>
    <col min="4072" max="4110" width="15.5703125" customWidth="1"/>
    <col min="4327" max="4327" width="34.140625" bestFit="1" customWidth="1"/>
    <col min="4328" max="4366" width="15.5703125" customWidth="1"/>
    <col min="4583" max="4583" width="34.140625" bestFit="1" customWidth="1"/>
    <col min="4584" max="4622" width="15.5703125" customWidth="1"/>
    <col min="4839" max="4839" width="34.140625" bestFit="1" customWidth="1"/>
    <col min="4840" max="4878" width="15.5703125" customWidth="1"/>
    <col min="5095" max="5095" width="34.140625" bestFit="1" customWidth="1"/>
    <col min="5096" max="5134" width="15.5703125" customWidth="1"/>
    <col min="5351" max="5351" width="34.140625" bestFit="1" customWidth="1"/>
    <col min="5352" max="5390" width="15.5703125" customWidth="1"/>
    <col min="5607" max="5607" width="34.140625" bestFit="1" customWidth="1"/>
    <col min="5608" max="5646" width="15.5703125" customWidth="1"/>
    <col min="5863" max="5863" width="34.140625" bestFit="1" customWidth="1"/>
    <col min="5864" max="5902" width="15.5703125" customWidth="1"/>
    <col min="6119" max="6119" width="34.140625" bestFit="1" customWidth="1"/>
    <col min="6120" max="6158" width="15.5703125" customWidth="1"/>
    <col min="6375" max="6375" width="34.140625" bestFit="1" customWidth="1"/>
    <col min="6376" max="6414" width="15.5703125" customWidth="1"/>
    <col min="6631" max="6631" width="34.140625" bestFit="1" customWidth="1"/>
    <col min="6632" max="6670" width="15.5703125" customWidth="1"/>
    <col min="6887" max="6887" width="34.140625" bestFit="1" customWidth="1"/>
    <col min="6888" max="6926" width="15.5703125" customWidth="1"/>
    <col min="7143" max="7143" width="34.140625" bestFit="1" customWidth="1"/>
    <col min="7144" max="7182" width="15.5703125" customWidth="1"/>
    <col min="7399" max="7399" width="34.140625" bestFit="1" customWidth="1"/>
    <col min="7400" max="7438" width="15.5703125" customWidth="1"/>
    <col min="7655" max="7655" width="34.140625" bestFit="1" customWidth="1"/>
    <col min="7656" max="7694" width="15.5703125" customWidth="1"/>
    <col min="7911" max="7911" width="34.140625" bestFit="1" customWidth="1"/>
    <col min="7912" max="7950" width="15.5703125" customWidth="1"/>
    <col min="8167" max="8167" width="34.140625" bestFit="1" customWidth="1"/>
    <col min="8168" max="8206" width="15.5703125" customWidth="1"/>
    <col min="8423" max="8423" width="34.140625" bestFit="1" customWidth="1"/>
    <col min="8424" max="8462" width="15.5703125" customWidth="1"/>
    <col min="8679" max="8679" width="34.140625" bestFit="1" customWidth="1"/>
    <col min="8680" max="8718" width="15.5703125" customWidth="1"/>
    <col min="8935" max="8935" width="34.140625" bestFit="1" customWidth="1"/>
    <col min="8936" max="8974" width="15.5703125" customWidth="1"/>
    <col min="9191" max="9191" width="34.140625" bestFit="1" customWidth="1"/>
    <col min="9192" max="9230" width="15.5703125" customWidth="1"/>
    <col min="9447" max="9447" width="34.140625" bestFit="1" customWidth="1"/>
    <col min="9448" max="9486" width="15.5703125" customWidth="1"/>
    <col min="9703" max="9703" width="34.140625" bestFit="1" customWidth="1"/>
    <col min="9704" max="9742" width="15.5703125" customWidth="1"/>
    <col min="9959" max="9959" width="34.140625" bestFit="1" customWidth="1"/>
    <col min="9960" max="9998" width="15.5703125" customWidth="1"/>
    <col min="10215" max="10215" width="34.140625" bestFit="1" customWidth="1"/>
    <col min="10216" max="10254" width="15.5703125" customWidth="1"/>
    <col min="10471" max="10471" width="34.140625" bestFit="1" customWidth="1"/>
    <col min="10472" max="10510" width="15.5703125" customWidth="1"/>
    <col min="10727" max="10727" width="34.140625" bestFit="1" customWidth="1"/>
    <col min="10728" max="10766" width="15.5703125" customWidth="1"/>
    <col min="10983" max="10983" width="34.140625" bestFit="1" customWidth="1"/>
    <col min="10984" max="11022" width="15.5703125" customWidth="1"/>
    <col min="11239" max="11239" width="34.140625" bestFit="1" customWidth="1"/>
    <col min="11240" max="11278" width="15.5703125" customWidth="1"/>
    <col min="11495" max="11495" width="34.140625" bestFit="1" customWidth="1"/>
    <col min="11496" max="11534" width="15.5703125" customWidth="1"/>
    <col min="11751" max="11751" width="34.140625" bestFit="1" customWidth="1"/>
    <col min="11752" max="11790" width="15.5703125" customWidth="1"/>
    <col min="12007" max="12007" width="34.140625" bestFit="1" customWidth="1"/>
    <col min="12008" max="12046" width="15.5703125" customWidth="1"/>
    <col min="12263" max="12263" width="34.140625" bestFit="1" customWidth="1"/>
    <col min="12264" max="12302" width="15.5703125" customWidth="1"/>
    <col min="12519" max="12519" width="34.140625" bestFit="1" customWidth="1"/>
    <col min="12520" max="12558" width="15.5703125" customWidth="1"/>
    <col min="12775" max="12775" width="34.140625" bestFit="1" customWidth="1"/>
    <col min="12776" max="12814" width="15.5703125" customWidth="1"/>
    <col min="13031" max="13031" width="34.140625" bestFit="1" customWidth="1"/>
    <col min="13032" max="13070" width="15.5703125" customWidth="1"/>
    <col min="13287" max="13287" width="34.140625" bestFit="1" customWidth="1"/>
    <col min="13288" max="13326" width="15.5703125" customWidth="1"/>
    <col min="13543" max="13543" width="34.140625" bestFit="1" customWidth="1"/>
    <col min="13544" max="13582" width="15.5703125" customWidth="1"/>
    <col min="13799" max="13799" width="34.140625" bestFit="1" customWidth="1"/>
    <col min="13800" max="13838" width="15.5703125" customWidth="1"/>
    <col min="14055" max="14055" width="34.140625" bestFit="1" customWidth="1"/>
    <col min="14056" max="14094" width="15.5703125" customWidth="1"/>
    <col min="14311" max="14311" width="34.140625" bestFit="1" customWidth="1"/>
    <col min="14312" max="14350" width="15.5703125" customWidth="1"/>
    <col min="14567" max="14567" width="34.140625" bestFit="1" customWidth="1"/>
    <col min="14568" max="14606" width="15.5703125" customWidth="1"/>
    <col min="14823" max="14823" width="34.140625" bestFit="1" customWidth="1"/>
    <col min="14824" max="14862" width="15.5703125" customWidth="1"/>
    <col min="15079" max="15079" width="34.140625" bestFit="1" customWidth="1"/>
    <col min="15080" max="15118" width="15.5703125" customWidth="1"/>
    <col min="15335" max="15335" width="34.140625" bestFit="1" customWidth="1"/>
    <col min="15336" max="15374" width="15.5703125" customWidth="1"/>
    <col min="15591" max="15591" width="34.140625" bestFit="1" customWidth="1"/>
    <col min="15592" max="15630" width="15.5703125" customWidth="1"/>
    <col min="15847" max="15847" width="34.140625" bestFit="1" customWidth="1"/>
    <col min="15848" max="15886" width="15.5703125" customWidth="1"/>
    <col min="16103" max="16103" width="34.140625" bestFit="1" customWidth="1"/>
    <col min="16104" max="16142" width="15.5703125" customWidth="1"/>
  </cols>
  <sheetData>
    <row r="1" spans="1:16" x14ac:dyDescent="0.25">
      <c r="A1" s="18" t="s">
        <v>168</v>
      </c>
      <c r="B1" s="18"/>
    </row>
    <row r="2" spans="1:16" x14ac:dyDescent="0.25">
      <c r="A2" s="19" t="s">
        <v>181</v>
      </c>
      <c r="B2" s="19"/>
    </row>
    <row r="3" spans="1:16" x14ac:dyDescent="0.25">
      <c r="A3" s="20" t="s">
        <v>182</v>
      </c>
      <c r="B3" s="21"/>
      <c r="C3" s="21"/>
      <c r="D3" s="21"/>
      <c r="E3" s="21"/>
      <c r="F3" s="21"/>
      <c r="G3" s="21"/>
      <c r="H3" s="21"/>
      <c r="I3" s="21"/>
      <c r="J3" s="21"/>
      <c r="K3" s="21"/>
      <c r="L3" s="21"/>
      <c r="M3" s="21"/>
      <c r="N3" s="22"/>
    </row>
    <row r="4" spans="1:16" x14ac:dyDescent="0.25">
      <c r="A4" s="1" t="s">
        <v>0</v>
      </c>
      <c r="B4" s="1" t="s">
        <v>1</v>
      </c>
      <c r="C4" s="1" t="s">
        <v>2</v>
      </c>
      <c r="D4" s="1" t="s">
        <v>3</v>
      </c>
      <c r="E4" s="1" t="s">
        <v>4</v>
      </c>
      <c r="F4" s="1" t="s">
        <v>5</v>
      </c>
      <c r="G4" s="1" t="s">
        <v>6</v>
      </c>
      <c r="H4" s="1" t="s">
        <v>7</v>
      </c>
      <c r="I4" s="1" t="s">
        <v>8</v>
      </c>
      <c r="J4" s="1" t="s">
        <v>9</v>
      </c>
      <c r="K4" s="1" t="s">
        <v>10</v>
      </c>
      <c r="L4" s="1" t="s">
        <v>11</v>
      </c>
      <c r="M4" s="1" t="s">
        <v>12</v>
      </c>
      <c r="N4" s="1" t="s">
        <v>13</v>
      </c>
    </row>
    <row r="5" spans="1:16" x14ac:dyDescent="0.25">
      <c r="A5" s="13" t="s">
        <v>14</v>
      </c>
      <c r="B5" s="14">
        <f>SUM(C5:N5)</f>
        <v>46339701.475409836</v>
      </c>
      <c r="C5" s="14">
        <v>4113505.5</v>
      </c>
      <c r="D5" s="14">
        <v>3839271.8</v>
      </c>
      <c r="E5" s="14">
        <v>4113505.5</v>
      </c>
      <c r="F5" s="14">
        <v>3980811.77</v>
      </c>
      <c r="G5" s="14">
        <v>4113505.5</v>
      </c>
      <c r="H5" s="14">
        <v>3980811.77</v>
      </c>
      <c r="I5" s="14">
        <v>4113505.5</v>
      </c>
      <c r="J5" s="14">
        <v>4113505.5</v>
      </c>
      <c r="K5" s="14">
        <v>3980811.77</v>
      </c>
      <c r="L5" s="14">
        <v>4113505.5</v>
      </c>
      <c r="M5" s="14">
        <v>3163455.8654098376</v>
      </c>
      <c r="N5" s="14">
        <v>2713505.5</v>
      </c>
    </row>
    <row r="6" spans="1:16" x14ac:dyDescent="0.25">
      <c r="C6" s="17"/>
      <c r="D6" s="17"/>
    </row>
    <row r="7" spans="1:16" x14ac:dyDescent="0.25">
      <c r="A7" s="20" t="s">
        <v>183</v>
      </c>
      <c r="B7" s="21"/>
      <c r="C7" s="21"/>
      <c r="D7" s="21"/>
      <c r="E7" s="21"/>
      <c r="F7" s="21"/>
      <c r="G7" s="21"/>
      <c r="H7" s="21"/>
      <c r="I7" s="21"/>
      <c r="J7" s="21"/>
      <c r="K7" s="21"/>
      <c r="L7" s="21"/>
      <c r="M7" s="21"/>
      <c r="N7" s="22"/>
    </row>
    <row r="8" spans="1:16" x14ac:dyDescent="0.25">
      <c r="A8" s="1" t="s">
        <v>0</v>
      </c>
      <c r="B8" s="1" t="s">
        <v>1</v>
      </c>
      <c r="C8" s="1" t="s">
        <v>2</v>
      </c>
      <c r="D8" s="1" t="s">
        <v>3</v>
      </c>
      <c r="E8" s="1" t="s">
        <v>4</v>
      </c>
      <c r="F8" s="1" t="s">
        <v>5</v>
      </c>
      <c r="G8" s="1" t="s">
        <v>6</v>
      </c>
      <c r="H8" s="1" t="s">
        <v>7</v>
      </c>
      <c r="I8" s="1" t="s">
        <v>8</v>
      </c>
      <c r="J8" s="1" t="s">
        <v>9</v>
      </c>
      <c r="K8" s="1" t="s">
        <v>10</v>
      </c>
      <c r="L8" s="1" t="s">
        <v>11</v>
      </c>
      <c r="M8" s="1" t="s">
        <v>12</v>
      </c>
      <c r="N8" s="1" t="s">
        <v>13</v>
      </c>
    </row>
    <row r="9" spans="1:16" hidden="1" outlineLevel="1" x14ac:dyDescent="0.25">
      <c r="A9" s="2" t="s">
        <v>35</v>
      </c>
      <c r="B9" s="7">
        <f>SUM(C9:N9)</f>
        <v>94000</v>
      </c>
      <c r="C9" s="10">
        <f>+'[1]F00 INV'!Q33+'[1]F00 INV'!Q16</f>
        <v>22800</v>
      </c>
      <c r="D9" s="10">
        <f>+'[1]F00 INV'!R33+'[1]F00 INV'!R16</f>
        <v>22800</v>
      </c>
      <c r="E9" s="10">
        <f>+'[1]F00 INV'!S33+'[1]F00 INV'!S16</f>
        <v>48400</v>
      </c>
      <c r="F9" s="7">
        <f>+'[1]F00 INV'!T46+'[1]F00 INV'!T47</f>
        <v>0</v>
      </c>
      <c r="G9" s="7">
        <f>+'[1]F00 INV'!U46+'[1]F00 INV'!U47</f>
        <v>0</v>
      </c>
      <c r="H9" s="7">
        <f>+'[1]F00 INV'!V46+'[1]F00 INV'!V47</f>
        <v>0</v>
      </c>
      <c r="I9" s="7">
        <f>+'[1]F00 INV'!W46+'[1]F00 INV'!W47</f>
        <v>0</v>
      </c>
      <c r="J9" s="7">
        <f>+'[1]F00 INV'!X46+'[1]F00 INV'!X47</f>
        <v>0</v>
      </c>
      <c r="K9" s="7">
        <f>+'[1]F00 INV'!Y46+'[1]F00 INV'!Y47</f>
        <v>0</v>
      </c>
      <c r="L9" s="7">
        <f>+'[1]F00 INV'!Z46+'[1]F00 INV'!Z47</f>
        <v>0</v>
      </c>
      <c r="M9" s="7">
        <f>+'[1]F00 INV'!AA46+'[1]F00 INV'!AA47</f>
        <v>0</v>
      </c>
      <c r="N9" s="7">
        <f>+'[1]F00 INV'!AB46+'[1]F00 INV'!AB47</f>
        <v>0</v>
      </c>
    </row>
    <row r="10" spans="1:16" hidden="1" outlineLevel="1" x14ac:dyDescent="0.25">
      <c r="A10" s="9" t="s">
        <v>36</v>
      </c>
      <c r="B10" s="10">
        <f t="shared" ref="B10:B30" si="0">SUM(C10:N10)</f>
        <v>416000</v>
      </c>
      <c r="C10" s="10">
        <f>'[1]F00 INV'!Q10+'[1]F00 INV'!Q11+'[1]F00 INV'!Q55+'[1]F00 INV'!Q35</f>
        <v>129000</v>
      </c>
      <c r="D10" s="10">
        <f>'[1]F00 INV'!R10+'[1]F00 INV'!R11+'[1]F00 INV'!R55+'[1]F00 INV'!R35</f>
        <v>139000</v>
      </c>
      <c r="E10" s="10">
        <f>'[1]F00 INV'!S10+'[1]F00 INV'!S11+'[1]F00 INV'!S55+'[1]F00 INV'!S35</f>
        <v>142000</v>
      </c>
      <c r="F10" s="10">
        <f>'[1]F00 INV'!T10+'[1]F00 INV'!T11+'[1]F00 INV'!T55+'[1]F00 INV'!T35</f>
        <v>3000</v>
      </c>
      <c r="G10" s="10">
        <f>'[1]F00 INV'!U10+'[1]F00 INV'!U11+'[1]F00 INV'!U55+'[1]F00 INV'!U35</f>
        <v>3000</v>
      </c>
      <c r="H10" s="10">
        <f>'[1]F00 INV'!V10+'[1]F00 INV'!V11+'[1]F00 INV'!V55+'[1]F00 INV'!V35</f>
        <v>0</v>
      </c>
      <c r="I10" s="10">
        <f>'[1]F00 INV'!W10+'[1]F00 INV'!W11+'[1]F00 INV'!W55+'[1]F00 INV'!W35</f>
        <v>0</v>
      </c>
      <c r="J10" s="10">
        <f>'[1]F00 INV'!X10+'[1]F00 INV'!X11+'[1]F00 INV'!X55+'[1]F00 INV'!X35</f>
        <v>0</v>
      </c>
      <c r="K10" s="10">
        <f>'[1]F00 INV'!Y10+'[1]F00 INV'!Y11+'[1]F00 INV'!Y55+'[1]F00 INV'!Y35</f>
        <v>0</v>
      </c>
      <c r="L10" s="10">
        <f>'[1]F00 INV'!Z10+'[1]F00 INV'!Z11+'[1]F00 INV'!Z55+'[1]F00 INV'!Z35</f>
        <v>0</v>
      </c>
      <c r="M10" s="10">
        <f>'[1]F00 INV'!AA10+'[1]F00 INV'!AA11+'[1]F00 INV'!AA55+'[1]F00 INV'!AA35</f>
        <v>0</v>
      </c>
      <c r="N10" s="10">
        <f>'[1]F00 INV'!AB10+'[1]F00 INV'!AB11+'[1]F00 INV'!AB55+'[1]F00 INV'!AB35</f>
        <v>0</v>
      </c>
    </row>
    <row r="11" spans="1:16" hidden="1" outlineLevel="1" x14ac:dyDescent="0.25">
      <c r="A11" s="2" t="s">
        <v>37</v>
      </c>
      <c r="B11" s="7">
        <f t="shared" si="0"/>
        <v>2094000</v>
      </c>
      <c r="C11" s="7">
        <f>+'[1]F00 INV'!Q54+'[1]F00 INV'!Q50+'[1]F00 INV'!Q49+'[1]F00 INV'!Q39+'[1]F00 INV'!Q30+'[1]F00 INV'!Q31+'[1]F00 INV'!Q32+'[1]F00 INV'!Q33+'[1]F00 INV'!Q29+'[1]F00 INV'!Q27+'[1]F00 INV'!Q25+'[1]F00 INV'!Q19+'[1]F00 INV'!Q18+'[1]F00 INV'!Q17+'[1]F00 INV'!Q16+'[1]F00 INV'!Q9</f>
        <v>580300</v>
      </c>
      <c r="D11" s="7">
        <f>+'[1]F00 INV'!R54+'[1]F00 INV'!R50+'[1]F00 INV'!R49+'[1]F00 INV'!R39+'[1]F00 INV'!R30+'[1]F00 INV'!R31+'[1]F00 INV'!R32+'[1]F00 INV'!R33+'[1]F00 INV'!R29+'[1]F00 INV'!R27+'[1]F00 INV'!R25+'[1]F00 INV'!R19+'[1]F00 INV'!R18+'[1]F00 INV'!R17+'[1]F00 INV'!R16+'[1]F00 INV'!R9</f>
        <v>637800</v>
      </c>
      <c r="E11" s="7">
        <f>+'[1]F00 INV'!S54+'[1]F00 INV'!S50+'[1]F00 INV'!S49+'[1]F00 INV'!S39+'[1]F00 INV'!S30+'[1]F00 INV'!S31+'[1]F00 INV'!S32+'[1]F00 INV'!S33+'[1]F00 INV'!S29+'[1]F00 INV'!S27+'[1]F00 INV'!S25+'[1]F00 INV'!S19+'[1]F00 INV'!S18+'[1]F00 INV'!S17+'[1]F00 INV'!S16+'[1]F00 INV'!S9</f>
        <v>530900</v>
      </c>
      <c r="F11" s="7">
        <f>+'[1]F00 INV'!T54+'[1]F00 INV'!T50+'[1]F00 INV'!T49+'[1]F00 INV'!T39+'[1]F00 INV'!T30+'[1]F00 INV'!T31+'[1]F00 INV'!T32+'[1]F00 INV'!T33+'[1]F00 INV'!T29+'[1]F00 INV'!T27+'[1]F00 INV'!T25+'[1]F00 INV'!T19+'[1]F00 INV'!T18+'[1]F00 INV'!T17+'[1]F00 INV'!T16+'[1]F00 INV'!T9</f>
        <v>315000</v>
      </c>
      <c r="G11" s="7">
        <f>+'[1]F00 INV'!U54+'[1]F00 INV'!U50+'[1]F00 INV'!U49+'[1]F00 INV'!U39+'[1]F00 INV'!U30+'[1]F00 INV'!U31+'[1]F00 INV'!U32+'[1]F00 INV'!U33+'[1]F00 INV'!U29+'[1]F00 INV'!U27+'[1]F00 INV'!U25+'[1]F00 INV'!U19+'[1]F00 INV'!U18+'[1]F00 INV'!U17+'[1]F00 INV'!U16+'[1]F00 INV'!U9</f>
        <v>15000</v>
      </c>
      <c r="H11" s="7">
        <f>+'[1]F00 INV'!V54+'[1]F00 INV'!V50+'[1]F00 INV'!V49+'[1]F00 INV'!V39+'[1]F00 INV'!V30+'[1]F00 INV'!V31+'[1]F00 INV'!V32+'[1]F00 INV'!V33+'[1]F00 INV'!V29+'[1]F00 INV'!V27+'[1]F00 INV'!V25+'[1]F00 INV'!V19+'[1]F00 INV'!V18+'[1]F00 INV'!V17+'[1]F00 INV'!V16+'[1]F00 INV'!V9</f>
        <v>15000</v>
      </c>
      <c r="I11" s="7">
        <f>+'[1]F00 INV'!W54+'[1]F00 INV'!W50+'[1]F00 INV'!W49+'[1]F00 INV'!W39+'[1]F00 INV'!W30+'[1]F00 INV'!W31+'[1]F00 INV'!W32+'[1]F00 INV'!W33+'[1]F00 INV'!W29+'[1]F00 INV'!W27+'[1]F00 INV'!W25+'[1]F00 INV'!W19+'[1]F00 INV'!W18+'[1]F00 INV'!W17+'[1]F00 INV'!W16+'[1]F00 INV'!W9</f>
        <v>0</v>
      </c>
      <c r="J11" s="7">
        <f>+'[1]F00 INV'!X54+'[1]F00 INV'!X50+'[1]F00 INV'!X49+'[1]F00 INV'!X39+'[1]F00 INV'!X30+'[1]F00 INV'!X31+'[1]F00 INV'!X32+'[1]F00 INV'!X33+'[1]F00 INV'!X29+'[1]F00 INV'!X27+'[1]F00 INV'!X25+'[1]F00 INV'!X19+'[1]F00 INV'!X18+'[1]F00 INV'!X17+'[1]F00 INV'!X16+'[1]F00 INV'!X9</f>
        <v>0</v>
      </c>
      <c r="K11" s="7">
        <f>+'[1]F00 INV'!Y54+'[1]F00 INV'!Y50+'[1]F00 INV'!Y49+'[1]F00 INV'!Y39+'[1]F00 INV'!Y30+'[1]F00 INV'!Y31+'[1]F00 INV'!Y32+'[1]F00 INV'!Y33+'[1]F00 INV'!Y29+'[1]F00 INV'!Y27+'[1]F00 INV'!Y25+'[1]F00 INV'!Y19+'[1]F00 INV'!Y18+'[1]F00 INV'!Y17+'[1]F00 INV'!Y16+'[1]F00 INV'!Y9</f>
        <v>0</v>
      </c>
      <c r="L11" s="7">
        <f>+'[1]F00 INV'!Z54+'[1]F00 INV'!Z50+'[1]F00 INV'!Z49+'[1]F00 INV'!Z39+'[1]F00 INV'!Z30+'[1]F00 INV'!Z31+'[1]F00 INV'!Z32+'[1]F00 INV'!Z33+'[1]F00 INV'!Z29+'[1]F00 INV'!Z27+'[1]F00 INV'!Z25+'[1]F00 INV'!Z19+'[1]F00 INV'!Z18+'[1]F00 INV'!Z17+'[1]F00 INV'!Z16+'[1]F00 INV'!Z9</f>
        <v>0</v>
      </c>
      <c r="M11" s="7">
        <f>+'[1]F00 INV'!AA54+'[1]F00 INV'!AA50+'[1]F00 INV'!AA49+'[1]F00 INV'!AA39+'[1]F00 INV'!AA30+'[1]F00 INV'!AA31+'[1]F00 INV'!AA32+'[1]F00 INV'!AA33+'[1]F00 INV'!AA29+'[1]F00 INV'!AA27+'[1]F00 INV'!AA25+'[1]F00 INV'!AA19+'[1]F00 INV'!AA18+'[1]F00 INV'!AA17+'[1]F00 INV'!AA16+'[1]F00 INV'!AA9</f>
        <v>0</v>
      </c>
      <c r="N11" s="7">
        <f>+'[1]F00 INV'!AB54+'[1]F00 INV'!AB50+'[1]F00 INV'!AB49+'[1]F00 INV'!AB39+'[1]F00 INV'!AB30+'[1]F00 INV'!AB31+'[1]F00 INV'!AB32+'[1]F00 INV'!AB33+'[1]F00 INV'!AB29+'[1]F00 INV'!AB27+'[1]F00 INV'!AB25+'[1]F00 INV'!AB19+'[1]F00 INV'!AB18+'[1]F00 INV'!AB17+'[1]F00 INV'!AB16+'[1]F00 INV'!AB9</f>
        <v>0</v>
      </c>
    </row>
    <row r="12" spans="1:16" hidden="1" outlineLevel="1" x14ac:dyDescent="0.25">
      <c r="A12" s="9" t="s">
        <v>34</v>
      </c>
      <c r="B12" s="10">
        <f t="shared" si="0"/>
        <v>2755000</v>
      </c>
      <c r="C12" s="10">
        <f>+'[1]F00 INV'!Q36+'[1]F00 INV'!Q40+'[1]F00 INV'!Q53</f>
        <v>450000</v>
      </c>
      <c r="D12" s="10">
        <f>+'[1]F00 INV'!R36+'[1]F00 INV'!R40+'[1]F00 INV'!R53</f>
        <v>455000</v>
      </c>
      <c r="E12" s="10">
        <f>+'[1]F00 INV'!S36+'[1]F00 INV'!S40+'[1]F00 INV'!S53</f>
        <v>500000</v>
      </c>
      <c r="F12" s="10">
        <f>+'[1]F00 INV'!T36+'[1]F00 INV'!T40+'[1]F00 INV'!T53</f>
        <v>450000</v>
      </c>
      <c r="G12" s="10">
        <f>+'[1]F00 INV'!U36+'[1]F00 INV'!U40+'[1]F00 INV'!U53</f>
        <v>450000</v>
      </c>
      <c r="H12" s="10">
        <f>+'[1]F00 INV'!V36+'[1]F00 INV'!V40+'[1]F00 INV'!V53</f>
        <v>450000</v>
      </c>
      <c r="I12" s="10">
        <f>+'[1]F00 INV'!W36+'[1]F00 INV'!W40+'[1]F00 INV'!W53</f>
        <v>0</v>
      </c>
      <c r="J12" s="10">
        <f>+'[1]F00 INV'!X36+'[1]F00 INV'!X40+'[1]F00 INV'!X53</f>
        <v>0</v>
      </c>
      <c r="K12" s="10">
        <f>+'[1]F00 INV'!Y36+'[1]F00 INV'!Y40+'[1]F00 INV'!Y53</f>
        <v>0</v>
      </c>
      <c r="L12" s="10">
        <f>+'[1]F00 INV'!Z36+'[1]F00 INV'!Z40+'[1]F00 INV'!Z53</f>
        <v>0</v>
      </c>
      <c r="M12" s="10">
        <f>+'[1]F00 INV'!AA36+'[1]F00 INV'!AA40+'[1]F00 INV'!AA53</f>
        <v>0</v>
      </c>
      <c r="N12" s="10">
        <f>+'[1]F00 INV'!AB36+'[1]F00 INV'!AB40+'[1]F00 INV'!AB53</f>
        <v>0</v>
      </c>
    </row>
    <row r="13" spans="1:16" hidden="1" outlineLevel="1" x14ac:dyDescent="0.25">
      <c r="A13" s="2" t="s">
        <v>38</v>
      </c>
      <c r="B13" s="7">
        <f t="shared" si="0"/>
        <v>0</v>
      </c>
      <c r="C13" s="7"/>
      <c r="D13" s="7"/>
      <c r="E13" s="7"/>
      <c r="F13" s="7"/>
      <c r="G13" s="7"/>
      <c r="H13" s="7"/>
      <c r="I13" s="7"/>
      <c r="J13" s="7"/>
      <c r="K13" s="7"/>
      <c r="L13" s="7"/>
      <c r="M13" s="7"/>
      <c r="N13" s="7"/>
    </row>
    <row r="14" spans="1:16" s="5" customFormat="1" collapsed="1" x14ac:dyDescent="0.25">
      <c r="A14" s="13" t="s">
        <v>15</v>
      </c>
      <c r="B14" s="14">
        <f>SUM(B9:B13)</f>
        <v>5359000</v>
      </c>
      <c r="C14" s="14">
        <f>SUM(C9:C13)</f>
        <v>1182100</v>
      </c>
      <c r="D14" s="14">
        <f>SUM(D9:D13)</f>
        <v>1254600</v>
      </c>
      <c r="E14" s="14">
        <f>SUM(E9:E13)</f>
        <v>1221300</v>
      </c>
      <c r="F14" s="14">
        <f t="shared" ref="F14:N14" si="1">SUM(F9:F13)</f>
        <v>768000</v>
      </c>
      <c r="G14" s="14">
        <f t="shared" si="1"/>
        <v>468000</v>
      </c>
      <c r="H14" s="14">
        <f t="shared" si="1"/>
        <v>465000</v>
      </c>
      <c r="I14" s="14">
        <f t="shared" si="1"/>
        <v>0</v>
      </c>
      <c r="J14" s="14">
        <f t="shared" si="1"/>
        <v>0</v>
      </c>
      <c r="K14" s="14">
        <f t="shared" si="1"/>
        <v>0</v>
      </c>
      <c r="L14" s="14">
        <f t="shared" si="1"/>
        <v>0</v>
      </c>
      <c r="M14" s="14">
        <f t="shared" si="1"/>
        <v>0</v>
      </c>
      <c r="N14" s="14">
        <f t="shared" si="1"/>
        <v>0</v>
      </c>
      <c r="P14" s="12" t="s">
        <v>176</v>
      </c>
    </row>
    <row r="15" spans="1:16" hidden="1" outlineLevel="1" x14ac:dyDescent="0.25">
      <c r="A15" s="2" t="s">
        <v>39</v>
      </c>
      <c r="B15" s="8">
        <f t="shared" si="0"/>
        <v>80000</v>
      </c>
      <c r="C15" s="7">
        <f>('[1]F02 INM Y SERV'!F9+'[1]F02 INM Y SERV'!F10+'[1]F02 INM Y SERV'!F11)/[1]FLUJO!$E$43</f>
        <v>6666.6666666666661</v>
      </c>
      <c r="D15" s="7">
        <f>+C15</f>
        <v>6666.6666666666661</v>
      </c>
      <c r="E15" s="7">
        <f t="shared" ref="E15:N15" si="2">+D15</f>
        <v>6666.6666666666661</v>
      </c>
      <c r="F15" s="7">
        <f t="shared" si="2"/>
        <v>6666.6666666666661</v>
      </c>
      <c r="G15" s="7">
        <f t="shared" si="2"/>
        <v>6666.6666666666661</v>
      </c>
      <c r="H15" s="7">
        <f t="shared" si="2"/>
        <v>6666.6666666666661</v>
      </c>
      <c r="I15" s="7">
        <f t="shared" si="2"/>
        <v>6666.6666666666661</v>
      </c>
      <c r="J15" s="7">
        <f t="shared" si="2"/>
        <v>6666.6666666666661</v>
      </c>
      <c r="K15" s="7">
        <f t="shared" si="2"/>
        <v>6666.6666666666661</v>
      </c>
      <c r="L15" s="7">
        <f t="shared" si="2"/>
        <v>6666.6666666666661</v>
      </c>
      <c r="M15" s="7">
        <f t="shared" si="2"/>
        <v>6666.6666666666661</v>
      </c>
      <c r="N15" s="7">
        <f t="shared" si="2"/>
        <v>6666.6666666666661</v>
      </c>
    </row>
    <row r="16" spans="1:16" hidden="1" outlineLevel="1" x14ac:dyDescent="0.25">
      <c r="A16" s="9" t="s">
        <v>40</v>
      </c>
      <c r="B16" s="10">
        <f t="shared" si="0"/>
        <v>22295.081967213107</v>
      </c>
      <c r="C16" s="10">
        <f>('[1]F02 INM Y SERV'!H9+'[1]F02 INM Y SERV'!H10+'[1]F02 INM Y SERV'!H11)/[1]FLUJO!$E$43</f>
        <v>1857.9234972677596</v>
      </c>
      <c r="D16" s="10">
        <f t="shared" ref="D16:N16" si="3">+C16</f>
        <v>1857.9234972677596</v>
      </c>
      <c r="E16" s="10">
        <f t="shared" si="3"/>
        <v>1857.9234972677596</v>
      </c>
      <c r="F16" s="10">
        <f t="shared" si="3"/>
        <v>1857.9234972677596</v>
      </c>
      <c r="G16" s="10">
        <f t="shared" si="3"/>
        <v>1857.9234972677596</v>
      </c>
      <c r="H16" s="10">
        <f t="shared" si="3"/>
        <v>1857.9234972677596</v>
      </c>
      <c r="I16" s="10">
        <f t="shared" si="3"/>
        <v>1857.9234972677596</v>
      </c>
      <c r="J16" s="10">
        <f t="shared" si="3"/>
        <v>1857.9234972677596</v>
      </c>
      <c r="K16" s="10">
        <f t="shared" si="3"/>
        <v>1857.9234972677596</v>
      </c>
      <c r="L16" s="10">
        <f t="shared" si="3"/>
        <v>1857.9234972677596</v>
      </c>
      <c r="M16" s="10">
        <f t="shared" si="3"/>
        <v>1857.9234972677596</v>
      </c>
      <c r="N16" s="10">
        <f t="shared" si="3"/>
        <v>1857.9234972677596</v>
      </c>
    </row>
    <row r="17" spans="1:16" hidden="1" outlineLevel="1" x14ac:dyDescent="0.25">
      <c r="A17" s="2" t="s">
        <v>47</v>
      </c>
      <c r="B17" s="8">
        <f t="shared" si="0"/>
        <v>0</v>
      </c>
      <c r="C17" s="7"/>
      <c r="D17" s="7"/>
      <c r="E17" s="7"/>
      <c r="F17" s="7"/>
      <c r="G17" s="7"/>
      <c r="H17" s="7"/>
      <c r="I17" s="7"/>
      <c r="J17" s="7"/>
      <c r="K17" s="7"/>
      <c r="L17" s="7"/>
      <c r="M17" s="7"/>
      <c r="N17" s="7"/>
    </row>
    <row r="18" spans="1:16" hidden="1" outlineLevel="1" x14ac:dyDescent="0.25">
      <c r="A18" s="9" t="s">
        <v>42</v>
      </c>
      <c r="B18" s="10">
        <f t="shared" si="0"/>
        <v>17062.295081967211</v>
      </c>
      <c r="C18" s="10">
        <f>('[1]F02 INM Y SERV'!P9+'[1]F02 INM Y SERV'!P10+'[1]F02 INM Y SERV'!P11)/[1]FLUJO!$E$43</f>
        <v>1421.8579234972676</v>
      </c>
      <c r="D18" s="10">
        <f t="shared" ref="D18:N18" si="4">+C18</f>
        <v>1421.8579234972676</v>
      </c>
      <c r="E18" s="10">
        <f t="shared" si="4"/>
        <v>1421.8579234972676</v>
      </c>
      <c r="F18" s="10">
        <f t="shared" si="4"/>
        <v>1421.8579234972676</v>
      </c>
      <c r="G18" s="10">
        <f t="shared" si="4"/>
        <v>1421.8579234972676</v>
      </c>
      <c r="H18" s="10">
        <f t="shared" si="4"/>
        <v>1421.8579234972676</v>
      </c>
      <c r="I18" s="10">
        <f t="shared" si="4"/>
        <v>1421.8579234972676</v>
      </c>
      <c r="J18" s="10">
        <f t="shared" si="4"/>
        <v>1421.8579234972676</v>
      </c>
      <c r="K18" s="10">
        <f t="shared" si="4"/>
        <v>1421.8579234972676</v>
      </c>
      <c r="L18" s="10">
        <f t="shared" si="4"/>
        <v>1421.8579234972676</v>
      </c>
      <c r="M18" s="10">
        <f t="shared" si="4"/>
        <v>1421.8579234972676</v>
      </c>
      <c r="N18" s="10">
        <f t="shared" si="4"/>
        <v>1421.8579234972676</v>
      </c>
    </row>
    <row r="19" spans="1:16" hidden="1" outlineLevel="1" x14ac:dyDescent="0.25">
      <c r="A19" s="2" t="s">
        <v>41</v>
      </c>
      <c r="B19" s="8">
        <f t="shared" si="0"/>
        <v>19672.131147540986</v>
      </c>
      <c r="C19" s="7">
        <f>('[1]F02 INM Y SERV'!O9+'[1]F02 INM Y SERV'!O10+'[1]F02 INM Y SERV'!O11)/[1]FLUJO!$E$43</f>
        <v>1639.344262295082</v>
      </c>
      <c r="D19" s="8">
        <f t="shared" ref="D19:N19" si="5">+C19</f>
        <v>1639.344262295082</v>
      </c>
      <c r="E19" s="7">
        <f t="shared" si="5"/>
        <v>1639.344262295082</v>
      </c>
      <c r="F19" s="8">
        <f t="shared" si="5"/>
        <v>1639.344262295082</v>
      </c>
      <c r="G19" s="7">
        <f t="shared" si="5"/>
        <v>1639.344262295082</v>
      </c>
      <c r="H19" s="8">
        <f t="shared" si="5"/>
        <v>1639.344262295082</v>
      </c>
      <c r="I19" s="7">
        <f t="shared" si="5"/>
        <v>1639.344262295082</v>
      </c>
      <c r="J19" s="8">
        <f t="shared" si="5"/>
        <v>1639.344262295082</v>
      </c>
      <c r="K19" s="7">
        <f t="shared" si="5"/>
        <v>1639.344262295082</v>
      </c>
      <c r="L19" s="8">
        <f t="shared" si="5"/>
        <v>1639.344262295082</v>
      </c>
      <c r="M19" s="7">
        <f t="shared" si="5"/>
        <v>1639.344262295082</v>
      </c>
      <c r="N19" s="8">
        <f t="shared" si="5"/>
        <v>1639.344262295082</v>
      </c>
    </row>
    <row r="20" spans="1:16" hidden="1" outlineLevel="1" x14ac:dyDescent="0.25">
      <c r="A20" s="9" t="s">
        <v>43</v>
      </c>
      <c r="B20" s="10">
        <f t="shared" si="0"/>
        <v>0</v>
      </c>
      <c r="C20" s="10"/>
      <c r="D20" s="10"/>
      <c r="E20" s="10"/>
      <c r="F20" s="10"/>
      <c r="G20" s="10"/>
      <c r="H20" s="10"/>
      <c r="I20" s="10"/>
      <c r="J20" s="10"/>
      <c r="K20" s="10"/>
      <c r="L20" s="10"/>
      <c r="M20" s="10"/>
      <c r="N20" s="10"/>
    </row>
    <row r="21" spans="1:16" hidden="1" outlineLevel="1" x14ac:dyDescent="0.25">
      <c r="A21" s="2" t="s">
        <v>44</v>
      </c>
      <c r="B21" s="8">
        <f t="shared" si="0"/>
        <v>0</v>
      </c>
      <c r="C21" s="7"/>
      <c r="D21" s="8"/>
      <c r="E21" s="7"/>
      <c r="F21" s="8"/>
      <c r="G21" s="7"/>
      <c r="H21" s="8"/>
      <c r="I21" s="7"/>
      <c r="J21" s="8"/>
      <c r="K21" s="7"/>
      <c r="L21" s="8"/>
      <c r="M21" s="7"/>
      <c r="N21" s="8"/>
    </row>
    <row r="22" spans="1:16" hidden="1" outlineLevel="1" x14ac:dyDescent="0.25">
      <c r="A22" s="9" t="s">
        <v>45</v>
      </c>
      <c r="B22" s="10">
        <f t="shared" si="0"/>
        <v>0</v>
      </c>
      <c r="C22" s="10"/>
      <c r="D22" s="10"/>
      <c r="E22" s="10"/>
      <c r="F22" s="10"/>
      <c r="G22" s="10"/>
      <c r="H22" s="10"/>
      <c r="I22" s="10"/>
      <c r="J22" s="10"/>
      <c r="K22" s="10"/>
      <c r="L22" s="10"/>
      <c r="M22" s="10"/>
      <c r="N22" s="10"/>
    </row>
    <row r="23" spans="1:16" hidden="1" outlineLevel="1" x14ac:dyDescent="0.25">
      <c r="A23" s="2" t="s">
        <v>46</v>
      </c>
      <c r="B23" s="8">
        <f t="shared" si="0"/>
        <v>0</v>
      </c>
      <c r="C23" s="7"/>
      <c r="D23" s="7"/>
      <c r="E23" s="7"/>
      <c r="F23" s="7"/>
      <c r="G23" s="7"/>
      <c r="H23" s="7"/>
      <c r="I23" s="7"/>
      <c r="J23" s="7"/>
      <c r="K23" s="7"/>
      <c r="L23" s="7"/>
      <c r="M23" s="7"/>
      <c r="N23" s="7"/>
    </row>
    <row r="24" spans="1:16" s="5" customFormat="1" collapsed="1" x14ac:dyDescent="0.25">
      <c r="A24" s="13" t="s">
        <v>16</v>
      </c>
      <c r="B24" s="14">
        <f>SUM(B15:B23)</f>
        <v>139029.50819672129</v>
      </c>
      <c r="C24" s="14">
        <f t="shared" ref="C24:N24" si="6">SUM(C15:C23)</f>
        <v>11585.792349726777</v>
      </c>
      <c r="D24" s="14">
        <f t="shared" si="6"/>
        <v>11585.792349726777</v>
      </c>
      <c r="E24" s="14">
        <f t="shared" si="6"/>
        <v>11585.792349726777</v>
      </c>
      <c r="F24" s="14">
        <f t="shared" si="6"/>
        <v>11585.792349726777</v>
      </c>
      <c r="G24" s="14">
        <f t="shared" si="6"/>
        <v>11585.792349726777</v>
      </c>
      <c r="H24" s="14">
        <f t="shared" si="6"/>
        <v>11585.792349726777</v>
      </c>
      <c r="I24" s="14">
        <f t="shared" si="6"/>
        <v>11585.792349726777</v>
      </c>
      <c r="J24" s="14">
        <f t="shared" si="6"/>
        <v>11585.792349726777</v>
      </c>
      <c r="K24" s="14">
        <f t="shared" si="6"/>
        <v>11585.792349726777</v>
      </c>
      <c r="L24" s="14">
        <f t="shared" si="6"/>
        <v>11585.792349726777</v>
      </c>
      <c r="M24" s="14">
        <f t="shared" si="6"/>
        <v>11585.792349726777</v>
      </c>
      <c r="N24" s="14">
        <f t="shared" si="6"/>
        <v>11585.792349726777</v>
      </c>
      <c r="P24" s="12" t="s">
        <v>175</v>
      </c>
    </row>
    <row r="25" spans="1:16" hidden="1" outlineLevel="1" x14ac:dyDescent="0.25">
      <c r="A25" s="2" t="s">
        <v>48</v>
      </c>
      <c r="B25" s="8">
        <f t="shared" si="0"/>
        <v>342013.26338797878</v>
      </c>
      <c r="C25" s="7">
        <f>+'[1]F01 NÓM'!$O$137</f>
        <v>24423.098907103871</v>
      </c>
      <c r="D25" s="7">
        <f>+C25</f>
        <v>24423.098907103871</v>
      </c>
      <c r="E25" s="7">
        <f>+'[1]F01 NÓM'!$O$138</f>
        <v>29316.706557377103</v>
      </c>
      <c r="F25" s="7">
        <f>+E25</f>
        <v>29316.706557377103</v>
      </c>
      <c r="G25" s="7">
        <f t="shared" ref="G25:N25" si="7">+F25</f>
        <v>29316.706557377103</v>
      </c>
      <c r="H25" s="7">
        <f t="shared" si="7"/>
        <v>29316.706557377103</v>
      </c>
      <c r="I25" s="7">
        <f t="shared" si="7"/>
        <v>29316.706557377103</v>
      </c>
      <c r="J25" s="7">
        <f t="shared" si="7"/>
        <v>29316.706557377103</v>
      </c>
      <c r="K25" s="7">
        <f t="shared" si="7"/>
        <v>29316.706557377103</v>
      </c>
      <c r="L25" s="7">
        <f t="shared" si="7"/>
        <v>29316.706557377103</v>
      </c>
      <c r="M25" s="7">
        <f t="shared" si="7"/>
        <v>29316.706557377103</v>
      </c>
      <c r="N25" s="7">
        <f t="shared" si="7"/>
        <v>29316.706557377103</v>
      </c>
    </row>
    <row r="26" spans="1:16" collapsed="1" x14ac:dyDescent="0.25">
      <c r="A26" s="13" t="s">
        <v>17</v>
      </c>
      <c r="B26" s="14">
        <f>B25</f>
        <v>342013.26338797878</v>
      </c>
      <c r="C26" s="14">
        <f t="shared" ref="C26:N26" si="8">C25</f>
        <v>24423.098907103871</v>
      </c>
      <c r="D26" s="14">
        <f t="shared" si="8"/>
        <v>24423.098907103871</v>
      </c>
      <c r="E26" s="14">
        <f t="shared" si="8"/>
        <v>29316.706557377103</v>
      </c>
      <c r="F26" s="14">
        <f t="shared" si="8"/>
        <v>29316.706557377103</v>
      </c>
      <c r="G26" s="14">
        <f t="shared" si="8"/>
        <v>29316.706557377103</v>
      </c>
      <c r="H26" s="14">
        <f t="shared" si="8"/>
        <v>29316.706557377103</v>
      </c>
      <c r="I26" s="14">
        <f t="shared" si="8"/>
        <v>29316.706557377103</v>
      </c>
      <c r="J26" s="14">
        <f t="shared" si="8"/>
        <v>29316.706557377103</v>
      </c>
      <c r="K26" s="14">
        <f t="shared" si="8"/>
        <v>29316.706557377103</v>
      </c>
      <c r="L26" s="14">
        <f t="shared" si="8"/>
        <v>29316.706557377103</v>
      </c>
      <c r="M26" s="14">
        <f t="shared" si="8"/>
        <v>29316.706557377103</v>
      </c>
      <c r="N26" s="14">
        <f t="shared" si="8"/>
        <v>29316.706557377103</v>
      </c>
      <c r="P26" s="11" t="s">
        <v>174</v>
      </c>
    </row>
    <row r="27" spans="1:16" hidden="1" outlineLevel="1" x14ac:dyDescent="0.25">
      <c r="A27" s="2" t="s">
        <v>49</v>
      </c>
      <c r="B27" s="8">
        <f t="shared" si="0"/>
        <v>9180.6557377049176</v>
      </c>
      <c r="C27" s="7">
        <f>+'[1]F03 COM Y EQ COM'!J51</f>
        <v>9180.6557377049176</v>
      </c>
      <c r="D27" s="7">
        <f>+'[1]F03 COM Y EQ COM'!K51</f>
        <v>0</v>
      </c>
      <c r="E27" s="7">
        <f>+'[1]F03 COM Y EQ COM'!L51</f>
        <v>0</v>
      </c>
      <c r="F27" s="7">
        <f>+'[1]F03 COM Y EQ COM'!M51</f>
        <v>0</v>
      </c>
      <c r="G27" s="7">
        <f>+'[1]F03 COM Y EQ COM'!N51</f>
        <v>0</v>
      </c>
      <c r="H27" s="7">
        <f>+'[1]F03 COM Y EQ COM'!O51</f>
        <v>0</v>
      </c>
      <c r="I27" s="7">
        <f>+'[1]F03 COM Y EQ COM'!P51</f>
        <v>0</v>
      </c>
      <c r="J27" s="7">
        <f>+'[1]F03 COM Y EQ COM'!Q51</f>
        <v>0</v>
      </c>
      <c r="K27" s="7">
        <f>+'[1]F03 COM Y EQ COM'!R51</f>
        <v>0</v>
      </c>
      <c r="L27" s="7">
        <f>+'[1]F03 COM Y EQ COM'!S51</f>
        <v>0</v>
      </c>
      <c r="M27" s="7">
        <f>+'[1]F03 COM Y EQ COM'!T51</f>
        <v>0</v>
      </c>
      <c r="N27" s="7">
        <f>+'[1]F03 COM Y EQ COM'!U51</f>
        <v>0</v>
      </c>
    </row>
    <row r="28" spans="1:16" hidden="1" outlineLevel="1" x14ac:dyDescent="0.25">
      <c r="A28" s="9" t="s">
        <v>50</v>
      </c>
      <c r="B28" s="10">
        <f t="shared" si="0"/>
        <v>0</v>
      </c>
      <c r="C28" s="10"/>
      <c r="D28" s="10"/>
      <c r="E28" s="10"/>
      <c r="F28" s="10"/>
      <c r="G28" s="10"/>
      <c r="H28" s="10"/>
      <c r="I28" s="10"/>
      <c r="J28" s="10"/>
      <c r="K28" s="10"/>
      <c r="L28" s="10"/>
      <c r="M28" s="10"/>
      <c r="N28" s="10"/>
    </row>
    <row r="29" spans="1:16" s="5" customFormat="1" collapsed="1" x14ac:dyDescent="0.25">
      <c r="A29" s="13" t="s">
        <v>18</v>
      </c>
      <c r="B29" s="14">
        <f>SUM(B27:B28)</f>
        <v>9180.6557377049176</v>
      </c>
      <c r="C29" s="14">
        <f t="shared" ref="C29:N29" si="9">SUM(C27:C28)</f>
        <v>9180.6557377049176</v>
      </c>
      <c r="D29" s="14">
        <f t="shared" si="9"/>
        <v>0</v>
      </c>
      <c r="E29" s="14">
        <f t="shared" si="9"/>
        <v>0</v>
      </c>
      <c r="F29" s="14">
        <f t="shared" si="9"/>
        <v>0</v>
      </c>
      <c r="G29" s="14">
        <f t="shared" si="9"/>
        <v>0</v>
      </c>
      <c r="H29" s="14">
        <f t="shared" si="9"/>
        <v>0</v>
      </c>
      <c r="I29" s="14">
        <f t="shared" si="9"/>
        <v>0</v>
      </c>
      <c r="J29" s="14">
        <f t="shared" si="9"/>
        <v>0</v>
      </c>
      <c r="K29" s="14">
        <f t="shared" si="9"/>
        <v>0</v>
      </c>
      <c r="L29" s="14">
        <f t="shared" si="9"/>
        <v>0</v>
      </c>
      <c r="M29" s="14">
        <f t="shared" si="9"/>
        <v>0</v>
      </c>
      <c r="N29" s="14">
        <f t="shared" si="9"/>
        <v>0</v>
      </c>
      <c r="P29" s="12"/>
    </row>
    <row r="30" spans="1:16" hidden="1" outlineLevel="1" x14ac:dyDescent="0.25">
      <c r="A30" s="2" t="s">
        <v>51</v>
      </c>
      <c r="B30" s="8">
        <f t="shared" si="0"/>
        <v>0</v>
      </c>
      <c r="C30" s="7"/>
      <c r="D30" s="8"/>
      <c r="E30" s="7"/>
      <c r="F30" s="8"/>
      <c r="G30" s="7"/>
      <c r="H30" s="8"/>
      <c r="I30" s="7"/>
      <c r="J30" s="8"/>
      <c r="K30" s="7"/>
      <c r="L30" s="8"/>
      <c r="M30" s="7"/>
      <c r="N30" s="8"/>
    </row>
    <row r="31" spans="1:16" s="5" customFormat="1" collapsed="1" x14ac:dyDescent="0.25">
      <c r="A31" s="13" t="s">
        <v>19</v>
      </c>
      <c r="B31" s="14">
        <f>B30</f>
        <v>0</v>
      </c>
      <c r="C31" s="14">
        <f t="shared" ref="C31:N31" si="10">C30</f>
        <v>0</v>
      </c>
      <c r="D31" s="14">
        <f t="shared" si="10"/>
        <v>0</v>
      </c>
      <c r="E31" s="14">
        <f t="shared" si="10"/>
        <v>0</v>
      </c>
      <c r="F31" s="14">
        <f t="shared" si="10"/>
        <v>0</v>
      </c>
      <c r="G31" s="14">
        <f t="shared" si="10"/>
        <v>0</v>
      </c>
      <c r="H31" s="14">
        <f t="shared" si="10"/>
        <v>0</v>
      </c>
      <c r="I31" s="14">
        <f t="shared" si="10"/>
        <v>0</v>
      </c>
      <c r="J31" s="14">
        <f t="shared" si="10"/>
        <v>0</v>
      </c>
      <c r="K31" s="14">
        <f t="shared" si="10"/>
        <v>0</v>
      </c>
      <c r="L31" s="14">
        <f t="shared" si="10"/>
        <v>0</v>
      </c>
      <c r="M31" s="14">
        <f t="shared" si="10"/>
        <v>0</v>
      </c>
      <c r="N31" s="14">
        <f t="shared" si="10"/>
        <v>0</v>
      </c>
      <c r="P31" s="12"/>
    </row>
    <row r="32" spans="1:16" s="5" customFormat="1" x14ac:dyDescent="0.25">
      <c r="A32" s="13" t="s">
        <v>20</v>
      </c>
      <c r="B32" s="14">
        <f>SUM(C32:N32)</f>
        <v>0</v>
      </c>
      <c r="C32" s="14"/>
      <c r="D32" s="14"/>
      <c r="E32" s="14"/>
      <c r="F32" s="14"/>
      <c r="G32" s="14"/>
      <c r="H32" s="14"/>
      <c r="I32" s="14"/>
      <c r="J32" s="14"/>
      <c r="K32" s="14"/>
      <c r="L32" s="14"/>
      <c r="M32" s="14"/>
      <c r="N32" s="14"/>
      <c r="P32" s="12"/>
    </row>
    <row r="33" spans="1:16" hidden="1" outlineLevel="1" x14ac:dyDescent="0.25">
      <c r="A33" s="2" t="s">
        <v>52</v>
      </c>
      <c r="B33" s="8">
        <f t="shared" ref="B33:B77" si="11">SUM(C33:N33)</f>
        <v>24000</v>
      </c>
      <c r="C33" s="7">
        <f>+'[1]F07 OPERAC'!M8+'[1]F07 OPERAC'!M9</f>
        <v>2000</v>
      </c>
      <c r="D33" s="7">
        <f>+'[1]F07 OPERAC'!N8+'[1]F07 OPERAC'!N9</f>
        <v>2000</v>
      </c>
      <c r="E33" s="7">
        <f>+'[1]F07 OPERAC'!O8+'[1]F07 OPERAC'!O9</f>
        <v>2000</v>
      </c>
      <c r="F33" s="7">
        <f>+'[1]F07 OPERAC'!P8+'[1]F07 OPERAC'!P9</f>
        <v>2000</v>
      </c>
      <c r="G33" s="7">
        <f>+'[1]F07 OPERAC'!Q8+'[1]F07 OPERAC'!Q9</f>
        <v>2000</v>
      </c>
      <c r="H33" s="7">
        <f>+'[1]F07 OPERAC'!R8+'[1]F07 OPERAC'!R9</f>
        <v>2000</v>
      </c>
      <c r="I33" s="7">
        <f>+'[1]F07 OPERAC'!S8+'[1]F07 OPERAC'!S9</f>
        <v>2000</v>
      </c>
      <c r="J33" s="7">
        <f>+'[1]F07 OPERAC'!T8+'[1]F07 OPERAC'!T9</f>
        <v>2000</v>
      </c>
      <c r="K33" s="7">
        <f>+'[1]F07 OPERAC'!U8+'[1]F07 OPERAC'!U9</f>
        <v>2000</v>
      </c>
      <c r="L33" s="7">
        <f>+'[1]F07 OPERAC'!V8+'[1]F07 OPERAC'!V9</f>
        <v>2000</v>
      </c>
      <c r="M33" s="7">
        <f>+'[1]F07 OPERAC'!W8+'[1]F07 OPERAC'!W9</f>
        <v>2000</v>
      </c>
      <c r="N33" s="7">
        <f>+'[1]F07 OPERAC'!X8+'[1]F07 OPERAC'!X9</f>
        <v>2000</v>
      </c>
    </row>
    <row r="34" spans="1:16" hidden="1" outlineLevel="1" x14ac:dyDescent="0.25">
      <c r="A34" s="9" t="s">
        <v>53</v>
      </c>
      <c r="B34" s="10">
        <f t="shared" si="11"/>
        <v>90000</v>
      </c>
      <c r="C34" s="10">
        <f>+'[1]F07 OPERAC'!M58+'[1]F07 OPERAC'!M59+'[1]F07 OPERAC'!M60</f>
        <v>7500</v>
      </c>
      <c r="D34" s="10">
        <f>+'[1]F07 OPERAC'!N58+'[1]F07 OPERAC'!N59+'[1]F07 OPERAC'!N60</f>
        <v>7500</v>
      </c>
      <c r="E34" s="10">
        <f>+'[1]F07 OPERAC'!O58+'[1]F07 OPERAC'!O59+'[1]F07 OPERAC'!O60</f>
        <v>7500</v>
      </c>
      <c r="F34" s="10">
        <f>+'[1]F07 OPERAC'!P58+'[1]F07 OPERAC'!P59+'[1]F07 OPERAC'!P60</f>
        <v>7500</v>
      </c>
      <c r="G34" s="10">
        <f>+'[1]F07 OPERAC'!Q58+'[1]F07 OPERAC'!Q59+'[1]F07 OPERAC'!Q60</f>
        <v>7500</v>
      </c>
      <c r="H34" s="10">
        <f>+'[1]F07 OPERAC'!R58+'[1]F07 OPERAC'!R59+'[1]F07 OPERAC'!R60</f>
        <v>7500</v>
      </c>
      <c r="I34" s="10">
        <f>+'[1]F07 OPERAC'!S58+'[1]F07 OPERAC'!S59+'[1]F07 OPERAC'!S60</f>
        <v>7500</v>
      </c>
      <c r="J34" s="10">
        <f>+'[1]F07 OPERAC'!T58+'[1]F07 OPERAC'!T59+'[1]F07 OPERAC'!T60</f>
        <v>7500</v>
      </c>
      <c r="K34" s="10">
        <f>+'[1]F07 OPERAC'!U58+'[1]F07 OPERAC'!U59+'[1]F07 OPERAC'!U60</f>
        <v>7500</v>
      </c>
      <c r="L34" s="10">
        <f>+'[1]F07 OPERAC'!V58+'[1]F07 OPERAC'!V59+'[1]F07 OPERAC'!V60</f>
        <v>7500</v>
      </c>
      <c r="M34" s="10">
        <f>+'[1]F07 OPERAC'!W58+'[1]F07 OPERAC'!W59+'[1]F07 OPERAC'!W60</f>
        <v>7500</v>
      </c>
      <c r="N34" s="10">
        <f>+'[1]F07 OPERAC'!X58+'[1]F07 OPERAC'!X59+'[1]F07 OPERAC'!X60</f>
        <v>7500</v>
      </c>
    </row>
    <row r="35" spans="1:16" hidden="1" outlineLevel="1" x14ac:dyDescent="0.25">
      <c r="A35" s="2" t="s">
        <v>54</v>
      </c>
      <c r="B35" s="8">
        <f t="shared" si="11"/>
        <v>54000</v>
      </c>
      <c r="C35" s="7">
        <f>+'[1]F07 OPERAC'!M10</f>
        <v>9000</v>
      </c>
      <c r="D35" s="7">
        <f>+'[1]F07 OPERAC'!N10</f>
        <v>0</v>
      </c>
      <c r="E35" s="7">
        <f>+'[1]F07 OPERAC'!O10</f>
        <v>9000</v>
      </c>
      <c r="F35" s="7">
        <f>+'[1]F07 OPERAC'!P10</f>
        <v>0</v>
      </c>
      <c r="G35" s="7">
        <f>+'[1]F07 OPERAC'!Q10</f>
        <v>9000</v>
      </c>
      <c r="H35" s="7">
        <f>+'[1]F07 OPERAC'!R10</f>
        <v>0</v>
      </c>
      <c r="I35" s="7">
        <f>+'[1]F07 OPERAC'!S10</f>
        <v>9000</v>
      </c>
      <c r="J35" s="7">
        <f>+'[1]F07 OPERAC'!T10</f>
        <v>0</v>
      </c>
      <c r="K35" s="7">
        <f>+'[1]F07 OPERAC'!U10</f>
        <v>9000</v>
      </c>
      <c r="L35" s="7">
        <f>+'[1]F07 OPERAC'!V10</f>
        <v>0</v>
      </c>
      <c r="M35" s="7">
        <f>+'[1]F07 OPERAC'!W10</f>
        <v>9000</v>
      </c>
      <c r="N35" s="7">
        <f>+'[1]F07 OPERAC'!X10</f>
        <v>0</v>
      </c>
    </row>
    <row r="36" spans="1:16" hidden="1" outlineLevel="1" x14ac:dyDescent="0.25">
      <c r="A36" s="9" t="s">
        <v>55</v>
      </c>
      <c r="B36" s="10">
        <f t="shared" si="11"/>
        <v>0</v>
      </c>
      <c r="C36" s="10"/>
      <c r="D36" s="10"/>
      <c r="E36" s="10"/>
      <c r="F36" s="10"/>
      <c r="G36" s="10"/>
      <c r="H36" s="10"/>
      <c r="I36" s="10"/>
      <c r="J36" s="10"/>
      <c r="K36" s="10"/>
      <c r="L36" s="10"/>
      <c r="M36" s="10"/>
      <c r="N36" s="10"/>
    </row>
    <row r="37" spans="1:16" s="5" customFormat="1" collapsed="1" x14ac:dyDescent="0.25">
      <c r="A37" s="13" t="s">
        <v>21</v>
      </c>
      <c r="B37" s="14">
        <f>SUM(B33:B36)</f>
        <v>168000</v>
      </c>
      <c r="C37" s="14">
        <f t="shared" ref="C37:N37" si="12">SUM(C33:C36)</f>
        <v>18500</v>
      </c>
      <c r="D37" s="14">
        <f t="shared" si="12"/>
        <v>9500</v>
      </c>
      <c r="E37" s="14">
        <f t="shared" si="12"/>
        <v>18500</v>
      </c>
      <c r="F37" s="14">
        <f t="shared" si="12"/>
        <v>9500</v>
      </c>
      <c r="G37" s="14">
        <f t="shared" si="12"/>
        <v>18500</v>
      </c>
      <c r="H37" s="14">
        <f t="shared" si="12"/>
        <v>9500</v>
      </c>
      <c r="I37" s="14">
        <f t="shared" si="12"/>
        <v>18500</v>
      </c>
      <c r="J37" s="14">
        <f t="shared" si="12"/>
        <v>9500</v>
      </c>
      <c r="K37" s="14">
        <f t="shared" si="12"/>
        <v>18500</v>
      </c>
      <c r="L37" s="14">
        <f t="shared" si="12"/>
        <v>9500</v>
      </c>
      <c r="M37" s="14">
        <f t="shared" si="12"/>
        <v>18500</v>
      </c>
      <c r="N37" s="14">
        <f t="shared" si="12"/>
        <v>9500</v>
      </c>
      <c r="P37" s="12"/>
    </row>
    <row r="38" spans="1:16" hidden="1" outlineLevel="1" x14ac:dyDescent="0.25">
      <c r="A38" s="2" t="s">
        <v>56</v>
      </c>
      <c r="B38" s="8">
        <f t="shared" si="11"/>
        <v>0</v>
      </c>
      <c r="C38" s="7"/>
      <c r="D38" s="7"/>
      <c r="E38" s="7"/>
      <c r="F38" s="7"/>
      <c r="G38" s="7"/>
      <c r="H38" s="7"/>
      <c r="I38" s="7"/>
      <c r="J38" s="7"/>
      <c r="K38" s="7"/>
      <c r="L38" s="7"/>
      <c r="M38" s="7"/>
      <c r="N38" s="7"/>
    </row>
    <row r="39" spans="1:16" hidden="1" outlineLevel="1" x14ac:dyDescent="0.25">
      <c r="A39" s="9" t="s">
        <v>57</v>
      </c>
      <c r="B39" s="10">
        <f t="shared" si="11"/>
        <v>0</v>
      </c>
      <c r="C39" s="10"/>
      <c r="D39" s="10"/>
      <c r="E39" s="10"/>
      <c r="F39" s="10"/>
      <c r="G39" s="10"/>
      <c r="H39" s="10"/>
      <c r="I39" s="10"/>
      <c r="J39" s="10"/>
      <c r="K39" s="10"/>
      <c r="L39" s="10"/>
      <c r="M39" s="10"/>
      <c r="N39" s="10"/>
    </row>
    <row r="40" spans="1:16" s="5" customFormat="1" collapsed="1" x14ac:dyDescent="0.25">
      <c r="A40" s="13" t="s">
        <v>22</v>
      </c>
      <c r="B40" s="14">
        <f>SUM(B38:B39)</f>
        <v>0</v>
      </c>
      <c r="C40" s="14">
        <f t="shared" ref="C40:N40" si="13">SUM(C38:C39)</f>
        <v>0</v>
      </c>
      <c r="D40" s="14">
        <f t="shared" si="13"/>
        <v>0</v>
      </c>
      <c r="E40" s="14">
        <f t="shared" si="13"/>
        <v>0</v>
      </c>
      <c r="F40" s="14">
        <f t="shared" si="13"/>
        <v>0</v>
      </c>
      <c r="G40" s="14">
        <f t="shared" si="13"/>
        <v>0</v>
      </c>
      <c r="H40" s="14">
        <f t="shared" si="13"/>
        <v>0</v>
      </c>
      <c r="I40" s="14">
        <f t="shared" si="13"/>
        <v>0</v>
      </c>
      <c r="J40" s="14">
        <f t="shared" si="13"/>
        <v>0</v>
      </c>
      <c r="K40" s="14">
        <f t="shared" si="13"/>
        <v>0</v>
      </c>
      <c r="L40" s="14">
        <f t="shared" si="13"/>
        <v>0</v>
      </c>
      <c r="M40" s="14">
        <f t="shared" si="13"/>
        <v>0</v>
      </c>
      <c r="N40" s="14">
        <f t="shared" si="13"/>
        <v>0</v>
      </c>
      <c r="P40" s="12" t="s">
        <v>173</v>
      </c>
    </row>
    <row r="41" spans="1:16" hidden="1" outlineLevel="1" x14ac:dyDescent="0.25">
      <c r="A41" s="2" t="s">
        <v>58</v>
      </c>
      <c r="B41" s="8">
        <f t="shared" si="11"/>
        <v>0</v>
      </c>
      <c r="C41" s="7"/>
      <c r="D41" s="8"/>
      <c r="E41" s="7"/>
      <c r="F41" s="8"/>
      <c r="G41" s="7"/>
      <c r="H41" s="8"/>
      <c r="I41" s="7"/>
      <c r="J41" s="8"/>
      <c r="K41" s="7"/>
      <c r="L41" s="8"/>
      <c r="M41" s="7"/>
      <c r="N41" s="8"/>
    </row>
    <row r="42" spans="1:16" hidden="1" outlineLevel="1" x14ac:dyDescent="0.25">
      <c r="A42" s="9" t="s">
        <v>73</v>
      </c>
      <c r="B42" s="10">
        <f t="shared" si="11"/>
        <v>0</v>
      </c>
      <c r="C42" s="10"/>
      <c r="D42" s="10"/>
      <c r="E42" s="10"/>
      <c r="F42" s="10"/>
      <c r="G42" s="10"/>
      <c r="H42" s="10"/>
      <c r="I42" s="10"/>
      <c r="J42" s="10"/>
      <c r="K42" s="10"/>
      <c r="L42" s="10"/>
      <c r="M42" s="10"/>
      <c r="N42" s="10"/>
    </row>
    <row r="43" spans="1:16" hidden="1" outlineLevel="1" x14ac:dyDescent="0.25">
      <c r="A43" s="2" t="s">
        <v>59</v>
      </c>
      <c r="B43" s="8">
        <f t="shared" si="11"/>
        <v>234000</v>
      </c>
      <c r="C43" s="7">
        <f>+'[1]F07 OPERAC'!M66+'[1]F07 OPERAC'!M65</f>
        <v>42000</v>
      </c>
      <c r="D43" s="7">
        <f>+'[1]F07 OPERAC'!N66+'[1]F07 OPERAC'!N65</f>
        <v>12000</v>
      </c>
      <c r="E43" s="7">
        <f>+'[1]F07 OPERAC'!O66+'[1]F07 OPERAC'!O65</f>
        <v>12000</v>
      </c>
      <c r="F43" s="7">
        <f>+'[1]F07 OPERAC'!P66+'[1]F07 OPERAC'!P65</f>
        <v>12000</v>
      </c>
      <c r="G43" s="7">
        <f>+'[1]F07 OPERAC'!Q66+'[1]F07 OPERAC'!Q65</f>
        <v>42000</v>
      </c>
      <c r="H43" s="7">
        <f>+'[1]F07 OPERAC'!R66+'[1]F07 OPERAC'!R65</f>
        <v>12000</v>
      </c>
      <c r="I43" s="7">
        <f>+'[1]F07 OPERAC'!S66+'[1]F07 OPERAC'!S65</f>
        <v>12000</v>
      </c>
      <c r="J43" s="7">
        <f>+'[1]F07 OPERAC'!T66+'[1]F07 OPERAC'!T65</f>
        <v>12000</v>
      </c>
      <c r="K43" s="7">
        <f>+'[1]F07 OPERAC'!U66+'[1]F07 OPERAC'!U65</f>
        <v>42000</v>
      </c>
      <c r="L43" s="7">
        <f>+'[1]F07 OPERAC'!V66+'[1]F07 OPERAC'!V65</f>
        <v>12000</v>
      </c>
      <c r="M43" s="7">
        <f>+'[1]F07 OPERAC'!W66+'[1]F07 OPERAC'!W65</f>
        <v>12000</v>
      </c>
      <c r="N43" s="7">
        <f>+'[1]F07 OPERAC'!X66+'[1]F07 OPERAC'!X65</f>
        <v>12000</v>
      </c>
    </row>
    <row r="44" spans="1:16" hidden="1" outlineLevel="1" x14ac:dyDescent="0.25">
      <c r="A44" s="9" t="s">
        <v>60</v>
      </c>
      <c r="B44" s="10">
        <f t="shared" si="11"/>
        <v>0</v>
      </c>
      <c r="C44" s="10"/>
      <c r="D44" s="10"/>
      <c r="E44" s="10"/>
      <c r="F44" s="10"/>
      <c r="G44" s="10"/>
      <c r="H44" s="10"/>
      <c r="I44" s="10"/>
      <c r="J44" s="10"/>
      <c r="K44" s="10"/>
      <c r="L44" s="10"/>
      <c r="M44" s="10"/>
      <c r="N44" s="10"/>
    </row>
    <row r="45" spans="1:16" hidden="1" outlineLevel="1" x14ac:dyDescent="0.25">
      <c r="A45" s="2" t="s">
        <v>61</v>
      </c>
      <c r="B45" s="8">
        <f t="shared" si="11"/>
        <v>0</v>
      </c>
      <c r="C45" s="7"/>
      <c r="D45" s="8"/>
      <c r="E45" s="7"/>
      <c r="F45" s="8"/>
      <c r="G45" s="7"/>
      <c r="H45" s="8"/>
      <c r="I45" s="7"/>
      <c r="J45" s="8"/>
      <c r="K45" s="7"/>
      <c r="L45" s="8"/>
      <c r="M45" s="7"/>
      <c r="N45" s="8"/>
    </row>
    <row r="46" spans="1:16" hidden="1" outlineLevel="1" x14ac:dyDescent="0.25">
      <c r="A46" s="9" t="s">
        <v>74</v>
      </c>
      <c r="B46" s="10">
        <f t="shared" si="11"/>
        <v>0</v>
      </c>
      <c r="C46" s="10"/>
      <c r="D46" s="10"/>
      <c r="E46" s="10"/>
      <c r="F46" s="10"/>
      <c r="G46" s="10"/>
      <c r="H46" s="10"/>
      <c r="I46" s="10"/>
      <c r="J46" s="10"/>
      <c r="K46" s="10"/>
      <c r="L46" s="10"/>
      <c r="M46" s="10"/>
      <c r="N46" s="10"/>
    </row>
    <row r="47" spans="1:16" hidden="1" outlineLevel="1" x14ac:dyDescent="0.25">
      <c r="A47" s="2" t="s">
        <v>75</v>
      </c>
      <c r="B47" s="8">
        <f t="shared" si="11"/>
        <v>0</v>
      </c>
      <c r="C47" s="7"/>
      <c r="D47" s="8"/>
      <c r="E47" s="7"/>
      <c r="F47" s="8"/>
      <c r="G47" s="7"/>
      <c r="H47" s="8"/>
      <c r="I47" s="7"/>
      <c r="J47" s="8"/>
      <c r="K47" s="7"/>
      <c r="L47" s="8"/>
      <c r="M47" s="7"/>
      <c r="N47" s="8"/>
    </row>
    <row r="48" spans="1:16" hidden="1" outlineLevel="1" x14ac:dyDescent="0.25">
      <c r="A48" s="9" t="s">
        <v>62</v>
      </c>
      <c r="B48" s="10">
        <f t="shared" si="11"/>
        <v>0</v>
      </c>
      <c r="C48" s="10"/>
      <c r="D48" s="10"/>
      <c r="E48" s="10"/>
      <c r="F48" s="10"/>
      <c r="G48" s="10"/>
      <c r="H48" s="10"/>
      <c r="I48" s="10"/>
      <c r="J48" s="10"/>
      <c r="K48" s="10"/>
      <c r="L48" s="10"/>
      <c r="M48" s="10"/>
      <c r="N48" s="10"/>
    </row>
    <row r="49" spans="1:14" hidden="1" outlineLevel="1" x14ac:dyDescent="0.25">
      <c r="A49" s="2" t="s">
        <v>63</v>
      </c>
      <c r="B49" s="8">
        <f t="shared" si="11"/>
        <v>4200</v>
      </c>
      <c r="C49" s="7">
        <f>+'[1]F00 INV'!Q44</f>
        <v>0</v>
      </c>
      <c r="D49" s="7">
        <f>+'[1]F00 INV'!R44</f>
        <v>4200</v>
      </c>
      <c r="E49" s="7">
        <f>+'[1]F00 INV'!S44</f>
        <v>0</v>
      </c>
      <c r="F49" s="7">
        <f>+'[1]F00 INV'!T44</f>
        <v>0</v>
      </c>
      <c r="G49" s="7">
        <f>+'[1]F00 INV'!U44</f>
        <v>0</v>
      </c>
      <c r="H49" s="7">
        <f>+'[1]F00 INV'!V44</f>
        <v>0</v>
      </c>
      <c r="I49" s="7">
        <f>+'[1]F00 INV'!W44</f>
        <v>0</v>
      </c>
      <c r="J49" s="7">
        <f>+'[1]F00 INV'!X44</f>
        <v>0</v>
      </c>
      <c r="K49" s="7">
        <f>+'[1]F00 INV'!Y44</f>
        <v>0</v>
      </c>
      <c r="L49" s="7">
        <f>+'[1]F00 INV'!Z44</f>
        <v>0</v>
      </c>
      <c r="M49" s="7">
        <f>+'[1]F00 INV'!AA44</f>
        <v>0</v>
      </c>
      <c r="N49" s="7">
        <f>+'[1]F00 INV'!AB44</f>
        <v>0</v>
      </c>
    </row>
    <row r="50" spans="1:14" hidden="1" outlineLevel="1" x14ac:dyDescent="0.25">
      <c r="A50" s="9" t="s">
        <v>64</v>
      </c>
      <c r="B50" s="10">
        <f t="shared" si="11"/>
        <v>0</v>
      </c>
      <c r="C50" s="10"/>
      <c r="D50" s="10"/>
      <c r="E50" s="10"/>
      <c r="F50" s="10"/>
      <c r="G50" s="10"/>
      <c r="H50" s="10"/>
      <c r="I50" s="10"/>
      <c r="J50" s="10"/>
      <c r="K50" s="10"/>
      <c r="L50" s="10"/>
      <c r="M50" s="10"/>
      <c r="N50" s="10"/>
    </row>
    <row r="51" spans="1:14" hidden="1" outlineLevel="1" x14ac:dyDescent="0.25">
      <c r="A51" s="2" t="s">
        <v>65</v>
      </c>
      <c r="B51" s="8">
        <f t="shared" si="11"/>
        <v>90000</v>
      </c>
      <c r="C51" s="7">
        <f>+'[1]F00 INV'!Q43+'[1]F00 INV'!Q41+'[1]F00 INV'!Q42</f>
        <v>0</v>
      </c>
      <c r="D51" s="7">
        <f>+'[1]F00 INV'!R43+'[1]F00 INV'!R41+'[1]F00 INV'!R42</f>
        <v>90000</v>
      </c>
      <c r="E51" s="7">
        <f>+'[1]F00 INV'!S43+'[1]F00 INV'!S41+'[1]F00 INV'!S42</f>
        <v>0</v>
      </c>
      <c r="F51" s="7">
        <f>+'[1]F00 INV'!T43+'[1]F00 INV'!T41+'[1]F00 INV'!T42</f>
        <v>0</v>
      </c>
      <c r="G51" s="7">
        <f>+'[1]F00 INV'!U43+'[1]F00 INV'!U41+'[1]F00 INV'!U42</f>
        <v>0</v>
      </c>
      <c r="H51" s="7">
        <f>+'[1]F00 INV'!V43+'[1]F00 INV'!V41+'[1]F00 INV'!V42</f>
        <v>0</v>
      </c>
      <c r="I51" s="7">
        <f>+'[1]F00 INV'!W43+'[1]F00 INV'!W41+'[1]F00 INV'!W42</f>
        <v>0</v>
      </c>
      <c r="J51" s="7">
        <f>+'[1]F00 INV'!X43+'[1]F00 INV'!X41+'[1]F00 INV'!X42</f>
        <v>0</v>
      </c>
      <c r="K51" s="7">
        <f>+'[1]F00 INV'!Y43+'[1]F00 INV'!Y41+'[1]F00 INV'!Y42</f>
        <v>0</v>
      </c>
      <c r="L51" s="7">
        <f>+'[1]F00 INV'!Z43+'[1]F00 INV'!Z41+'[1]F00 INV'!Z42</f>
        <v>0</v>
      </c>
      <c r="M51" s="7">
        <f>+'[1]F00 INV'!AA43+'[1]F00 INV'!AA41+'[1]F00 INV'!AA42</f>
        <v>0</v>
      </c>
      <c r="N51" s="7">
        <f>+'[1]F00 INV'!AB43+'[1]F00 INV'!AB41+'[1]F00 INV'!AB42</f>
        <v>0</v>
      </c>
    </row>
    <row r="52" spans="1:14" hidden="1" outlineLevel="1" x14ac:dyDescent="0.25">
      <c r="A52" s="9" t="s">
        <v>76</v>
      </c>
      <c r="B52" s="10">
        <f t="shared" si="11"/>
        <v>75000</v>
      </c>
      <c r="C52" s="10">
        <f>+'[1]F00 INV'!Q24</f>
        <v>0</v>
      </c>
      <c r="D52" s="10">
        <f>+'[1]F00 INV'!R24</f>
        <v>75000</v>
      </c>
      <c r="E52" s="10">
        <f>+'[1]F00 INV'!S24</f>
        <v>0</v>
      </c>
      <c r="F52" s="10">
        <f>+'[1]F00 INV'!T24</f>
        <v>0</v>
      </c>
      <c r="G52" s="10">
        <f>+'[1]F00 INV'!U24</f>
        <v>0</v>
      </c>
      <c r="H52" s="10">
        <f>+'[1]F00 INV'!V24</f>
        <v>0</v>
      </c>
      <c r="I52" s="10">
        <f>+'[1]F00 INV'!W24</f>
        <v>0</v>
      </c>
      <c r="J52" s="10">
        <f>+'[1]F00 INV'!X24</f>
        <v>0</v>
      </c>
      <c r="K52" s="10">
        <f>+'[1]F00 INV'!Y24</f>
        <v>0</v>
      </c>
      <c r="L52" s="10">
        <f>+'[1]F00 INV'!Z24</f>
        <v>0</v>
      </c>
      <c r="M52" s="10">
        <f>+'[1]F00 INV'!AA24</f>
        <v>0</v>
      </c>
      <c r="N52" s="10">
        <f>+'[1]F00 INV'!AB24</f>
        <v>0</v>
      </c>
    </row>
    <row r="53" spans="1:14" hidden="1" outlineLevel="1" x14ac:dyDescent="0.25">
      <c r="A53" s="2" t="s">
        <v>77</v>
      </c>
      <c r="B53" s="8">
        <f t="shared" si="11"/>
        <v>0</v>
      </c>
      <c r="C53" s="7"/>
      <c r="D53" s="8"/>
      <c r="E53" s="7"/>
      <c r="F53" s="8"/>
      <c r="G53" s="7"/>
      <c r="H53" s="8"/>
      <c r="I53" s="7"/>
      <c r="J53" s="8"/>
      <c r="K53" s="7"/>
      <c r="L53" s="8"/>
      <c r="M53" s="7"/>
      <c r="N53" s="8"/>
    </row>
    <row r="54" spans="1:14" hidden="1" outlineLevel="1" x14ac:dyDescent="0.25">
      <c r="A54" s="9" t="s">
        <v>66</v>
      </c>
      <c r="B54" s="10">
        <f t="shared" si="11"/>
        <v>0</v>
      </c>
      <c r="C54" s="10"/>
      <c r="D54" s="10"/>
      <c r="E54" s="10"/>
      <c r="F54" s="10"/>
      <c r="G54" s="10"/>
      <c r="H54" s="10"/>
      <c r="I54" s="10"/>
      <c r="J54" s="10"/>
      <c r="K54" s="10"/>
      <c r="L54" s="10"/>
      <c r="M54" s="10"/>
      <c r="N54" s="10"/>
    </row>
    <row r="55" spans="1:14" hidden="1" outlineLevel="1" x14ac:dyDescent="0.25">
      <c r="A55" s="2" t="s">
        <v>67</v>
      </c>
      <c r="B55" s="8">
        <f t="shared" si="11"/>
        <v>763934.42622950813</v>
      </c>
      <c r="C55" s="7">
        <f>+'[1]F00 INV'!Q23+'[1]F00 INV'!Q51</f>
        <v>150000</v>
      </c>
      <c r="D55" s="7">
        <f>+'[1]F00 INV'!R23+'[1]F00 INV'!R51</f>
        <v>313934.42622950819</v>
      </c>
      <c r="E55" s="7">
        <f>+'[1]F00 INV'!S23+'[1]F00 INV'!S51</f>
        <v>150000</v>
      </c>
      <c r="F55" s="7">
        <f>+'[1]F00 INV'!T23+'[1]F00 INV'!T51</f>
        <v>150000</v>
      </c>
      <c r="G55" s="7">
        <f>+'[1]F00 INV'!U23+'[1]F00 INV'!U51</f>
        <v>0</v>
      </c>
      <c r="H55" s="7">
        <f>+'[1]F00 INV'!V23+'[1]F00 INV'!V51</f>
        <v>0</v>
      </c>
      <c r="I55" s="7">
        <f>+'[1]F00 INV'!W23+'[1]F00 INV'!W51</f>
        <v>0</v>
      </c>
      <c r="J55" s="7">
        <f>+'[1]F00 INV'!X23+'[1]F00 INV'!X51</f>
        <v>0</v>
      </c>
      <c r="K55" s="7">
        <f>+'[1]F00 INV'!Y23+'[1]F00 INV'!Y51</f>
        <v>0</v>
      </c>
      <c r="L55" s="7">
        <f>+'[1]F00 INV'!Z23+'[1]F00 INV'!Z51</f>
        <v>0</v>
      </c>
      <c r="M55" s="7">
        <f>+'[1]F00 INV'!AA23+'[1]F00 INV'!AA51</f>
        <v>0</v>
      </c>
      <c r="N55" s="7">
        <f>+'[1]F00 INV'!AB23+'[1]F00 INV'!AB51</f>
        <v>0</v>
      </c>
    </row>
    <row r="56" spans="1:14" hidden="1" outlineLevel="1" x14ac:dyDescent="0.25">
      <c r="A56" s="9" t="s">
        <v>78</v>
      </c>
      <c r="B56" s="10">
        <f t="shared" si="11"/>
        <v>0</v>
      </c>
      <c r="C56" s="10"/>
      <c r="D56" s="10"/>
      <c r="E56" s="10"/>
      <c r="F56" s="10"/>
      <c r="G56" s="10"/>
      <c r="H56" s="10"/>
      <c r="I56" s="10"/>
      <c r="J56" s="10"/>
      <c r="K56" s="10"/>
      <c r="L56" s="10"/>
      <c r="M56" s="10"/>
      <c r="N56" s="10"/>
    </row>
    <row r="57" spans="1:14" hidden="1" outlineLevel="1" x14ac:dyDescent="0.25">
      <c r="A57" s="2" t="s">
        <v>79</v>
      </c>
      <c r="B57" s="8">
        <f t="shared" si="11"/>
        <v>250000</v>
      </c>
      <c r="C57" s="7">
        <f>+'[1]F00 INV'!Q48</f>
        <v>50000</v>
      </c>
      <c r="D57" s="7">
        <f>+'[1]F00 INV'!R48</f>
        <v>50000</v>
      </c>
      <c r="E57" s="7">
        <f>+'[1]F00 INV'!S48</f>
        <v>50000</v>
      </c>
      <c r="F57" s="7">
        <f>+'[1]F00 INV'!T48</f>
        <v>50000</v>
      </c>
      <c r="G57" s="7">
        <f>+'[1]F00 INV'!U48</f>
        <v>50000</v>
      </c>
      <c r="H57" s="7">
        <f>+'[1]F00 INV'!V48</f>
        <v>0</v>
      </c>
      <c r="I57" s="7">
        <f>+'[1]F00 INV'!W48</f>
        <v>0</v>
      </c>
      <c r="J57" s="7">
        <f>+'[1]F00 INV'!X48</f>
        <v>0</v>
      </c>
      <c r="K57" s="7">
        <f>+'[1]F00 INV'!Y48</f>
        <v>0</v>
      </c>
      <c r="L57" s="7">
        <f>+'[1]F00 INV'!Z48</f>
        <v>0</v>
      </c>
      <c r="M57" s="7">
        <f>+'[1]F00 INV'!AA48</f>
        <v>0</v>
      </c>
      <c r="N57" s="7">
        <f>+'[1]F00 INV'!AB48</f>
        <v>0</v>
      </c>
    </row>
    <row r="58" spans="1:14" hidden="1" outlineLevel="1" x14ac:dyDescent="0.25">
      <c r="A58" s="9" t="s">
        <v>68</v>
      </c>
      <c r="B58" s="10">
        <f t="shared" si="11"/>
        <v>0</v>
      </c>
      <c r="C58" s="10"/>
      <c r="D58" s="10"/>
      <c r="E58" s="10"/>
      <c r="F58" s="10"/>
      <c r="G58" s="10"/>
      <c r="H58" s="10"/>
      <c r="I58" s="10"/>
      <c r="J58" s="10"/>
      <c r="K58" s="10"/>
      <c r="L58" s="10"/>
      <c r="M58" s="10"/>
      <c r="N58" s="10"/>
    </row>
    <row r="59" spans="1:14" hidden="1" outlineLevel="1" x14ac:dyDescent="0.25">
      <c r="A59" s="2" t="s">
        <v>85</v>
      </c>
      <c r="B59" s="8">
        <f t="shared" si="11"/>
        <v>0</v>
      </c>
      <c r="C59" s="7"/>
      <c r="D59" s="8"/>
      <c r="E59" s="7"/>
      <c r="F59" s="8"/>
      <c r="G59" s="7"/>
      <c r="H59" s="8"/>
      <c r="I59" s="7"/>
      <c r="J59" s="8"/>
      <c r="K59" s="7"/>
      <c r="L59" s="8"/>
      <c r="M59" s="7"/>
      <c r="N59" s="8"/>
    </row>
    <row r="60" spans="1:14" hidden="1" outlineLevel="1" x14ac:dyDescent="0.25">
      <c r="A60" s="9" t="s">
        <v>89</v>
      </c>
      <c r="B60" s="10">
        <f t="shared" si="11"/>
        <v>0</v>
      </c>
      <c r="C60" s="10"/>
      <c r="D60" s="10"/>
      <c r="E60" s="10"/>
      <c r="F60" s="10"/>
      <c r="G60" s="10"/>
      <c r="H60" s="10"/>
      <c r="I60" s="10"/>
      <c r="J60" s="10"/>
      <c r="K60" s="10"/>
      <c r="L60" s="10"/>
      <c r="M60" s="10"/>
      <c r="N60" s="10"/>
    </row>
    <row r="61" spans="1:14" hidden="1" outlineLevel="1" x14ac:dyDescent="0.25">
      <c r="A61" s="2" t="s">
        <v>90</v>
      </c>
      <c r="B61" s="8">
        <f t="shared" si="11"/>
        <v>0</v>
      </c>
      <c r="C61" s="7"/>
      <c r="D61" s="8"/>
      <c r="E61" s="7"/>
      <c r="F61" s="8"/>
      <c r="G61" s="7"/>
      <c r="H61" s="8"/>
      <c r="I61" s="7"/>
      <c r="J61" s="8"/>
      <c r="K61" s="7"/>
      <c r="L61" s="8"/>
      <c r="M61" s="7"/>
      <c r="N61" s="8"/>
    </row>
    <row r="62" spans="1:14" hidden="1" outlineLevel="1" x14ac:dyDescent="0.25">
      <c r="A62" s="9" t="s">
        <v>86</v>
      </c>
      <c r="B62" s="10">
        <f t="shared" si="11"/>
        <v>0</v>
      </c>
      <c r="C62" s="10"/>
      <c r="D62" s="10"/>
      <c r="E62" s="10"/>
      <c r="F62" s="10"/>
      <c r="G62" s="10"/>
      <c r="H62" s="10"/>
      <c r="I62" s="10"/>
      <c r="J62" s="10"/>
      <c r="K62" s="10"/>
      <c r="L62" s="10"/>
      <c r="M62" s="10"/>
      <c r="N62" s="10"/>
    </row>
    <row r="63" spans="1:14" hidden="1" outlineLevel="1" x14ac:dyDescent="0.25">
      <c r="A63" s="2" t="s">
        <v>91</v>
      </c>
      <c r="B63" s="8">
        <f t="shared" si="11"/>
        <v>0</v>
      </c>
      <c r="C63" s="7"/>
      <c r="D63" s="8"/>
      <c r="E63" s="7"/>
      <c r="F63" s="8"/>
      <c r="G63" s="7"/>
      <c r="H63" s="8"/>
      <c r="I63" s="7"/>
      <c r="J63" s="8"/>
      <c r="K63" s="7"/>
      <c r="L63" s="8"/>
      <c r="M63" s="7"/>
      <c r="N63" s="8"/>
    </row>
    <row r="64" spans="1:14" hidden="1" outlineLevel="1" x14ac:dyDescent="0.25">
      <c r="A64" s="9" t="s">
        <v>92</v>
      </c>
      <c r="B64" s="10">
        <f t="shared" si="11"/>
        <v>0</v>
      </c>
      <c r="C64" s="10"/>
      <c r="D64" s="10"/>
      <c r="E64" s="10"/>
      <c r="F64" s="10"/>
      <c r="G64" s="10"/>
      <c r="H64" s="10"/>
      <c r="I64" s="10"/>
      <c r="J64" s="10"/>
      <c r="K64" s="10"/>
      <c r="L64" s="10"/>
      <c r="M64" s="10"/>
      <c r="N64" s="10"/>
    </row>
    <row r="65" spans="1:16" hidden="1" outlineLevel="1" x14ac:dyDescent="0.25">
      <c r="A65" s="2" t="s">
        <v>80</v>
      </c>
      <c r="B65" s="8">
        <f t="shared" si="11"/>
        <v>0</v>
      </c>
      <c r="C65" s="7"/>
      <c r="D65" s="8"/>
      <c r="E65" s="7"/>
      <c r="F65" s="8"/>
      <c r="G65" s="7"/>
      <c r="H65" s="8"/>
      <c r="I65" s="7"/>
      <c r="J65" s="8"/>
      <c r="K65" s="7"/>
      <c r="L65" s="8"/>
      <c r="M65" s="7"/>
      <c r="N65" s="8"/>
    </row>
    <row r="66" spans="1:16" hidden="1" outlineLevel="1" x14ac:dyDescent="0.25">
      <c r="A66" s="9" t="s">
        <v>81</v>
      </c>
      <c r="B66" s="10">
        <f t="shared" si="11"/>
        <v>60000</v>
      </c>
      <c r="C66" s="10">
        <f>+'[1]F00 INV'!Q26</f>
        <v>0</v>
      </c>
      <c r="D66" s="10">
        <f>+'[1]F00 INV'!R26</f>
        <v>15000</v>
      </c>
      <c r="E66" s="10">
        <f>+'[1]F00 INV'!S26</f>
        <v>0</v>
      </c>
      <c r="F66" s="10">
        <f>+'[1]F00 INV'!T26</f>
        <v>0</v>
      </c>
      <c r="G66" s="10">
        <f>+'[1]F00 INV'!U26</f>
        <v>0</v>
      </c>
      <c r="H66" s="10">
        <f>+'[1]F00 INV'!V26</f>
        <v>0</v>
      </c>
      <c r="I66" s="10">
        <f>+'[1]F00 INV'!W26</f>
        <v>15000</v>
      </c>
      <c r="J66" s="10">
        <f>+'[1]F00 INV'!X26</f>
        <v>0</v>
      </c>
      <c r="K66" s="10">
        <f>+'[1]F00 INV'!Y26</f>
        <v>15000</v>
      </c>
      <c r="L66" s="10">
        <f>+'[1]F00 INV'!Z26</f>
        <v>0</v>
      </c>
      <c r="M66" s="10">
        <f>+'[1]F00 INV'!AA26</f>
        <v>15000</v>
      </c>
      <c r="N66" s="10">
        <f>+'[1]F00 INV'!AB26</f>
        <v>0</v>
      </c>
    </row>
    <row r="67" spans="1:16" hidden="1" outlineLevel="1" x14ac:dyDescent="0.25">
      <c r="A67" s="2" t="s">
        <v>82</v>
      </c>
      <c r="B67" s="8">
        <f t="shared" si="11"/>
        <v>0</v>
      </c>
      <c r="C67" s="7"/>
      <c r="D67" s="8"/>
      <c r="E67" s="7"/>
      <c r="F67" s="8"/>
      <c r="G67" s="7"/>
      <c r="H67" s="8"/>
      <c r="I67" s="7"/>
      <c r="J67" s="8"/>
      <c r="K67" s="7"/>
      <c r="L67" s="8"/>
      <c r="M67" s="7"/>
      <c r="N67" s="8"/>
    </row>
    <row r="68" spans="1:16" hidden="1" outlineLevel="1" x14ac:dyDescent="0.25">
      <c r="A68" s="9" t="s">
        <v>83</v>
      </c>
      <c r="B68" s="10">
        <f t="shared" si="11"/>
        <v>0</v>
      </c>
      <c r="C68" s="10"/>
      <c r="D68" s="10"/>
      <c r="E68" s="10"/>
      <c r="F68" s="10"/>
      <c r="G68" s="10"/>
      <c r="H68" s="10"/>
      <c r="I68" s="10"/>
      <c r="J68" s="10"/>
      <c r="K68" s="10"/>
      <c r="L68" s="10"/>
      <c r="M68" s="10"/>
      <c r="N68" s="10"/>
    </row>
    <row r="69" spans="1:16" hidden="1" outlineLevel="1" x14ac:dyDescent="0.25">
      <c r="A69" s="2" t="s">
        <v>87</v>
      </c>
      <c r="B69" s="8">
        <f t="shared" si="11"/>
        <v>0</v>
      </c>
      <c r="C69" s="7"/>
      <c r="D69" s="8"/>
      <c r="E69" s="7"/>
      <c r="F69" s="8"/>
      <c r="G69" s="7"/>
      <c r="H69" s="8"/>
      <c r="I69" s="7"/>
      <c r="J69" s="8"/>
      <c r="K69" s="7"/>
      <c r="L69" s="8"/>
      <c r="M69" s="7"/>
      <c r="N69" s="8"/>
    </row>
    <row r="70" spans="1:16" hidden="1" outlineLevel="1" x14ac:dyDescent="0.25">
      <c r="A70" s="9" t="s">
        <v>84</v>
      </c>
      <c r="B70" s="10">
        <f t="shared" si="11"/>
        <v>612000</v>
      </c>
      <c r="C70" s="10">
        <f>+'[1]F00 INV'!Q34+'[1]F00 INV'!Q12+'[1]F07 OPERAC'!M61+'[1]F07 OPERAC'!M62+'[1]F07 OPERAC'!M63+'[1]F07 OPERAC'!M64</f>
        <v>115000</v>
      </c>
      <c r="D70" s="10">
        <f>+'[1]F00 INV'!R34+'[1]F00 INV'!R12+'[1]F07 OPERAC'!N61+'[1]F07 OPERAC'!N62+'[1]F07 OPERAC'!N63+'[1]F07 OPERAC'!N64</f>
        <v>53000</v>
      </c>
      <c r="E70" s="10">
        <f>+'[1]F00 INV'!S34+'[1]F00 INV'!S12+'[1]F07 OPERAC'!O61+'[1]F07 OPERAC'!O62+'[1]F07 OPERAC'!O63+'[1]F07 OPERAC'!O64</f>
        <v>23000</v>
      </c>
      <c r="F70" s="10">
        <f>+'[1]F00 INV'!T34+'[1]F00 INV'!T12+'[1]F07 OPERAC'!P61+'[1]F07 OPERAC'!P62+'[1]F07 OPERAC'!P63+'[1]F07 OPERAC'!P64</f>
        <v>68000</v>
      </c>
      <c r="G70" s="10">
        <f>+'[1]F00 INV'!U34+'[1]F00 INV'!U12+'[1]F07 OPERAC'!Q61+'[1]F07 OPERAC'!Q62+'[1]F07 OPERAC'!Q63+'[1]F07 OPERAC'!Q64</f>
        <v>23000</v>
      </c>
      <c r="H70" s="10">
        <f>+'[1]F00 INV'!V34+'[1]F00 INV'!V12+'[1]F07 OPERAC'!R61+'[1]F07 OPERAC'!R62+'[1]F07 OPERAC'!R63+'[1]F07 OPERAC'!R64</f>
        <v>70000</v>
      </c>
      <c r="I70" s="10">
        <f>+'[1]F00 INV'!W34+'[1]F00 INV'!W12+'[1]F07 OPERAC'!S61+'[1]F07 OPERAC'!S62+'[1]F07 OPERAC'!S63+'[1]F07 OPERAC'!S64</f>
        <v>65000</v>
      </c>
      <c r="J70" s="10">
        <f>+'[1]F00 INV'!X34+'[1]F00 INV'!X12+'[1]F07 OPERAC'!T61+'[1]F07 OPERAC'!T62+'[1]F07 OPERAC'!T63+'[1]F07 OPERAC'!T64</f>
        <v>20000</v>
      </c>
      <c r="K70" s="10">
        <f>+'[1]F00 INV'!Y34+'[1]F00 INV'!Y12+'[1]F07 OPERAC'!U61+'[1]F07 OPERAC'!U62+'[1]F07 OPERAC'!U63+'[1]F07 OPERAC'!U64</f>
        <v>20000</v>
      </c>
      <c r="L70" s="10">
        <f>+'[1]F00 INV'!Z34+'[1]F00 INV'!Z12+'[1]F07 OPERAC'!V61+'[1]F07 OPERAC'!V62+'[1]F07 OPERAC'!V63+'[1]F07 OPERAC'!V64</f>
        <v>65000</v>
      </c>
      <c r="M70" s="10">
        <f>+'[1]F00 INV'!AA34+'[1]F00 INV'!AA12+'[1]F07 OPERAC'!W61+'[1]F07 OPERAC'!W62+'[1]F07 OPERAC'!W63+'[1]F07 OPERAC'!W64</f>
        <v>70000</v>
      </c>
      <c r="N70" s="10">
        <f>+'[1]F00 INV'!AB34+'[1]F00 INV'!AB12+'[1]F07 OPERAC'!X61+'[1]F07 OPERAC'!X62+'[1]F07 OPERAC'!X63+'[1]F07 OPERAC'!X64</f>
        <v>20000</v>
      </c>
    </row>
    <row r="71" spans="1:16" hidden="1" outlineLevel="1" x14ac:dyDescent="0.25">
      <c r="A71" s="2" t="s">
        <v>88</v>
      </c>
      <c r="B71" s="8">
        <f t="shared" si="11"/>
        <v>0</v>
      </c>
      <c r="C71" s="7"/>
      <c r="D71" s="8"/>
      <c r="E71" s="7"/>
      <c r="F71" s="8"/>
      <c r="G71" s="7"/>
      <c r="H71" s="8"/>
      <c r="I71" s="7"/>
      <c r="J71" s="8"/>
      <c r="K71" s="7"/>
      <c r="L71" s="8"/>
      <c r="M71" s="7"/>
      <c r="N71" s="8"/>
    </row>
    <row r="72" spans="1:16" hidden="1" outlineLevel="1" x14ac:dyDescent="0.25">
      <c r="A72" s="9" t="s">
        <v>69</v>
      </c>
      <c r="B72" s="10">
        <f t="shared" si="11"/>
        <v>0</v>
      </c>
      <c r="C72" s="10"/>
      <c r="D72" s="10"/>
      <c r="E72" s="10"/>
      <c r="F72" s="10"/>
      <c r="G72" s="10"/>
      <c r="H72" s="10"/>
      <c r="I72" s="10"/>
      <c r="J72" s="10"/>
      <c r="K72" s="10"/>
      <c r="L72" s="10"/>
      <c r="M72" s="10"/>
      <c r="N72" s="10"/>
    </row>
    <row r="73" spans="1:16" hidden="1" outlineLevel="1" x14ac:dyDescent="0.25">
      <c r="A73" s="2" t="s">
        <v>70</v>
      </c>
      <c r="B73" s="8">
        <f t="shared" si="11"/>
        <v>0</v>
      </c>
      <c r="C73" s="7"/>
      <c r="D73" s="8"/>
      <c r="E73" s="7"/>
      <c r="F73" s="8"/>
      <c r="G73" s="7"/>
      <c r="H73" s="8"/>
      <c r="I73" s="7"/>
      <c r="J73" s="8"/>
      <c r="K73" s="7"/>
      <c r="L73" s="8"/>
      <c r="M73" s="7"/>
      <c r="N73" s="8"/>
    </row>
    <row r="74" spans="1:16" hidden="1" outlineLevel="1" x14ac:dyDescent="0.25">
      <c r="A74" s="9" t="s">
        <v>71</v>
      </c>
      <c r="B74" s="10">
        <f t="shared" si="11"/>
        <v>890000</v>
      </c>
      <c r="C74" s="10">
        <f>+'[1]F00 INV'!Q52+'[1]F00 INV'!Q20+'[1]F00 INV'!Q21+'[1]F00 INV'!Q22</f>
        <v>200000</v>
      </c>
      <c r="D74" s="10">
        <f>+'[1]F00 INV'!R52+'[1]F00 INV'!R20+'[1]F00 INV'!R21+'[1]F00 INV'!R22</f>
        <v>290000</v>
      </c>
      <c r="E74" s="10">
        <f>+'[1]F00 INV'!S52+'[1]F00 INV'!S20+'[1]F00 INV'!S21+'[1]F00 INV'!S22</f>
        <v>200000</v>
      </c>
      <c r="F74" s="10">
        <f>+'[1]F00 INV'!T52+'[1]F00 INV'!T20+'[1]F00 INV'!T21+'[1]F00 INV'!T22</f>
        <v>200000</v>
      </c>
      <c r="G74" s="10">
        <f>+'[1]F00 INV'!U52+'[1]F00 INV'!U20+'[1]F00 INV'!U21+'[1]F00 INV'!U22</f>
        <v>0</v>
      </c>
      <c r="H74" s="10">
        <f>+'[1]F00 INV'!V52+'[1]F00 INV'!V20+'[1]F00 INV'!V21+'[1]F00 INV'!V22</f>
        <v>0</v>
      </c>
      <c r="I74" s="10">
        <f>+'[1]F00 INV'!W52+'[1]F00 INV'!W20+'[1]F00 INV'!W21+'[1]F00 INV'!W22</f>
        <v>0</v>
      </c>
      <c r="J74" s="10">
        <f>+'[1]F00 INV'!X52+'[1]F00 INV'!X20+'[1]F00 INV'!X21+'[1]F00 INV'!X22</f>
        <v>0</v>
      </c>
      <c r="K74" s="10">
        <f>+'[1]F00 INV'!Y52+'[1]F00 INV'!Y20+'[1]F00 INV'!Y21+'[1]F00 INV'!Y22</f>
        <v>0</v>
      </c>
      <c r="L74" s="10">
        <f>+'[1]F00 INV'!Z52+'[1]F00 INV'!Z20+'[1]F00 INV'!Z21+'[1]F00 INV'!Z22</f>
        <v>0</v>
      </c>
      <c r="M74" s="10">
        <f>+'[1]F00 INV'!AA52+'[1]F00 INV'!AA20+'[1]F00 INV'!AA21+'[1]F00 INV'!AA22</f>
        <v>0</v>
      </c>
      <c r="N74" s="10">
        <f>+'[1]F00 INV'!AB52+'[1]F00 INV'!AB20+'[1]F00 INV'!AB21+'[1]F00 INV'!AB22</f>
        <v>0</v>
      </c>
    </row>
    <row r="75" spans="1:16" hidden="1" outlineLevel="1" x14ac:dyDescent="0.25">
      <c r="A75" s="2" t="s">
        <v>72</v>
      </c>
      <c r="B75" s="8">
        <f t="shared" si="11"/>
        <v>0</v>
      </c>
      <c r="C75" s="7"/>
      <c r="D75" s="8"/>
      <c r="E75" s="7"/>
      <c r="F75" s="8"/>
      <c r="G75" s="7"/>
      <c r="H75" s="8"/>
      <c r="I75" s="7"/>
      <c r="J75" s="8"/>
      <c r="K75" s="7"/>
      <c r="L75" s="8"/>
      <c r="M75" s="7"/>
      <c r="N75" s="8"/>
    </row>
    <row r="76" spans="1:16" s="5" customFormat="1" collapsed="1" x14ac:dyDescent="0.25">
      <c r="A76" s="13" t="s">
        <v>23</v>
      </c>
      <c r="B76" s="14">
        <f>SUM(B41:B75)</f>
        <v>2979134.4262295081</v>
      </c>
      <c r="C76" s="14">
        <f>SUM(C41:C75)</f>
        <v>557000</v>
      </c>
      <c r="D76" s="14">
        <f>SUM(D41:D75)</f>
        <v>903134.42622950813</v>
      </c>
      <c r="E76" s="14">
        <f t="shared" ref="E76:N76" si="14">SUM(E41:E75)</f>
        <v>435000</v>
      </c>
      <c r="F76" s="14">
        <f t="shared" si="14"/>
        <v>480000</v>
      </c>
      <c r="G76" s="14">
        <f t="shared" si="14"/>
        <v>115000</v>
      </c>
      <c r="H76" s="14">
        <f t="shared" si="14"/>
        <v>82000</v>
      </c>
      <c r="I76" s="14">
        <f t="shared" si="14"/>
        <v>92000</v>
      </c>
      <c r="J76" s="14">
        <f t="shared" si="14"/>
        <v>32000</v>
      </c>
      <c r="K76" s="14">
        <f t="shared" si="14"/>
        <v>77000</v>
      </c>
      <c r="L76" s="14">
        <f t="shared" si="14"/>
        <v>77000</v>
      </c>
      <c r="M76" s="14">
        <f t="shared" si="14"/>
        <v>97000</v>
      </c>
      <c r="N76" s="14">
        <f t="shared" si="14"/>
        <v>32000</v>
      </c>
      <c r="P76" s="12"/>
    </row>
    <row r="77" spans="1:16" hidden="1" outlineLevel="1" x14ac:dyDescent="0.25">
      <c r="A77" s="2" t="s">
        <v>93</v>
      </c>
      <c r="B77" s="8">
        <f t="shared" si="11"/>
        <v>0</v>
      </c>
      <c r="C77" s="7"/>
      <c r="D77" s="7"/>
      <c r="E77" s="7"/>
      <c r="F77" s="7"/>
      <c r="G77" s="7"/>
      <c r="H77" s="7"/>
      <c r="I77" s="7"/>
      <c r="J77" s="7"/>
      <c r="K77" s="7"/>
      <c r="L77" s="7"/>
      <c r="M77" s="7"/>
      <c r="N77" s="7"/>
    </row>
    <row r="78" spans="1:16" s="5" customFormat="1" collapsed="1" x14ac:dyDescent="0.25">
      <c r="A78" s="13" t="s">
        <v>24</v>
      </c>
      <c r="B78" s="14">
        <f>B77</f>
        <v>0</v>
      </c>
      <c r="C78" s="14">
        <f t="shared" ref="C78:N78" si="15">C77</f>
        <v>0</v>
      </c>
      <c r="D78" s="14">
        <f t="shared" si="15"/>
        <v>0</v>
      </c>
      <c r="E78" s="14">
        <f t="shared" si="15"/>
        <v>0</v>
      </c>
      <c r="F78" s="14">
        <f t="shared" si="15"/>
        <v>0</v>
      </c>
      <c r="G78" s="14">
        <f t="shared" si="15"/>
        <v>0</v>
      </c>
      <c r="H78" s="14">
        <f t="shared" si="15"/>
        <v>0</v>
      </c>
      <c r="I78" s="14">
        <f t="shared" si="15"/>
        <v>0</v>
      </c>
      <c r="J78" s="14">
        <f t="shared" si="15"/>
        <v>0</v>
      </c>
      <c r="K78" s="14">
        <f t="shared" si="15"/>
        <v>0</v>
      </c>
      <c r="L78" s="14">
        <f t="shared" si="15"/>
        <v>0</v>
      </c>
      <c r="M78" s="14">
        <f t="shared" si="15"/>
        <v>0</v>
      </c>
      <c r="N78" s="14">
        <f t="shared" si="15"/>
        <v>0</v>
      </c>
      <c r="P78" s="12"/>
    </row>
    <row r="79" spans="1:16" s="5" customFormat="1" x14ac:dyDescent="0.25">
      <c r="A79" s="13" t="s">
        <v>25</v>
      </c>
      <c r="B79" s="14">
        <f>SUM(C79:N79)</f>
        <v>4012131.2592896093</v>
      </c>
      <c r="C79" s="14">
        <f>+'[1]F01 NÓM'!S138-C25</f>
        <v>291666.77887067368</v>
      </c>
      <c r="D79" s="14">
        <f>+'[1]F01 NÓM'!T138-D25</f>
        <v>293595.50500910718</v>
      </c>
      <c r="E79" s="14">
        <f>+'[1]F01 NÓM'!U138-E25</f>
        <v>342686.89754098293</v>
      </c>
      <c r="F79" s="14">
        <f>+'[1]F01 NÓM'!V138-F25</f>
        <v>342686.89754098293</v>
      </c>
      <c r="G79" s="14">
        <f>+'[1]F01 NÓM'!W138-G25</f>
        <v>342686.89754098293</v>
      </c>
      <c r="H79" s="14">
        <f>+'[1]F01 NÓM'!X138-H25</f>
        <v>342686.89754098293</v>
      </c>
      <c r="I79" s="14">
        <f>+'[1]F01 NÓM'!Y138-I25</f>
        <v>342686.89754098293</v>
      </c>
      <c r="J79" s="14">
        <f>+'[1]F01 NÓM'!Z138-J25</f>
        <v>342686.89754098293</v>
      </c>
      <c r="K79" s="14">
        <f>+'[1]F01 NÓM'!AA138-K25</f>
        <v>342686.89754098293</v>
      </c>
      <c r="L79" s="14">
        <f>+'[1]F01 NÓM'!AB138-L25</f>
        <v>342686.89754098293</v>
      </c>
      <c r="M79" s="14">
        <f>+'[1]F01 NÓM'!AC138-M25</f>
        <v>342686.89754098293</v>
      </c>
      <c r="N79" s="14">
        <f>+'[1]F01 NÓM'!AD138-N25</f>
        <v>342686.89754098293</v>
      </c>
      <c r="P79" s="12"/>
    </row>
    <row r="80" spans="1:16" hidden="1" outlineLevel="1" x14ac:dyDescent="0.25">
      <c r="A80" s="2" t="s">
        <v>94</v>
      </c>
      <c r="B80" s="8">
        <f t="shared" ref="B80:B143" si="16">SUM(C80:N80)</f>
        <v>6437.158469945357</v>
      </c>
      <c r="C80" s="7">
        <f>+SUM('[1]F03 COM Y EQ COM'!J8:J26)</f>
        <v>513.66120218579238</v>
      </c>
      <c r="D80" s="7">
        <f>+SUM('[1]F03 COM Y EQ COM'!K8:K26)</f>
        <v>513.66120218579238</v>
      </c>
      <c r="E80" s="7">
        <f>+SUM('[1]F03 COM Y EQ COM'!L8:L26)</f>
        <v>540.98360655737713</v>
      </c>
      <c r="F80" s="7">
        <f>+SUM('[1]F03 COM Y EQ COM'!M8:M26)</f>
        <v>540.98360655737713</v>
      </c>
      <c r="G80" s="7">
        <f>+SUM('[1]F03 COM Y EQ COM'!N8:N26)</f>
        <v>540.98360655737713</v>
      </c>
      <c r="H80" s="7">
        <f>+SUM('[1]F03 COM Y EQ COM'!O8:O26)</f>
        <v>540.98360655737713</v>
      </c>
      <c r="I80" s="7">
        <f>+SUM('[1]F03 COM Y EQ COM'!P8:P26)</f>
        <v>540.98360655737713</v>
      </c>
      <c r="J80" s="7">
        <f>+SUM('[1]F03 COM Y EQ COM'!Q8:Q26)</f>
        <v>540.98360655737713</v>
      </c>
      <c r="K80" s="7">
        <f>+SUM('[1]F03 COM Y EQ COM'!R8:R26)</f>
        <v>540.98360655737713</v>
      </c>
      <c r="L80" s="7">
        <f>+SUM('[1]F03 COM Y EQ COM'!S8:S26)</f>
        <v>540.98360655737713</v>
      </c>
      <c r="M80" s="7">
        <f>+SUM('[1]F03 COM Y EQ COM'!T8:T26)</f>
        <v>540.98360655737713</v>
      </c>
      <c r="N80" s="7">
        <f>+SUM('[1]F03 COM Y EQ COM'!U8:U26)</f>
        <v>540.98360655737713</v>
      </c>
    </row>
    <row r="81" spans="1:16" hidden="1" outlineLevel="1" x14ac:dyDescent="0.25">
      <c r="A81" s="9" t="s">
        <v>95</v>
      </c>
      <c r="B81" s="10">
        <f t="shared" si="16"/>
        <v>0</v>
      </c>
      <c r="C81" s="10"/>
      <c r="D81" s="10"/>
      <c r="E81" s="10"/>
      <c r="F81" s="10"/>
      <c r="G81" s="10"/>
      <c r="H81" s="10"/>
      <c r="I81" s="10"/>
      <c r="J81" s="10"/>
      <c r="K81" s="10"/>
      <c r="L81" s="10"/>
      <c r="M81" s="10"/>
      <c r="N81" s="10"/>
    </row>
    <row r="82" spans="1:16" hidden="1" outlineLevel="1" x14ac:dyDescent="0.25">
      <c r="A82" s="2" t="s">
        <v>96</v>
      </c>
      <c r="B82" s="8">
        <f t="shared" si="16"/>
        <v>0</v>
      </c>
      <c r="C82" s="7"/>
      <c r="D82" s="8"/>
      <c r="E82" s="7"/>
      <c r="F82" s="8"/>
      <c r="G82" s="7"/>
      <c r="H82" s="8"/>
      <c r="I82" s="7"/>
      <c r="J82" s="8"/>
      <c r="K82" s="7"/>
      <c r="L82" s="8"/>
      <c r="M82" s="7"/>
      <c r="N82" s="8"/>
    </row>
    <row r="83" spans="1:16" s="5" customFormat="1" collapsed="1" x14ac:dyDescent="0.25">
      <c r="A83" s="13" t="s">
        <v>26</v>
      </c>
      <c r="B83" s="14">
        <f>SUM(B80:B82)</f>
        <v>6437.158469945357</v>
      </c>
      <c r="C83" s="14">
        <f t="shared" ref="C83:N83" si="17">SUM(C80:C82)</f>
        <v>513.66120218579238</v>
      </c>
      <c r="D83" s="14">
        <f t="shared" si="17"/>
        <v>513.66120218579238</v>
      </c>
      <c r="E83" s="14">
        <f t="shared" si="17"/>
        <v>540.98360655737713</v>
      </c>
      <c r="F83" s="14">
        <f t="shared" si="17"/>
        <v>540.98360655737713</v>
      </c>
      <c r="G83" s="14">
        <f t="shared" si="17"/>
        <v>540.98360655737713</v>
      </c>
      <c r="H83" s="14">
        <f t="shared" si="17"/>
        <v>540.98360655737713</v>
      </c>
      <c r="I83" s="14">
        <f t="shared" si="17"/>
        <v>540.98360655737713</v>
      </c>
      <c r="J83" s="14">
        <f t="shared" si="17"/>
        <v>540.98360655737713</v>
      </c>
      <c r="K83" s="14">
        <f t="shared" si="17"/>
        <v>540.98360655737713</v>
      </c>
      <c r="L83" s="14">
        <f t="shared" si="17"/>
        <v>540.98360655737713</v>
      </c>
      <c r="M83" s="14">
        <f t="shared" si="17"/>
        <v>540.98360655737713</v>
      </c>
      <c r="N83" s="14">
        <f t="shared" si="17"/>
        <v>540.98360655737713</v>
      </c>
      <c r="P83" s="12"/>
    </row>
    <row r="84" spans="1:16" outlineLevel="1" x14ac:dyDescent="0.25">
      <c r="A84" s="2" t="s">
        <v>165</v>
      </c>
      <c r="B84" s="8">
        <f t="shared" si="16"/>
        <v>0</v>
      </c>
      <c r="C84" s="7"/>
      <c r="D84" s="7"/>
      <c r="E84" s="7"/>
      <c r="F84" s="7"/>
      <c r="G84" s="7"/>
      <c r="H84" s="7">
        <f>+'[1]F00 INV'!V10+'[1]F00 INV'!V11</f>
        <v>0</v>
      </c>
      <c r="I84" s="7">
        <f>+'[1]F00 INV'!W10+'[1]F00 INV'!W11</f>
        <v>0</v>
      </c>
      <c r="J84" s="7">
        <f>+'[1]F00 INV'!X10+'[1]F00 INV'!X11</f>
        <v>0</v>
      </c>
      <c r="K84" s="7">
        <f>+'[1]F00 INV'!Y10+'[1]F00 INV'!Y11</f>
        <v>0</v>
      </c>
      <c r="L84" s="7">
        <f>+'[1]F00 INV'!Z10+'[1]F00 INV'!Z11</f>
        <v>0</v>
      </c>
      <c r="M84" s="7">
        <f>+'[1]F00 INV'!AA10+'[1]F00 INV'!AA11</f>
        <v>0</v>
      </c>
      <c r="N84" s="7">
        <f>+'[1]F00 INV'!AB10+'[1]F00 INV'!AB11</f>
        <v>0</v>
      </c>
    </row>
    <row r="85" spans="1:16" outlineLevel="1" x14ac:dyDescent="0.25">
      <c r="A85" s="9" t="s">
        <v>128</v>
      </c>
      <c r="B85" s="10">
        <f t="shared" si="16"/>
        <v>0</v>
      </c>
      <c r="C85" s="10"/>
      <c r="D85" s="10"/>
      <c r="E85" s="10"/>
      <c r="F85" s="10"/>
      <c r="G85" s="10"/>
      <c r="H85" s="10"/>
      <c r="I85" s="10"/>
      <c r="J85" s="10"/>
      <c r="K85" s="10"/>
      <c r="L85" s="10"/>
      <c r="M85" s="10"/>
      <c r="N85" s="10"/>
    </row>
    <row r="86" spans="1:16" outlineLevel="1" x14ac:dyDescent="0.25">
      <c r="A86" s="2" t="s">
        <v>129</v>
      </c>
      <c r="B86" s="8">
        <f t="shared" si="16"/>
        <v>0</v>
      </c>
      <c r="C86" s="7"/>
      <c r="D86" s="7"/>
      <c r="E86" s="7"/>
      <c r="F86" s="7"/>
      <c r="G86" s="7"/>
      <c r="H86" s="7"/>
      <c r="I86" s="7"/>
      <c r="J86" s="7"/>
      <c r="K86" s="7"/>
      <c r="L86" s="7"/>
      <c r="M86" s="7"/>
      <c r="N86" s="7"/>
      <c r="P86" s="11" t="s">
        <v>169</v>
      </c>
    </row>
    <row r="87" spans="1:16" outlineLevel="1" x14ac:dyDescent="0.25">
      <c r="A87" s="9" t="s">
        <v>97</v>
      </c>
      <c r="B87" s="10">
        <f>SUM(C87:N87)</f>
        <v>0</v>
      </c>
      <c r="C87" s="10"/>
      <c r="D87" s="10"/>
      <c r="E87" s="10"/>
      <c r="F87" s="10"/>
      <c r="G87" s="10"/>
      <c r="H87" s="10"/>
      <c r="I87" s="10"/>
      <c r="J87" s="10"/>
      <c r="K87" s="10"/>
      <c r="L87" s="10"/>
      <c r="M87" s="10"/>
      <c r="N87" s="10"/>
    </row>
    <row r="88" spans="1:16" outlineLevel="1" x14ac:dyDescent="0.25">
      <c r="A88" s="2" t="s">
        <v>98</v>
      </c>
      <c r="B88" s="8">
        <f t="shared" si="16"/>
        <v>12000</v>
      </c>
      <c r="C88" s="7">
        <f>+'[1]F00 INV'!Q47</f>
        <v>0</v>
      </c>
      <c r="D88" s="7">
        <f>+'[1]F00 INV'!R47</f>
        <v>12000</v>
      </c>
      <c r="E88" s="7">
        <f>+'[1]F00 INV'!S47</f>
        <v>0</v>
      </c>
      <c r="F88" s="7">
        <f>+'[1]F00 INV'!T47</f>
        <v>0</v>
      </c>
      <c r="G88" s="7">
        <f>+'[1]F00 INV'!U47</f>
        <v>0</v>
      </c>
      <c r="H88" s="7">
        <f>+'[1]F00 INV'!V47</f>
        <v>0</v>
      </c>
      <c r="I88" s="7">
        <f>+'[1]F00 INV'!W47</f>
        <v>0</v>
      </c>
      <c r="J88" s="7">
        <f>+'[1]F00 INV'!X47</f>
        <v>0</v>
      </c>
      <c r="K88" s="7">
        <f>+'[1]F00 INV'!Y47</f>
        <v>0</v>
      </c>
      <c r="L88" s="7">
        <f>+'[1]F00 INV'!Z47</f>
        <v>0</v>
      </c>
      <c r="M88" s="7">
        <f>+'[1]F00 INV'!AA47</f>
        <v>0</v>
      </c>
      <c r="N88" s="7">
        <f>+'[1]F00 INV'!AB47</f>
        <v>0</v>
      </c>
    </row>
    <row r="89" spans="1:16" outlineLevel="1" x14ac:dyDescent="0.25">
      <c r="A89" s="9" t="s">
        <v>99</v>
      </c>
      <c r="B89" s="10">
        <f t="shared" si="16"/>
        <v>0</v>
      </c>
      <c r="C89" s="10"/>
      <c r="D89" s="10"/>
      <c r="E89" s="10"/>
      <c r="F89" s="10"/>
      <c r="G89" s="10"/>
      <c r="H89" s="10"/>
      <c r="I89" s="10"/>
      <c r="J89" s="10"/>
      <c r="K89" s="10"/>
      <c r="L89" s="10"/>
      <c r="M89" s="10"/>
      <c r="N89" s="10"/>
    </row>
    <row r="90" spans="1:16" outlineLevel="1" x14ac:dyDescent="0.25">
      <c r="A90" s="2" t="s">
        <v>130</v>
      </c>
      <c r="B90" s="8">
        <f t="shared" si="16"/>
        <v>0</v>
      </c>
      <c r="C90" s="7"/>
      <c r="D90" s="8"/>
      <c r="E90" s="7"/>
      <c r="F90" s="8"/>
      <c r="G90" s="7"/>
      <c r="H90" s="8"/>
      <c r="I90" s="7"/>
      <c r="J90" s="8"/>
      <c r="K90" s="7"/>
      <c r="L90" s="8"/>
      <c r="M90" s="7"/>
      <c r="N90" s="8"/>
    </row>
    <row r="91" spans="1:16" outlineLevel="1" x14ac:dyDescent="0.25">
      <c r="A91" s="9" t="s">
        <v>100</v>
      </c>
      <c r="B91" s="10">
        <f t="shared" si="16"/>
        <v>0</v>
      </c>
      <c r="C91" s="10"/>
      <c r="D91" s="10"/>
      <c r="E91" s="10"/>
      <c r="F91" s="10"/>
      <c r="G91" s="10"/>
      <c r="H91" s="10"/>
      <c r="I91" s="10"/>
      <c r="J91" s="10"/>
      <c r="K91" s="10"/>
      <c r="L91" s="10"/>
      <c r="M91" s="10"/>
      <c r="N91" s="10"/>
    </row>
    <row r="92" spans="1:16" outlineLevel="1" x14ac:dyDescent="0.25">
      <c r="A92" s="2" t="s">
        <v>101</v>
      </c>
      <c r="B92" s="8">
        <f t="shared" si="16"/>
        <v>100000</v>
      </c>
      <c r="C92" s="7">
        <f>'[1]F07 OPERAC'!Q43+'[1]F07 OPERAC'!Q44</f>
        <v>0</v>
      </c>
      <c r="D92" s="7">
        <f>'[1]F07 OPERAC'!R43+'[1]F07 OPERAC'!R44</f>
        <v>20000</v>
      </c>
      <c r="E92" s="7">
        <f>'[1]F07 OPERAC'!S43+'[1]F07 OPERAC'!S44</f>
        <v>0</v>
      </c>
      <c r="F92" s="7">
        <f>'[1]F07 OPERAC'!T43+'[1]F07 OPERAC'!T44</f>
        <v>20000</v>
      </c>
      <c r="G92" s="7">
        <f>'[1]F07 OPERAC'!U43+'[1]F07 OPERAC'!U44</f>
        <v>20000</v>
      </c>
      <c r="H92" s="7">
        <f>'[1]F07 OPERAC'!V43+'[1]F07 OPERAC'!V44</f>
        <v>0</v>
      </c>
      <c r="I92" s="7">
        <f>'[1]F07 OPERAC'!W43+'[1]F07 OPERAC'!W44</f>
        <v>20000</v>
      </c>
      <c r="J92" s="7">
        <f>'[1]F07 OPERAC'!X43+'[1]F07 OPERAC'!X44</f>
        <v>20000</v>
      </c>
      <c r="K92" s="7">
        <f>'[1]F07 OPERAC'!Y43+'[1]F07 OPERAC'!Y44</f>
        <v>0</v>
      </c>
      <c r="L92" s="7">
        <f>'[1]F07 OPERAC'!Z43+'[1]F07 OPERAC'!Z44</f>
        <v>0</v>
      </c>
      <c r="M92" s="7">
        <f>'[1]F07 OPERAC'!AA43+'[1]F07 OPERAC'!AA44</f>
        <v>0</v>
      </c>
      <c r="N92" s="7">
        <f>'[1]F07 OPERAC'!AB43+'[1]F07 OPERAC'!AB44</f>
        <v>0</v>
      </c>
    </row>
    <row r="93" spans="1:16" outlineLevel="1" x14ac:dyDescent="0.25">
      <c r="A93" s="9" t="s">
        <v>102</v>
      </c>
      <c r="B93" s="10">
        <f t="shared" si="16"/>
        <v>0</v>
      </c>
      <c r="C93" s="10"/>
      <c r="D93" s="10"/>
      <c r="E93" s="10"/>
      <c r="F93" s="10"/>
      <c r="G93" s="10"/>
      <c r="H93" s="10"/>
      <c r="I93" s="10"/>
      <c r="J93" s="10"/>
      <c r="K93" s="10"/>
      <c r="L93" s="10"/>
      <c r="M93" s="10"/>
      <c r="N93" s="10"/>
    </row>
    <row r="94" spans="1:16" outlineLevel="1" x14ac:dyDescent="0.25">
      <c r="A94" s="2" t="s">
        <v>103</v>
      </c>
      <c r="B94" s="8">
        <f t="shared" si="16"/>
        <v>0</v>
      </c>
      <c r="C94" s="7"/>
      <c r="D94" s="7"/>
      <c r="E94" s="7"/>
      <c r="F94" s="7"/>
      <c r="G94" s="7"/>
      <c r="H94" s="7"/>
      <c r="I94" s="7"/>
      <c r="J94" s="7"/>
      <c r="K94" s="7"/>
      <c r="L94" s="7"/>
      <c r="M94" s="7"/>
      <c r="N94" s="7"/>
    </row>
    <row r="95" spans="1:16" outlineLevel="1" x14ac:dyDescent="0.25">
      <c r="A95" s="9" t="s">
        <v>104</v>
      </c>
      <c r="B95" s="10">
        <f t="shared" si="16"/>
        <v>0</v>
      </c>
      <c r="C95" s="10"/>
      <c r="D95" s="10"/>
      <c r="E95" s="10"/>
      <c r="F95" s="10"/>
      <c r="G95" s="10"/>
      <c r="H95" s="10"/>
      <c r="I95" s="10"/>
      <c r="J95" s="10"/>
      <c r="K95" s="10"/>
      <c r="L95" s="10"/>
      <c r="M95" s="10"/>
      <c r="N95" s="10"/>
      <c r="P95" s="11" t="s">
        <v>179</v>
      </c>
    </row>
    <row r="96" spans="1:16" outlineLevel="1" x14ac:dyDescent="0.25">
      <c r="A96" s="2" t="s">
        <v>131</v>
      </c>
      <c r="B96" s="8">
        <f t="shared" si="16"/>
        <v>0</v>
      </c>
      <c r="C96" s="7"/>
      <c r="D96" s="8"/>
      <c r="E96" s="7"/>
      <c r="F96" s="8"/>
      <c r="G96" s="7"/>
      <c r="H96" s="8"/>
      <c r="I96" s="7"/>
      <c r="J96" s="8"/>
      <c r="K96" s="7"/>
      <c r="L96" s="8"/>
      <c r="M96" s="7"/>
      <c r="N96" s="8"/>
    </row>
    <row r="97" spans="1:16" outlineLevel="1" x14ac:dyDescent="0.25">
      <c r="A97" s="9" t="s">
        <v>105</v>
      </c>
      <c r="B97" s="10">
        <f t="shared" si="16"/>
        <v>0</v>
      </c>
      <c r="C97" s="10"/>
      <c r="D97" s="10"/>
      <c r="E97" s="10"/>
      <c r="F97" s="10"/>
      <c r="G97" s="10"/>
      <c r="H97" s="10"/>
      <c r="I97" s="10"/>
      <c r="J97" s="10"/>
      <c r="K97" s="10"/>
      <c r="L97" s="10"/>
      <c r="M97" s="10"/>
      <c r="N97" s="10"/>
    </row>
    <row r="98" spans="1:16" outlineLevel="1" x14ac:dyDescent="0.25">
      <c r="A98" s="2" t="s">
        <v>106</v>
      </c>
      <c r="B98" s="8">
        <f t="shared" si="16"/>
        <v>0</v>
      </c>
      <c r="C98" s="7"/>
      <c r="D98" s="8"/>
      <c r="E98" s="7"/>
      <c r="F98" s="8"/>
      <c r="G98" s="7"/>
      <c r="H98" s="8"/>
      <c r="I98" s="7"/>
      <c r="J98" s="8"/>
      <c r="K98" s="7"/>
      <c r="L98" s="8"/>
      <c r="M98" s="7"/>
      <c r="N98" s="8"/>
    </row>
    <row r="99" spans="1:16" outlineLevel="1" x14ac:dyDescent="0.25">
      <c r="A99" s="9" t="s">
        <v>107</v>
      </c>
      <c r="B99" s="10">
        <f t="shared" si="16"/>
        <v>15000</v>
      </c>
      <c r="C99" s="10">
        <f>+'[1]F00 INV'!Q14</f>
        <v>0</v>
      </c>
      <c r="D99" s="10">
        <f>+'[1]F00 INV'!R14</f>
        <v>15000</v>
      </c>
      <c r="E99" s="10">
        <f>+'[1]F00 INV'!S14</f>
        <v>0</v>
      </c>
      <c r="F99" s="10">
        <f>+'[1]F00 INV'!T14</f>
        <v>0</v>
      </c>
      <c r="G99" s="10">
        <f>+'[1]F00 INV'!U14</f>
        <v>0</v>
      </c>
      <c r="H99" s="10">
        <f>+'[1]F00 INV'!V14</f>
        <v>0</v>
      </c>
      <c r="I99" s="10">
        <f>+'[1]F00 INV'!W14</f>
        <v>0</v>
      </c>
      <c r="J99" s="10">
        <f>+'[1]F00 INV'!X14</f>
        <v>0</v>
      </c>
      <c r="K99" s="10">
        <f>+'[1]F00 INV'!Y14</f>
        <v>0</v>
      </c>
      <c r="L99" s="10">
        <f>+'[1]F00 INV'!Z14</f>
        <v>0</v>
      </c>
      <c r="M99" s="10">
        <f>+'[1]F00 INV'!AA14</f>
        <v>0</v>
      </c>
      <c r="N99" s="10">
        <f>+'[1]F00 INV'!AB14</f>
        <v>0</v>
      </c>
    </row>
    <row r="100" spans="1:16" outlineLevel="1" x14ac:dyDescent="0.25">
      <c r="A100" s="2" t="s">
        <v>108</v>
      </c>
      <c r="B100" s="8">
        <f t="shared" si="16"/>
        <v>107000</v>
      </c>
      <c r="C100" s="7">
        <f>+'[1]F00 INV'!Q15+'[1]F07 OPERAC'!M45</f>
        <v>6000</v>
      </c>
      <c r="D100" s="7">
        <f>+'[1]F00 INV'!R15+'[1]F07 OPERAC'!N45</f>
        <v>41000</v>
      </c>
      <c r="E100" s="7">
        <f>+'[1]F00 INV'!S15+'[1]F07 OPERAC'!O45</f>
        <v>6000</v>
      </c>
      <c r="F100" s="7">
        <f>+'[1]F00 INV'!T15+'[1]F07 OPERAC'!P45</f>
        <v>6000</v>
      </c>
      <c r="G100" s="7">
        <f>+'[1]F00 INV'!U15+'[1]F07 OPERAC'!Q45</f>
        <v>6000</v>
      </c>
      <c r="H100" s="7">
        <f>+'[1]F00 INV'!V15+'[1]F07 OPERAC'!R45</f>
        <v>6000</v>
      </c>
      <c r="I100" s="7">
        <f>+'[1]F00 INV'!W15+'[1]F07 OPERAC'!S45</f>
        <v>6000</v>
      </c>
      <c r="J100" s="7">
        <f>+'[1]F00 INV'!X15+'[1]F07 OPERAC'!T45</f>
        <v>6000</v>
      </c>
      <c r="K100" s="7">
        <f>+'[1]F00 INV'!Y15+'[1]F07 OPERAC'!U45</f>
        <v>6000</v>
      </c>
      <c r="L100" s="7">
        <f>+'[1]F00 INV'!Z15+'[1]F07 OPERAC'!V45</f>
        <v>6000</v>
      </c>
      <c r="M100" s="7">
        <f>+'[1]F00 INV'!AA15+'[1]F07 OPERAC'!W45</f>
        <v>6000</v>
      </c>
      <c r="N100" s="7">
        <f>+'[1]F00 INV'!AB15+'[1]F07 OPERAC'!X45</f>
        <v>6000</v>
      </c>
    </row>
    <row r="101" spans="1:16" outlineLevel="1" x14ac:dyDescent="0.25">
      <c r="A101" s="9" t="s">
        <v>109</v>
      </c>
      <c r="B101" s="10">
        <f t="shared" si="16"/>
        <v>182800</v>
      </c>
      <c r="C101" s="10">
        <f>+'[1]F00 INV'!Q13</f>
        <v>0</v>
      </c>
      <c r="D101" s="10">
        <f>+'[1]F00 INV'!R13</f>
        <v>182800</v>
      </c>
      <c r="E101" s="10">
        <f>+'[1]F00 INV'!S13</f>
        <v>0</v>
      </c>
      <c r="F101" s="10">
        <f>+'[1]F00 INV'!T13</f>
        <v>0</v>
      </c>
      <c r="G101" s="10">
        <f>+'[1]F00 INV'!U13</f>
        <v>0</v>
      </c>
      <c r="H101" s="10">
        <f>+'[1]F00 INV'!V13</f>
        <v>0</v>
      </c>
      <c r="I101" s="10">
        <f>+'[1]F00 INV'!W13</f>
        <v>0</v>
      </c>
      <c r="J101" s="10">
        <f>+'[1]F00 INV'!X13</f>
        <v>0</v>
      </c>
      <c r="K101" s="10">
        <f>+'[1]F00 INV'!Y13</f>
        <v>0</v>
      </c>
      <c r="L101" s="10">
        <f>+'[1]F00 INV'!Z13</f>
        <v>0</v>
      </c>
      <c r="M101" s="10">
        <f>+'[1]F00 INV'!AA13</f>
        <v>0</v>
      </c>
      <c r="N101" s="10">
        <f>+'[1]F00 INV'!AB13</f>
        <v>0</v>
      </c>
    </row>
    <row r="102" spans="1:16" outlineLevel="1" x14ac:dyDescent="0.25">
      <c r="A102" s="2" t="s">
        <v>132</v>
      </c>
      <c r="B102" s="8">
        <f t="shared" si="16"/>
        <v>6000</v>
      </c>
      <c r="C102" s="7">
        <f>+'[1]F07 OPERAC'!M42</f>
        <v>0</v>
      </c>
      <c r="D102" s="7">
        <f>+'[1]F07 OPERAC'!N42</f>
        <v>0</v>
      </c>
      <c r="E102" s="7">
        <f>+'[1]F07 OPERAC'!O42</f>
        <v>0</v>
      </c>
      <c r="F102" s="7">
        <f>+'[1]F07 OPERAC'!P42</f>
        <v>0</v>
      </c>
      <c r="G102" s="7">
        <f>+'[1]F07 OPERAC'!Q42</f>
        <v>0</v>
      </c>
      <c r="H102" s="7">
        <f>+'[1]F07 OPERAC'!R42</f>
        <v>0</v>
      </c>
      <c r="I102" s="7">
        <f>+'[1]F07 OPERAC'!S42</f>
        <v>0</v>
      </c>
      <c r="J102" s="7">
        <f>+'[1]F07 OPERAC'!T42</f>
        <v>0</v>
      </c>
      <c r="K102" s="7">
        <f>+'[1]F07 OPERAC'!U42</f>
        <v>0</v>
      </c>
      <c r="L102" s="7">
        <f>+'[1]F07 OPERAC'!V42</f>
        <v>0</v>
      </c>
      <c r="M102" s="7">
        <f>+'[1]F07 OPERAC'!W42</f>
        <v>3000</v>
      </c>
      <c r="N102" s="7">
        <f>+'[1]F07 OPERAC'!X42</f>
        <v>3000</v>
      </c>
    </row>
    <row r="103" spans="1:16" outlineLevel="1" x14ac:dyDescent="0.25">
      <c r="A103" s="2" t="s">
        <v>110</v>
      </c>
      <c r="B103" s="8">
        <f t="shared" si="16"/>
        <v>0</v>
      </c>
      <c r="C103" s="7"/>
      <c r="D103" s="8"/>
      <c r="E103" s="7"/>
      <c r="F103" s="8"/>
      <c r="G103" s="7"/>
      <c r="H103" s="8"/>
      <c r="I103" s="7"/>
      <c r="J103" s="8"/>
      <c r="K103" s="7"/>
      <c r="L103" s="8"/>
      <c r="M103" s="7"/>
      <c r="N103" s="8"/>
    </row>
    <row r="104" spans="1:16" outlineLevel="1" x14ac:dyDescent="0.25">
      <c r="A104" s="9" t="s">
        <v>133</v>
      </c>
      <c r="B104" s="10">
        <f t="shared" si="16"/>
        <v>0</v>
      </c>
      <c r="C104" s="10"/>
      <c r="D104" s="10"/>
      <c r="E104" s="10"/>
      <c r="F104" s="10"/>
      <c r="G104" s="10"/>
      <c r="H104" s="10"/>
      <c r="I104" s="10"/>
      <c r="J104" s="10"/>
      <c r="K104" s="10"/>
      <c r="L104" s="10"/>
      <c r="M104" s="10"/>
      <c r="N104" s="10"/>
      <c r="P104" s="11" t="s">
        <v>170</v>
      </c>
    </row>
    <row r="105" spans="1:16" outlineLevel="1" x14ac:dyDescent="0.25">
      <c r="A105" s="2" t="s">
        <v>111</v>
      </c>
      <c r="B105" s="8">
        <f t="shared" si="16"/>
        <v>0</v>
      </c>
      <c r="C105" s="7"/>
      <c r="D105" s="8"/>
      <c r="E105" s="7"/>
      <c r="F105" s="7"/>
      <c r="G105" s="7"/>
      <c r="H105" s="7"/>
      <c r="I105" s="7"/>
      <c r="J105" s="7"/>
      <c r="K105" s="7"/>
      <c r="L105" s="7"/>
      <c r="M105" s="7"/>
      <c r="N105" s="7"/>
    </row>
    <row r="106" spans="1:16" outlineLevel="1" x14ac:dyDescent="0.25">
      <c r="A106" s="9" t="s">
        <v>112</v>
      </c>
      <c r="B106" s="10">
        <f t="shared" si="16"/>
        <v>11387.978142076505</v>
      </c>
      <c r="C106" s="10">
        <f>+SUM('[1]F03 COM Y EQ COM'!J27:J36)</f>
        <v>948.99817850637544</v>
      </c>
      <c r="D106" s="10">
        <f>+SUM('[1]F03 COM Y EQ COM'!K27:K36)</f>
        <v>948.99817850637544</v>
      </c>
      <c r="E106" s="10">
        <f>+SUM('[1]F03 COM Y EQ COM'!L27:L36)</f>
        <v>948.99817850637544</v>
      </c>
      <c r="F106" s="10">
        <f>+SUM('[1]F03 COM Y EQ COM'!M27:M36)</f>
        <v>948.99817850637544</v>
      </c>
      <c r="G106" s="10">
        <f>+SUM('[1]F03 COM Y EQ COM'!N27:N36)</f>
        <v>948.99817850637544</v>
      </c>
      <c r="H106" s="10">
        <f>+SUM('[1]F03 COM Y EQ COM'!O27:O36)</f>
        <v>948.99817850637544</v>
      </c>
      <c r="I106" s="10">
        <f>+SUM('[1]F03 COM Y EQ COM'!P27:P36)</f>
        <v>948.99817850637544</v>
      </c>
      <c r="J106" s="10">
        <f>+SUM('[1]F03 COM Y EQ COM'!Q27:Q36)</f>
        <v>948.99817850637544</v>
      </c>
      <c r="K106" s="10">
        <f>+SUM('[1]F03 COM Y EQ COM'!R27:R36)</f>
        <v>948.99817850637544</v>
      </c>
      <c r="L106" s="10">
        <f>+SUM('[1]F03 COM Y EQ COM'!S27:S36)</f>
        <v>948.99817850637544</v>
      </c>
      <c r="M106" s="10">
        <f>+SUM('[1]F03 COM Y EQ COM'!T27:T36)</f>
        <v>948.99817850637544</v>
      </c>
      <c r="N106" s="10">
        <f>+SUM('[1]F03 COM Y EQ COM'!U27:U36)</f>
        <v>948.99817850637544</v>
      </c>
      <c r="P106" s="11" t="s">
        <v>177</v>
      </c>
    </row>
    <row r="107" spans="1:16" outlineLevel="1" x14ac:dyDescent="0.25">
      <c r="A107" s="2" t="s">
        <v>113</v>
      </c>
      <c r="B107" s="8">
        <f t="shared" si="16"/>
        <v>0</v>
      </c>
      <c r="C107" s="7"/>
      <c r="D107" s="8"/>
      <c r="E107" s="7"/>
      <c r="F107" s="8"/>
      <c r="G107" s="7"/>
      <c r="H107" s="8"/>
      <c r="I107" s="7"/>
      <c r="J107" s="8"/>
      <c r="K107" s="7"/>
      <c r="L107" s="8"/>
      <c r="M107" s="7"/>
      <c r="N107" s="8"/>
    </row>
    <row r="108" spans="1:16" outlineLevel="1" x14ac:dyDescent="0.25">
      <c r="A108" s="9" t="s">
        <v>134</v>
      </c>
      <c r="B108" s="10">
        <f t="shared" si="16"/>
        <v>19672.131147540986</v>
      </c>
      <c r="C108" s="10">
        <f>+SUM('[1]F04 VEH Y COMB. '!S8:S14)/[1]FLUJO!$E$43</f>
        <v>1639.344262295082</v>
      </c>
      <c r="D108" s="10">
        <f>+C108</f>
        <v>1639.344262295082</v>
      </c>
      <c r="E108" s="10">
        <f t="shared" ref="E108:N108" si="18">+D108</f>
        <v>1639.344262295082</v>
      </c>
      <c r="F108" s="10">
        <f t="shared" si="18"/>
        <v>1639.344262295082</v>
      </c>
      <c r="G108" s="10">
        <f t="shared" si="18"/>
        <v>1639.344262295082</v>
      </c>
      <c r="H108" s="10">
        <f t="shared" si="18"/>
        <v>1639.344262295082</v>
      </c>
      <c r="I108" s="10">
        <f t="shared" si="18"/>
        <v>1639.344262295082</v>
      </c>
      <c r="J108" s="10">
        <f t="shared" si="18"/>
        <v>1639.344262295082</v>
      </c>
      <c r="K108" s="10">
        <f t="shared" si="18"/>
        <v>1639.344262295082</v>
      </c>
      <c r="L108" s="10">
        <f t="shared" si="18"/>
        <v>1639.344262295082</v>
      </c>
      <c r="M108" s="10">
        <f t="shared" si="18"/>
        <v>1639.344262295082</v>
      </c>
      <c r="N108" s="10">
        <f t="shared" si="18"/>
        <v>1639.344262295082</v>
      </c>
    </row>
    <row r="109" spans="1:16" outlineLevel="1" x14ac:dyDescent="0.25">
      <c r="A109" s="2" t="s">
        <v>135</v>
      </c>
      <c r="B109" s="8">
        <f t="shared" si="16"/>
        <v>60000</v>
      </c>
      <c r="C109" s="7">
        <f>+'[1]F07 OPERAC'!M43</f>
        <v>0</v>
      </c>
      <c r="D109" s="7">
        <f>+'[1]F07 OPERAC'!N43</f>
        <v>0</v>
      </c>
      <c r="E109" s="7">
        <f>+'[1]F07 OPERAC'!O43</f>
        <v>0</v>
      </c>
      <c r="F109" s="7">
        <f>+'[1]F07 OPERAC'!P43</f>
        <v>10000</v>
      </c>
      <c r="G109" s="7">
        <f>+'[1]F07 OPERAC'!Q43</f>
        <v>0</v>
      </c>
      <c r="H109" s="7">
        <f>+'[1]F07 OPERAC'!R43</f>
        <v>10000</v>
      </c>
      <c r="I109" s="7">
        <f>+'[1]F07 OPERAC'!S43</f>
        <v>0</v>
      </c>
      <c r="J109" s="7">
        <f>+'[1]F07 OPERAC'!T43</f>
        <v>10000</v>
      </c>
      <c r="K109" s="7">
        <f>+'[1]F07 OPERAC'!U43</f>
        <v>10000</v>
      </c>
      <c r="L109" s="7">
        <f>+'[1]F07 OPERAC'!V43</f>
        <v>0</v>
      </c>
      <c r="M109" s="7">
        <f>+'[1]F07 OPERAC'!W43</f>
        <v>10000</v>
      </c>
      <c r="N109" s="7">
        <f>+'[1]F07 OPERAC'!X43</f>
        <v>10000</v>
      </c>
    </row>
    <row r="110" spans="1:16" outlineLevel="1" x14ac:dyDescent="0.25">
      <c r="A110" s="9" t="s">
        <v>136</v>
      </c>
      <c r="B110" s="10">
        <f t="shared" si="16"/>
        <v>0</v>
      </c>
      <c r="C110" s="10"/>
      <c r="D110" s="10"/>
      <c r="E110" s="10"/>
      <c r="F110" s="10"/>
      <c r="G110" s="10"/>
      <c r="H110" s="10"/>
      <c r="I110" s="10"/>
      <c r="J110" s="10"/>
      <c r="K110" s="10"/>
      <c r="L110" s="10"/>
      <c r="M110" s="10"/>
      <c r="N110" s="10"/>
    </row>
    <row r="111" spans="1:16" outlineLevel="1" x14ac:dyDescent="0.25">
      <c r="A111" s="2" t="s">
        <v>137</v>
      </c>
      <c r="B111" s="8">
        <f t="shared" si="16"/>
        <v>60000</v>
      </c>
      <c r="C111" s="7">
        <f>+'[1]F07 OPERAC'!M44</f>
        <v>0</v>
      </c>
      <c r="D111" s="7">
        <f>+'[1]F07 OPERAC'!N44</f>
        <v>0</v>
      </c>
      <c r="E111" s="7">
        <f>+'[1]F07 OPERAC'!O44</f>
        <v>0</v>
      </c>
      <c r="F111" s="7">
        <f>+'[1]F07 OPERAC'!P44</f>
        <v>10000</v>
      </c>
      <c r="G111" s="7">
        <f>+'[1]F07 OPERAC'!Q44</f>
        <v>0</v>
      </c>
      <c r="H111" s="7">
        <f>+'[1]F07 OPERAC'!R44</f>
        <v>10000</v>
      </c>
      <c r="I111" s="7">
        <f>+'[1]F07 OPERAC'!S44</f>
        <v>0</v>
      </c>
      <c r="J111" s="7">
        <f>+'[1]F07 OPERAC'!T44</f>
        <v>10000</v>
      </c>
      <c r="K111" s="7">
        <f>+'[1]F07 OPERAC'!U44</f>
        <v>10000</v>
      </c>
      <c r="L111" s="7">
        <f>+'[1]F07 OPERAC'!V44</f>
        <v>0</v>
      </c>
      <c r="M111" s="7">
        <f>+'[1]F07 OPERAC'!W44</f>
        <v>10000</v>
      </c>
      <c r="N111" s="7">
        <f>+'[1]F07 OPERAC'!X44</f>
        <v>10000</v>
      </c>
    </row>
    <row r="112" spans="1:16" outlineLevel="1" x14ac:dyDescent="0.25">
      <c r="A112" s="9" t="s">
        <v>138</v>
      </c>
      <c r="B112" s="10">
        <f t="shared" si="16"/>
        <v>0</v>
      </c>
      <c r="C112" s="10"/>
      <c r="D112" s="10"/>
      <c r="E112" s="10"/>
      <c r="F112" s="10"/>
      <c r="G112" s="10"/>
      <c r="H112" s="10"/>
      <c r="I112" s="10"/>
      <c r="J112" s="10"/>
      <c r="K112" s="10"/>
      <c r="L112" s="10"/>
      <c r="M112" s="10"/>
      <c r="N112" s="10"/>
    </row>
    <row r="113" spans="1:16" outlineLevel="1" x14ac:dyDescent="0.25">
      <c r="A113" s="2" t="s">
        <v>114</v>
      </c>
      <c r="B113" s="8">
        <f t="shared" si="16"/>
        <v>0</v>
      </c>
      <c r="C113" s="7"/>
      <c r="D113" s="8"/>
      <c r="E113" s="7"/>
      <c r="F113" s="8"/>
      <c r="G113" s="7"/>
      <c r="H113" s="8"/>
      <c r="I113" s="7"/>
      <c r="J113" s="8"/>
      <c r="K113" s="7"/>
      <c r="L113" s="8"/>
      <c r="M113" s="7"/>
      <c r="N113" s="8"/>
    </row>
    <row r="114" spans="1:16" outlineLevel="1" x14ac:dyDescent="0.25">
      <c r="A114" s="9" t="s">
        <v>115</v>
      </c>
      <c r="B114" s="10">
        <f t="shared" si="16"/>
        <v>0</v>
      </c>
      <c r="C114" s="10"/>
      <c r="D114" s="10"/>
      <c r="E114" s="10"/>
      <c r="F114" s="10"/>
      <c r="G114" s="10"/>
      <c r="H114" s="10"/>
      <c r="I114" s="10"/>
      <c r="J114" s="10"/>
      <c r="K114" s="10"/>
      <c r="L114" s="10"/>
      <c r="M114" s="10"/>
      <c r="N114" s="10"/>
    </row>
    <row r="115" spans="1:16" outlineLevel="1" x14ac:dyDescent="0.25">
      <c r="A115" s="2" t="s">
        <v>139</v>
      </c>
      <c r="B115" s="8">
        <f t="shared" si="16"/>
        <v>0</v>
      </c>
      <c r="C115" s="7"/>
      <c r="D115" s="8"/>
      <c r="E115" s="7"/>
      <c r="F115" s="8"/>
      <c r="G115" s="7"/>
      <c r="H115" s="8"/>
      <c r="I115" s="7"/>
      <c r="J115" s="8"/>
      <c r="K115" s="7"/>
      <c r="L115" s="8"/>
      <c r="M115" s="7"/>
      <c r="N115" s="8"/>
    </row>
    <row r="116" spans="1:16" outlineLevel="1" x14ac:dyDescent="0.25">
      <c r="A116" s="9" t="s">
        <v>116</v>
      </c>
      <c r="B116" s="10">
        <f t="shared" si="16"/>
        <v>0</v>
      </c>
      <c r="C116" s="10"/>
      <c r="D116" s="10"/>
      <c r="E116" s="10"/>
      <c r="F116" s="10"/>
      <c r="G116" s="10"/>
      <c r="H116" s="10"/>
      <c r="I116" s="10"/>
      <c r="J116" s="10"/>
      <c r="K116" s="10"/>
      <c r="L116" s="10"/>
      <c r="M116" s="10"/>
      <c r="N116" s="10"/>
    </row>
    <row r="117" spans="1:16" outlineLevel="1" x14ac:dyDescent="0.25">
      <c r="A117" s="2" t="s">
        <v>140</v>
      </c>
      <c r="B117" s="8">
        <f t="shared" si="16"/>
        <v>0</v>
      </c>
      <c r="C117" s="7"/>
      <c r="D117" s="7"/>
      <c r="E117" s="7"/>
      <c r="F117" s="7"/>
      <c r="G117" s="7"/>
      <c r="H117" s="7"/>
      <c r="I117" s="7"/>
      <c r="J117" s="7"/>
      <c r="K117" s="7"/>
      <c r="L117" s="7"/>
      <c r="M117" s="7"/>
      <c r="N117" s="7"/>
    </row>
    <row r="118" spans="1:16" outlineLevel="1" x14ac:dyDescent="0.25">
      <c r="A118" s="9" t="s">
        <v>141</v>
      </c>
      <c r="B118" s="10">
        <f t="shared" si="16"/>
        <v>6110754.0983606568</v>
      </c>
      <c r="C118" s="10">
        <f>+SUM('[2]F07 OPERAC'!M18:M39)</f>
        <v>550562.84153005457</v>
      </c>
      <c r="D118" s="10">
        <f>+SUM('[1]F07 OPERAC'!N$18:N$39)</f>
        <v>550562.84153005457</v>
      </c>
      <c r="E118" s="10">
        <f>+SUM('[1]F07 OPERAC'!O$18:O$39)</f>
        <v>550562.84153005457</v>
      </c>
      <c r="F118" s="10">
        <f>+SUM('[1]F07 OPERAC'!P$18:P$39)</f>
        <v>550562.84153005457</v>
      </c>
      <c r="G118" s="10">
        <f>+SUM('[1]F07 OPERAC'!Q$18:Q$39)</f>
        <v>488562.84153005463</v>
      </c>
      <c r="H118" s="10">
        <f>+SUM('[1]F07 OPERAC'!R$18:R$39)</f>
        <v>488562.84153005463</v>
      </c>
      <c r="I118" s="10">
        <f>+SUM('[1]F07 OPERAC'!S$18:S$39)</f>
        <v>488562.84153005463</v>
      </c>
      <c r="J118" s="10">
        <f>+SUM('[1]F07 OPERAC'!T$18:T$39)</f>
        <v>488562.84153005463</v>
      </c>
      <c r="K118" s="10">
        <f>+SUM('[1]F07 OPERAC'!U$18:U$39)</f>
        <v>488562.84153005463</v>
      </c>
      <c r="L118" s="10">
        <f>+SUM('[1]F07 OPERAC'!V$18:V$39)</f>
        <v>488562.84153005463</v>
      </c>
      <c r="M118" s="10">
        <f>+SUM('[1]F07 OPERAC'!W$18:W$39)</f>
        <v>488562.84153005463</v>
      </c>
      <c r="N118" s="10">
        <f>+SUM('[1]F07 OPERAC'!X$18:X$39)</f>
        <v>488562.84153005463</v>
      </c>
    </row>
    <row r="119" spans="1:16" outlineLevel="1" x14ac:dyDescent="0.25">
      <c r="A119" s="2" t="s">
        <v>117</v>
      </c>
      <c r="B119" s="8">
        <f t="shared" si="16"/>
        <v>0</v>
      </c>
      <c r="C119" s="7"/>
      <c r="D119" s="8"/>
      <c r="E119" s="7"/>
      <c r="F119" s="8"/>
      <c r="G119" s="7"/>
      <c r="H119" s="8"/>
      <c r="I119" s="7"/>
      <c r="J119" s="8"/>
      <c r="K119" s="7"/>
      <c r="L119" s="8"/>
      <c r="M119" s="7"/>
      <c r="N119" s="8"/>
    </row>
    <row r="120" spans="1:16" outlineLevel="1" x14ac:dyDescent="0.25">
      <c r="A120" s="9" t="s">
        <v>118</v>
      </c>
      <c r="B120" s="10">
        <f t="shared" si="16"/>
        <v>0</v>
      </c>
      <c r="C120" s="10"/>
      <c r="D120" s="10"/>
      <c r="E120" s="10"/>
      <c r="F120" s="10"/>
      <c r="G120" s="10"/>
      <c r="H120" s="10"/>
      <c r="I120" s="10"/>
      <c r="J120" s="10"/>
      <c r="K120" s="10"/>
      <c r="L120" s="10"/>
      <c r="M120" s="10"/>
      <c r="N120" s="10"/>
    </row>
    <row r="121" spans="1:16" outlineLevel="1" x14ac:dyDescent="0.25">
      <c r="A121" s="2" t="s">
        <v>119</v>
      </c>
      <c r="B121" s="8">
        <f t="shared" si="16"/>
        <v>0</v>
      </c>
      <c r="C121" s="7"/>
      <c r="D121" s="8"/>
      <c r="E121" s="7"/>
      <c r="F121" s="8"/>
      <c r="G121" s="7"/>
      <c r="H121" s="8"/>
      <c r="I121" s="7"/>
      <c r="J121" s="8"/>
      <c r="K121" s="7"/>
      <c r="L121" s="8"/>
      <c r="M121" s="7"/>
      <c r="N121" s="8"/>
    </row>
    <row r="122" spans="1:16" outlineLevel="1" x14ac:dyDescent="0.25">
      <c r="A122" s="9" t="s">
        <v>166</v>
      </c>
      <c r="B122" s="10">
        <f t="shared" si="16"/>
        <v>2500</v>
      </c>
      <c r="C122" s="10">
        <f>+'[1]F00 INV'!Q45</f>
        <v>0</v>
      </c>
      <c r="D122" s="10">
        <f>+'[1]F00 INV'!R45</f>
        <v>2500</v>
      </c>
      <c r="E122" s="10">
        <f>+'[1]F00 INV'!S45</f>
        <v>0</v>
      </c>
      <c r="F122" s="10">
        <f>+'[1]F00 INV'!T45</f>
        <v>0</v>
      </c>
      <c r="G122" s="10">
        <f>+'[1]F00 INV'!U45</f>
        <v>0</v>
      </c>
      <c r="H122" s="10">
        <f>+'[1]F00 INV'!V45</f>
        <v>0</v>
      </c>
      <c r="I122" s="10">
        <f>+'[1]F00 INV'!W45</f>
        <v>0</v>
      </c>
      <c r="J122" s="10">
        <f>+'[1]F00 INV'!X45</f>
        <v>0</v>
      </c>
      <c r="K122" s="10">
        <f>+'[1]F00 INV'!Y45</f>
        <v>0</v>
      </c>
      <c r="L122" s="10">
        <f>+'[1]F00 INV'!Z45</f>
        <v>0</v>
      </c>
      <c r="M122" s="10">
        <f>+'[1]F00 INV'!AA45</f>
        <v>0</v>
      </c>
      <c r="N122" s="10">
        <f>+'[1]F00 INV'!AB45</f>
        <v>0</v>
      </c>
    </row>
    <row r="123" spans="1:16" outlineLevel="1" x14ac:dyDescent="0.25">
      <c r="A123" s="2" t="s">
        <v>142</v>
      </c>
      <c r="B123" s="8">
        <f t="shared" si="16"/>
        <v>0</v>
      </c>
      <c r="C123" s="7"/>
      <c r="D123" s="8"/>
      <c r="E123" s="7"/>
      <c r="F123" s="8"/>
      <c r="G123" s="7"/>
      <c r="H123" s="8"/>
      <c r="I123" s="7"/>
      <c r="J123" s="8"/>
      <c r="K123" s="7"/>
      <c r="L123" s="8"/>
      <c r="M123" s="7"/>
      <c r="N123" s="8"/>
    </row>
    <row r="124" spans="1:16" outlineLevel="1" x14ac:dyDescent="0.25">
      <c r="A124" s="9" t="s">
        <v>143</v>
      </c>
      <c r="B124" s="10">
        <f t="shared" si="16"/>
        <v>5586385.2619575774</v>
      </c>
      <c r="C124" s="10">
        <f>+'[1]F07 OPERAC'!M51</f>
        <v>540000</v>
      </c>
      <c r="D124" s="10">
        <f>+'[1]F07 OPERAC'!N51</f>
        <v>540000</v>
      </c>
      <c r="E124" s="10">
        <f>+'[1]F07 OPERAC'!O51</f>
        <v>540000</v>
      </c>
      <c r="F124" s="10">
        <f>+'[1]F07 OPERAC'!P51</f>
        <v>540000</v>
      </c>
      <c r="G124" s="10">
        <f>+'[1]F07 OPERAC'!Q51</f>
        <v>540000</v>
      </c>
      <c r="H124" s="10">
        <f>+'[1]F07 OPERAC'!R51</f>
        <v>540000</v>
      </c>
      <c r="I124" s="10">
        <f>+'[1]F07 OPERAC'!S51</f>
        <v>540000</v>
      </c>
      <c r="J124" s="10">
        <f>+'[1]F07 OPERAC'!T51</f>
        <v>540000</v>
      </c>
      <c r="K124" s="10">
        <f>+'[1]F07 OPERAC'!U51</f>
        <v>540000</v>
      </c>
      <c r="L124" s="10">
        <f>+'[1]F07 OPERAC'!V51</f>
        <v>540000</v>
      </c>
      <c r="M124" s="10">
        <f>+'[1]F07 OPERAC'!W51</f>
        <v>186385.26195757702</v>
      </c>
      <c r="N124" s="10">
        <f>+'[1]F07 OPERAC'!X51</f>
        <v>0</v>
      </c>
    </row>
    <row r="125" spans="1:16" outlineLevel="1" x14ac:dyDescent="0.25">
      <c r="A125" s="2" t="s">
        <v>144</v>
      </c>
      <c r="B125" s="8">
        <f t="shared" si="16"/>
        <v>0</v>
      </c>
      <c r="C125" s="7"/>
      <c r="D125" s="8"/>
      <c r="E125" s="7"/>
      <c r="F125" s="8"/>
      <c r="G125" s="7"/>
      <c r="H125" s="8"/>
      <c r="I125" s="7"/>
      <c r="J125" s="8"/>
      <c r="K125" s="7"/>
      <c r="L125" s="8"/>
      <c r="M125" s="7"/>
      <c r="N125" s="8"/>
    </row>
    <row r="126" spans="1:16" outlineLevel="1" x14ac:dyDescent="0.25">
      <c r="A126" s="9" t="s">
        <v>145</v>
      </c>
      <c r="B126" s="10">
        <f t="shared" si="16"/>
        <v>0</v>
      </c>
      <c r="C126" s="10"/>
      <c r="D126" s="10"/>
      <c r="E126" s="10"/>
      <c r="F126" s="10"/>
      <c r="G126" s="10"/>
      <c r="H126" s="10"/>
      <c r="I126" s="10"/>
      <c r="J126" s="10"/>
      <c r="K126" s="10"/>
      <c r="L126" s="10"/>
      <c r="M126" s="10"/>
      <c r="N126" s="10"/>
    </row>
    <row r="127" spans="1:16" outlineLevel="1" x14ac:dyDescent="0.25">
      <c r="A127" s="2" t="s">
        <v>146</v>
      </c>
      <c r="B127" s="8">
        <f t="shared" si="16"/>
        <v>0</v>
      </c>
      <c r="C127" s="7"/>
      <c r="D127" s="8"/>
      <c r="E127" s="7"/>
      <c r="F127" s="8"/>
      <c r="G127" s="7"/>
      <c r="H127" s="8"/>
      <c r="I127" s="7"/>
      <c r="J127" s="8"/>
      <c r="K127" s="7"/>
      <c r="L127" s="8"/>
      <c r="M127" s="7"/>
      <c r="N127" s="8"/>
      <c r="P127" s="11" t="s">
        <v>178</v>
      </c>
    </row>
    <row r="128" spans="1:16" outlineLevel="1" x14ac:dyDescent="0.25">
      <c r="A128" s="9" t="s">
        <v>147</v>
      </c>
      <c r="B128" s="10">
        <f t="shared" si="16"/>
        <v>0</v>
      </c>
      <c r="C128" s="10"/>
      <c r="D128" s="10"/>
      <c r="E128" s="10"/>
      <c r="F128" s="10"/>
      <c r="G128" s="10"/>
      <c r="H128" s="10"/>
      <c r="I128" s="10"/>
      <c r="J128" s="10"/>
      <c r="K128" s="10"/>
      <c r="L128" s="10"/>
      <c r="M128" s="10"/>
      <c r="N128" s="10"/>
    </row>
    <row r="129" spans="1:16" outlineLevel="1" x14ac:dyDescent="0.25">
      <c r="A129" s="2" t="s">
        <v>120</v>
      </c>
      <c r="B129" s="8">
        <f t="shared" si="16"/>
        <v>0</v>
      </c>
      <c r="C129" s="7"/>
      <c r="D129" s="8"/>
      <c r="E129" s="7"/>
      <c r="F129" s="8"/>
      <c r="G129" s="7"/>
      <c r="H129" s="8"/>
      <c r="I129" s="7"/>
      <c r="J129" s="8"/>
      <c r="K129" s="7"/>
      <c r="L129" s="8"/>
      <c r="M129" s="7"/>
      <c r="N129" s="8"/>
    </row>
    <row r="130" spans="1:16" outlineLevel="1" x14ac:dyDescent="0.25">
      <c r="A130" s="9" t="s">
        <v>148</v>
      </c>
      <c r="B130" s="10">
        <f t="shared" si="16"/>
        <v>0</v>
      </c>
      <c r="C130" s="10"/>
      <c r="D130" s="10"/>
      <c r="E130" s="10"/>
      <c r="F130" s="10"/>
      <c r="G130" s="10"/>
      <c r="H130" s="10"/>
      <c r="I130" s="10"/>
      <c r="J130" s="10"/>
      <c r="K130" s="10"/>
      <c r="L130" s="10"/>
      <c r="M130" s="10"/>
      <c r="N130" s="10"/>
    </row>
    <row r="131" spans="1:16" outlineLevel="1" x14ac:dyDescent="0.25">
      <c r="A131" s="2" t="s">
        <v>149</v>
      </c>
      <c r="B131" s="8">
        <f t="shared" si="16"/>
        <v>0</v>
      </c>
      <c r="C131" s="7"/>
      <c r="D131" s="8"/>
      <c r="E131" s="7"/>
      <c r="F131" s="8"/>
      <c r="G131" s="7"/>
      <c r="H131" s="8"/>
      <c r="I131" s="7"/>
      <c r="J131" s="8"/>
      <c r="K131" s="7"/>
      <c r="L131" s="8"/>
      <c r="M131" s="7"/>
      <c r="N131" s="8"/>
    </row>
    <row r="132" spans="1:16" outlineLevel="1" x14ac:dyDescent="0.25">
      <c r="A132" s="9" t="s">
        <v>150</v>
      </c>
      <c r="B132" s="10">
        <f t="shared" si="16"/>
        <v>0</v>
      </c>
      <c r="C132" s="10"/>
      <c r="D132" s="10"/>
      <c r="E132" s="10"/>
      <c r="F132" s="10"/>
      <c r="G132" s="10"/>
      <c r="H132" s="10"/>
      <c r="I132" s="10"/>
      <c r="J132" s="10"/>
      <c r="K132" s="10"/>
      <c r="L132" s="10"/>
      <c r="M132" s="10"/>
      <c r="N132" s="10"/>
    </row>
    <row r="133" spans="1:16" outlineLevel="1" x14ac:dyDescent="0.25">
      <c r="A133" s="2" t="s">
        <v>121</v>
      </c>
      <c r="B133" s="8">
        <f t="shared" si="16"/>
        <v>0</v>
      </c>
      <c r="C133" s="7"/>
      <c r="D133" s="7"/>
      <c r="E133" s="7"/>
      <c r="F133" s="7"/>
      <c r="G133" s="7"/>
      <c r="H133" s="7"/>
      <c r="I133" s="7"/>
      <c r="J133" s="7"/>
      <c r="K133" s="7"/>
      <c r="L133" s="7"/>
      <c r="M133" s="7"/>
      <c r="N133" s="7"/>
      <c r="P133" s="11" t="s">
        <v>171</v>
      </c>
    </row>
    <row r="134" spans="1:16" outlineLevel="1" x14ac:dyDescent="0.25">
      <c r="A134" s="9" t="s">
        <v>122</v>
      </c>
      <c r="B134" s="10">
        <f t="shared" si="16"/>
        <v>0</v>
      </c>
      <c r="C134" s="10"/>
      <c r="D134" s="10"/>
      <c r="E134" s="10"/>
      <c r="F134" s="10"/>
      <c r="G134" s="10"/>
      <c r="H134" s="10"/>
      <c r="I134" s="10"/>
      <c r="J134" s="10"/>
      <c r="K134" s="10"/>
      <c r="L134" s="10"/>
      <c r="M134" s="10"/>
      <c r="N134" s="10"/>
    </row>
    <row r="135" spans="1:16" outlineLevel="1" x14ac:dyDescent="0.25">
      <c r="A135" s="2" t="s">
        <v>151</v>
      </c>
      <c r="B135" s="8">
        <f t="shared" si="16"/>
        <v>13114.754098360658</v>
      </c>
      <c r="C135" s="7">
        <f>+'[1]F05 VIÁ'!D9/[1]FLUJO!$E$43</f>
        <v>1092.8961748633878</v>
      </c>
      <c r="D135" s="7">
        <f>+C135</f>
        <v>1092.8961748633878</v>
      </c>
      <c r="E135" s="7">
        <f t="shared" ref="E135:N135" si="19">+D135</f>
        <v>1092.8961748633878</v>
      </c>
      <c r="F135" s="7">
        <f t="shared" si="19"/>
        <v>1092.8961748633878</v>
      </c>
      <c r="G135" s="7">
        <f t="shared" si="19"/>
        <v>1092.8961748633878</v>
      </c>
      <c r="H135" s="7">
        <f t="shared" si="19"/>
        <v>1092.8961748633878</v>
      </c>
      <c r="I135" s="7">
        <f t="shared" si="19"/>
        <v>1092.8961748633878</v>
      </c>
      <c r="J135" s="7">
        <f t="shared" si="19"/>
        <v>1092.8961748633878</v>
      </c>
      <c r="K135" s="7">
        <f t="shared" si="19"/>
        <v>1092.8961748633878</v>
      </c>
      <c r="L135" s="7">
        <f t="shared" si="19"/>
        <v>1092.8961748633878</v>
      </c>
      <c r="M135" s="7">
        <f t="shared" si="19"/>
        <v>1092.8961748633878</v>
      </c>
      <c r="N135" s="7">
        <f t="shared" si="19"/>
        <v>1092.8961748633878</v>
      </c>
    </row>
    <row r="136" spans="1:16" outlineLevel="1" x14ac:dyDescent="0.25">
      <c r="A136" s="9" t="s">
        <v>152</v>
      </c>
      <c r="B136" s="10">
        <f t="shared" si="16"/>
        <v>0</v>
      </c>
      <c r="C136" s="10"/>
      <c r="D136" s="10"/>
      <c r="E136" s="10"/>
      <c r="F136" s="10"/>
      <c r="G136" s="10"/>
      <c r="H136" s="10"/>
      <c r="I136" s="10"/>
      <c r="J136" s="10"/>
      <c r="K136" s="10"/>
      <c r="L136" s="10"/>
      <c r="M136" s="10"/>
      <c r="N136" s="10"/>
    </row>
    <row r="137" spans="1:16" outlineLevel="1" x14ac:dyDescent="0.25">
      <c r="A137" s="2" t="s">
        <v>123</v>
      </c>
      <c r="B137" s="8">
        <f t="shared" si="16"/>
        <v>0</v>
      </c>
      <c r="C137" s="7"/>
      <c r="D137" s="8"/>
      <c r="E137" s="7"/>
      <c r="F137" s="8"/>
      <c r="G137" s="7"/>
      <c r="H137" s="8"/>
      <c r="I137" s="7"/>
      <c r="J137" s="8"/>
      <c r="K137" s="7"/>
      <c r="L137" s="8"/>
      <c r="M137" s="7"/>
      <c r="N137" s="8"/>
    </row>
    <row r="138" spans="1:16" outlineLevel="1" x14ac:dyDescent="0.25">
      <c r="A138" s="9" t="s">
        <v>124</v>
      </c>
      <c r="B138" s="10">
        <f t="shared" si="16"/>
        <v>0</v>
      </c>
      <c r="C138" s="10"/>
      <c r="D138" s="10"/>
      <c r="E138" s="10"/>
      <c r="F138" s="10"/>
      <c r="G138" s="10"/>
      <c r="H138" s="10"/>
      <c r="I138" s="10"/>
      <c r="J138" s="10"/>
      <c r="K138" s="10"/>
      <c r="L138" s="10"/>
      <c r="M138" s="10"/>
      <c r="N138" s="10"/>
    </row>
    <row r="139" spans="1:16" outlineLevel="1" x14ac:dyDescent="0.25">
      <c r="A139" s="2" t="s">
        <v>125</v>
      </c>
      <c r="B139" s="8">
        <f t="shared" si="16"/>
        <v>0</v>
      </c>
      <c r="C139" s="7"/>
      <c r="D139" s="8"/>
      <c r="E139" s="7"/>
      <c r="F139" s="8"/>
      <c r="G139" s="7"/>
      <c r="H139" s="8"/>
      <c r="I139" s="7"/>
      <c r="J139" s="8"/>
      <c r="K139" s="7"/>
      <c r="L139" s="8"/>
      <c r="M139" s="7"/>
      <c r="N139" s="8"/>
    </row>
    <row r="140" spans="1:16" outlineLevel="1" x14ac:dyDescent="0.25">
      <c r="A140" s="9" t="s">
        <v>153</v>
      </c>
      <c r="B140" s="10">
        <f t="shared" si="16"/>
        <v>65573.770491803283</v>
      </c>
      <c r="C140" s="10">
        <f>+'[1]F05 VIÁ'!G8</f>
        <v>5464.4808743169397</v>
      </c>
      <c r="D140" s="10">
        <f>+'[1]F05 VIÁ'!H8</f>
        <v>5464.4808743169397</v>
      </c>
      <c r="E140" s="10">
        <f>+'[1]F05 VIÁ'!I8</f>
        <v>5464.4808743169397</v>
      </c>
      <c r="F140" s="10">
        <f>+'[1]F05 VIÁ'!J8</f>
        <v>5464.4808743169397</v>
      </c>
      <c r="G140" s="10">
        <f>+'[1]F05 VIÁ'!K8</f>
        <v>5464.4808743169397</v>
      </c>
      <c r="H140" s="10">
        <f>+'[1]F05 VIÁ'!L8</f>
        <v>5464.4808743169397</v>
      </c>
      <c r="I140" s="10">
        <f>+'[1]F05 VIÁ'!M8</f>
        <v>5464.4808743169397</v>
      </c>
      <c r="J140" s="10">
        <f>+'[1]F05 VIÁ'!N8</f>
        <v>5464.4808743169397</v>
      </c>
      <c r="K140" s="10">
        <f>+'[1]F05 VIÁ'!O8</f>
        <v>5464.4808743169397</v>
      </c>
      <c r="L140" s="10">
        <f>+'[1]F05 VIÁ'!P8</f>
        <v>5464.4808743169397</v>
      </c>
      <c r="M140" s="10">
        <f>+'[1]F05 VIÁ'!Q8</f>
        <v>5464.4808743169397</v>
      </c>
      <c r="N140" s="10">
        <f>+'[1]F05 VIÁ'!R8</f>
        <v>5464.4808743169397</v>
      </c>
    </row>
    <row r="141" spans="1:16" outlineLevel="1" x14ac:dyDescent="0.25">
      <c r="A141" s="2" t="s">
        <v>154</v>
      </c>
      <c r="B141" s="8">
        <f t="shared" si="16"/>
        <v>629000</v>
      </c>
      <c r="C141" s="7">
        <f>SUM('[1]F07 OPERAC'!M46:M50)</f>
        <v>77000</v>
      </c>
      <c r="D141" s="7">
        <f>SUM('[1]F07 OPERAC'!N46:N50)</f>
        <v>22000</v>
      </c>
      <c r="E141" s="7">
        <f>SUM('[1]F07 OPERAC'!O46:O50)</f>
        <v>77000</v>
      </c>
      <c r="F141" s="7">
        <f>SUM('[1]F07 OPERAC'!P46:P50)</f>
        <v>22000</v>
      </c>
      <c r="G141" s="7">
        <f>SUM('[1]F07 OPERAC'!Q46:Q50)</f>
        <v>77000</v>
      </c>
      <c r="H141" s="7">
        <f>SUM('[1]F07 OPERAC'!R46:R50)</f>
        <v>22000</v>
      </c>
      <c r="I141" s="7">
        <f>SUM('[1]F07 OPERAC'!S46:S50)</f>
        <v>77000</v>
      </c>
      <c r="J141" s="7">
        <f>SUM('[1]F07 OPERAC'!T46:T50)</f>
        <v>22000</v>
      </c>
      <c r="K141" s="7">
        <f>SUM('[1]F07 OPERAC'!U46:U50)</f>
        <v>77000</v>
      </c>
      <c r="L141" s="7">
        <f>SUM('[1]F07 OPERAC'!V46:V50)</f>
        <v>22000</v>
      </c>
      <c r="M141" s="7">
        <f>SUM('[1]F07 OPERAC'!W46:W50)</f>
        <v>77000</v>
      </c>
      <c r="N141" s="7">
        <f>SUM('[1]F07 OPERAC'!X46:X50)</f>
        <v>57000</v>
      </c>
    </row>
    <row r="142" spans="1:16" outlineLevel="1" x14ac:dyDescent="0.25">
      <c r="A142" s="9" t="s">
        <v>155</v>
      </c>
      <c r="B142" s="10">
        <f t="shared" si="16"/>
        <v>0</v>
      </c>
      <c r="C142" s="10"/>
      <c r="D142" s="10"/>
      <c r="E142" s="10"/>
      <c r="F142" s="10"/>
      <c r="G142" s="10"/>
      <c r="H142" s="10"/>
      <c r="I142" s="10"/>
      <c r="J142" s="10"/>
      <c r="K142" s="10"/>
      <c r="L142" s="10"/>
      <c r="M142" s="10"/>
      <c r="N142" s="10"/>
    </row>
    <row r="143" spans="1:16" outlineLevel="1" x14ac:dyDescent="0.25">
      <c r="A143" s="2" t="s">
        <v>126</v>
      </c>
      <c r="B143" s="8">
        <f t="shared" si="16"/>
        <v>0</v>
      </c>
      <c r="C143" s="7"/>
      <c r="D143" s="8"/>
      <c r="E143" s="7"/>
      <c r="F143" s="8"/>
      <c r="G143" s="7"/>
      <c r="H143" s="8"/>
      <c r="I143" s="7"/>
      <c r="J143" s="8"/>
      <c r="K143" s="7"/>
      <c r="L143" s="8"/>
      <c r="M143" s="7"/>
      <c r="N143" s="8"/>
    </row>
    <row r="144" spans="1:16" outlineLevel="1" x14ac:dyDescent="0.25">
      <c r="A144" s="9" t="s">
        <v>106</v>
      </c>
      <c r="B144" s="10">
        <f>SUM(C144:N144)</f>
        <v>0</v>
      </c>
      <c r="C144" s="10"/>
      <c r="D144" s="10"/>
      <c r="E144" s="10"/>
      <c r="F144" s="10"/>
      <c r="G144" s="10"/>
      <c r="H144" s="10"/>
      <c r="I144" s="10"/>
      <c r="J144" s="10"/>
      <c r="K144" s="10"/>
      <c r="L144" s="10"/>
      <c r="M144" s="10"/>
      <c r="N144" s="10"/>
    </row>
    <row r="145" spans="1:16" outlineLevel="1" x14ac:dyDescent="0.25">
      <c r="A145" s="2" t="s">
        <v>156</v>
      </c>
      <c r="B145" s="8">
        <f>SUM(C145:N145)</f>
        <v>0</v>
      </c>
      <c r="C145" s="7"/>
      <c r="D145" s="8"/>
      <c r="E145" s="7"/>
      <c r="F145" s="8"/>
      <c r="G145" s="7"/>
      <c r="H145" s="8"/>
      <c r="I145" s="7"/>
      <c r="J145" s="8"/>
      <c r="K145" s="7"/>
      <c r="L145" s="8"/>
      <c r="M145" s="7"/>
      <c r="N145" s="8"/>
    </row>
    <row r="146" spans="1:16" outlineLevel="1" x14ac:dyDescent="0.25">
      <c r="A146" s="9" t="s">
        <v>127</v>
      </c>
      <c r="B146" s="10">
        <f>SUM(C146:N146)</f>
        <v>0</v>
      </c>
      <c r="C146" s="10"/>
      <c r="D146" s="10"/>
      <c r="E146" s="10"/>
      <c r="F146" s="10"/>
      <c r="G146" s="10"/>
      <c r="H146" s="10"/>
      <c r="I146" s="10"/>
      <c r="J146" s="10"/>
      <c r="K146" s="10"/>
      <c r="L146" s="10"/>
      <c r="M146" s="10"/>
      <c r="N146" s="10"/>
    </row>
    <row r="147" spans="1:16" s="5" customFormat="1" x14ac:dyDescent="0.25">
      <c r="A147" s="13" t="s">
        <v>27</v>
      </c>
      <c r="B147" s="14">
        <f>SUM(B84:B146)</f>
        <v>12981187.994198017</v>
      </c>
      <c r="C147" s="14">
        <f t="shared" ref="C147:N147" si="20">SUM(C84:C146)</f>
        <v>1182708.5610200365</v>
      </c>
      <c r="D147" s="14">
        <f t="shared" si="20"/>
        <v>1395008.5610200365</v>
      </c>
      <c r="E147" s="14">
        <f t="shared" si="20"/>
        <v>1182708.5610200365</v>
      </c>
      <c r="F147" s="14">
        <f t="shared" si="20"/>
        <v>1167708.5610200365</v>
      </c>
      <c r="G147" s="14">
        <f t="shared" si="20"/>
        <v>1140708.5610200365</v>
      </c>
      <c r="H147" s="14">
        <f t="shared" si="20"/>
        <v>1085708.5610200365</v>
      </c>
      <c r="I147" s="14">
        <f t="shared" si="20"/>
        <v>1140708.5610200365</v>
      </c>
      <c r="J147" s="14">
        <f t="shared" si="20"/>
        <v>1105708.5610200365</v>
      </c>
      <c r="K147" s="14">
        <f t="shared" si="20"/>
        <v>1140708.5610200365</v>
      </c>
      <c r="L147" s="14">
        <f t="shared" si="20"/>
        <v>1065708.5610200362</v>
      </c>
      <c r="M147" s="14">
        <f t="shared" si="20"/>
        <v>790093.82297761331</v>
      </c>
      <c r="N147" s="14">
        <f t="shared" si="20"/>
        <v>583708.56102003634</v>
      </c>
      <c r="P147" s="12"/>
    </row>
    <row r="148" spans="1:16" s="5" customFormat="1" x14ac:dyDescent="0.25">
      <c r="A148" s="13" t="s">
        <v>28</v>
      </c>
      <c r="B148" s="14">
        <f>SUM(C148:N148)</f>
        <v>189117.64705882358</v>
      </c>
      <c r="C148" s="14">
        <f>+'[1]F07 OPERAC'!M40+'[1]F00 INV'!Q46</f>
        <v>15176.470588235294</v>
      </c>
      <c r="D148" s="14">
        <f>+'[1]F07 OPERAC'!N40+'[1]F00 INV'!R46</f>
        <v>22176.470588235294</v>
      </c>
      <c r="E148" s="14">
        <f>+'[1]F07 OPERAC'!O40+'[1]F00 INV'!S46</f>
        <v>15176.470588235294</v>
      </c>
      <c r="F148" s="14">
        <f>+'[1]F07 OPERAC'!P40+'[1]F00 INV'!T46</f>
        <v>15176.470588235294</v>
      </c>
      <c r="G148" s="14">
        <f>+'[1]F07 OPERAC'!Q40+'[1]F00 INV'!U46</f>
        <v>15176.470588235294</v>
      </c>
      <c r="H148" s="14">
        <f>+'[1]F07 OPERAC'!R40+'[1]F00 INV'!V46</f>
        <v>15176.470588235294</v>
      </c>
      <c r="I148" s="14">
        <f>+'[1]F07 OPERAC'!S40+'[1]F00 INV'!W46</f>
        <v>15176.470588235294</v>
      </c>
      <c r="J148" s="14">
        <f>+'[1]F07 OPERAC'!T40+'[1]F00 INV'!X46</f>
        <v>15176.470588235294</v>
      </c>
      <c r="K148" s="14">
        <f>+'[1]F07 OPERAC'!U40+'[1]F00 INV'!Y46</f>
        <v>15176.470588235294</v>
      </c>
      <c r="L148" s="14">
        <f>+'[1]F07 OPERAC'!V40+'[1]F00 INV'!Z46</f>
        <v>15176.470588235294</v>
      </c>
      <c r="M148" s="14">
        <f>+'[1]F07 OPERAC'!W40+'[1]F00 INV'!AA46</f>
        <v>15176.470588235294</v>
      </c>
      <c r="N148" s="14">
        <f>+'[1]F07 OPERAC'!X40+'[1]F00 INV'!AB46</f>
        <v>15176.470588235294</v>
      </c>
      <c r="P148" s="12" t="s">
        <v>172</v>
      </c>
    </row>
    <row r="149" spans="1:16" outlineLevel="1" x14ac:dyDescent="0.25">
      <c r="A149" s="2" t="s">
        <v>157</v>
      </c>
      <c r="B149" s="8">
        <f>SUM(C149:N149)</f>
        <v>364235.29411764716</v>
      </c>
      <c r="C149" s="7">
        <f>+'[1]F07 OPERAC'!M41</f>
        <v>30352.941176470587</v>
      </c>
      <c r="D149" s="7">
        <f>+'[1]F07 OPERAC'!N41</f>
        <v>30352.941176470587</v>
      </c>
      <c r="E149" s="7">
        <f>+'[1]F07 OPERAC'!O41</f>
        <v>30352.941176470587</v>
      </c>
      <c r="F149" s="7">
        <f>+'[1]F07 OPERAC'!P41</f>
        <v>30352.941176470587</v>
      </c>
      <c r="G149" s="7">
        <f>+'[1]F07 OPERAC'!Q41</f>
        <v>30352.941176470587</v>
      </c>
      <c r="H149" s="7">
        <f>+'[1]F07 OPERAC'!R41</f>
        <v>30352.941176470587</v>
      </c>
      <c r="I149" s="7">
        <f>+'[1]F07 OPERAC'!S41</f>
        <v>30352.941176470587</v>
      </c>
      <c r="J149" s="7">
        <f>+'[1]F07 OPERAC'!T41</f>
        <v>30352.941176470587</v>
      </c>
      <c r="K149" s="7">
        <f>+'[1]F07 OPERAC'!U41</f>
        <v>30352.941176470587</v>
      </c>
      <c r="L149" s="7">
        <f>+'[1]F07 OPERAC'!V41</f>
        <v>30352.941176470587</v>
      </c>
      <c r="M149" s="7">
        <f>+'[1]F07 OPERAC'!W41</f>
        <v>30352.941176470587</v>
      </c>
      <c r="N149" s="7">
        <f>+'[1]F07 OPERAC'!X41</f>
        <v>30352.941176470587</v>
      </c>
    </row>
    <row r="150" spans="1:16" s="5" customFormat="1" x14ac:dyDescent="0.25">
      <c r="A150" s="13" t="s">
        <v>29</v>
      </c>
      <c r="B150" s="14">
        <f>B149</f>
        <v>364235.29411764716</v>
      </c>
      <c r="C150" s="14">
        <f>+'[1]F07 OPERAC'!M40</f>
        <v>15176.470588235294</v>
      </c>
      <c r="D150" s="14">
        <f>+'[1]F07 OPERAC'!N40</f>
        <v>15176.470588235294</v>
      </c>
      <c r="E150" s="14">
        <f>+'[1]F07 OPERAC'!O40</f>
        <v>15176.470588235294</v>
      </c>
      <c r="F150" s="14">
        <f>+'[1]F07 OPERAC'!P40</f>
        <v>15176.470588235294</v>
      </c>
      <c r="G150" s="14">
        <f>+'[1]F07 OPERAC'!Q40</f>
        <v>15176.470588235294</v>
      </c>
      <c r="H150" s="14">
        <f>+'[1]F07 OPERAC'!R40</f>
        <v>15176.470588235294</v>
      </c>
      <c r="I150" s="14">
        <f>+'[1]F07 OPERAC'!S40</f>
        <v>15176.470588235294</v>
      </c>
      <c r="J150" s="14">
        <f>+'[1]F07 OPERAC'!T40</f>
        <v>15176.470588235294</v>
      </c>
      <c r="K150" s="14">
        <f>+'[1]F07 OPERAC'!U40</f>
        <v>15176.470588235294</v>
      </c>
      <c r="L150" s="14">
        <f>+'[1]F07 OPERAC'!V40</f>
        <v>15176.470588235294</v>
      </c>
      <c r="M150" s="14">
        <f>+'[1]F07 OPERAC'!W40</f>
        <v>15176.470588235294</v>
      </c>
      <c r="N150" s="14">
        <f>+'[1]F07 OPERAC'!X40</f>
        <v>15176.470588235294</v>
      </c>
      <c r="P150" s="12" t="s">
        <v>180</v>
      </c>
    </row>
    <row r="151" spans="1:16" s="5" customFormat="1" x14ac:dyDescent="0.25">
      <c r="A151" s="13" t="s">
        <v>30</v>
      </c>
      <c r="B151" s="14">
        <f>SUM(C151:N151)</f>
        <v>0</v>
      </c>
      <c r="C151" s="14"/>
      <c r="D151" s="14"/>
      <c r="E151" s="14"/>
      <c r="F151" s="14"/>
      <c r="G151" s="14"/>
      <c r="H151" s="14"/>
      <c r="I151" s="14"/>
      <c r="J151" s="14"/>
      <c r="K151" s="14"/>
      <c r="L151" s="14"/>
      <c r="M151" s="14"/>
      <c r="N151" s="14"/>
      <c r="P151" s="12"/>
    </row>
    <row r="152" spans="1:16" hidden="1" outlineLevel="1" x14ac:dyDescent="0.25">
      <c r="A152" s="2" t="s">
        <v>158</v>
      </c>
      <c r="B152" s="8">
        <f t="shared" ref="B152:B159" si="21">SUM(C152:N152)</f>
        <v>0</v>
      </c>
      <c r="C152" s="7"/>
      <c r="D152" s="7"/>
      <c r="E152" s="7"/>
      <c r="F152" s="7"/>
      <c r="G152" s="7"/>
      <c r="H152" s="7"/>
      <c r="I152" s="7"/>
      <c r="J152" s="7"/>
      <c r="K152" s="7"/>
      <c r="L152" s="7"/>
      <c r="M152" s="7"/>
      <c r="N152" s="7"/>
    </row>
    <row r="153" spans="1:16" hidden="1" outlineLevel="1" x14ac:dyDescent="0.25">
      <c r="A153" s="9" t="s">
        <v>159</v>
      </c>
      <c r="B153" s="10">
        <f t="shared" si="21"/>
        <v>49196.065573770495</v>
      </c>
      <c r="C153" s="10">
        <f>+SUM('[1]F04 VEH Y COMB. '!Z8:Z13)/[1]FLUJO!$E$43</f>
        <v>4099.6721311475412</v>
      </c>
      <c r="D153" s="10">
        <f>+C153</f>
        <v>4099.6721311475412</v>
      </c>
      <c r="E153" s="10">
        <f t="shared" ref="E153:N153" si="22">+D153</f>
        <v>4099.6721311475412</v>
      </c>
      <c r="F153" s="10">
        <f t="shared" si="22"/>
        <v>4099.6721311475412</v>
      </c>
      <c r="G153" s="10">
        <f t="shared" si="22"/>
        <v>4099.6721311475412</v>
      </c>
      <c r="H153" s="10">
        <f t="shared" si="22"/>
        <v>4099.6721311475412</v>
      </c>
      <c r="I153" s="10">
        <f t="shared" si="22"/>
        <v>4099.6721311475412</v>
      </c>
      <c r="J153" s="10">
        <f t="shared" si="22"/>
        <v>4099.6721311475412</v>
      </c>
      <c r="K153" s="10">
        <f t="shared" si="22"/>
        <v>4099.6721311475412</v>
      </c>
      <c r="L153" s="10">
        <f t="shared" si="22"/>
        <v>4099.6721311475412</v>
      </c>
      <c r="M153" s="10">
        <f t="shared" si="22"/>
        <v>4099.6721311475412</v>
      </c>
      <c r="N153" s="10">
        <f t="shared" si="22"/>
        <v>4099.6721311475412</v>
      </c>
    </row>
    <row r="154" spans="1:16" s="5" customFormat="1" collapsed="1" x14ac:dyDescent="0.25">
      <c r="A154" s="13" t="s">
        <v>31</v>
      </c>
      <c r="B154" s="14">
        <f>SUM(B152:B153)</f>
        <v>49196.065573770495</v>
      </c>
      <c r="C154" s="14">
        <f t="shared" ref="C154:N154" si="23">SUM(C152:C153)</f>
        <v>4099.6721311475412</v>
      </c>
      <c r="D154" s="14">
        <f t="shared" si="23"/>
        <v>4099.6721311475412</v>
      </c>
      <c r="E154" s="14">
        <f t="shared" si="23"/>
        <v>4099.6721311475412</v>
      </c>
      <c r="F154" s="14">
        <f t="shared" si="23"/>
        <v>4099.6721311475412</v>
      </c>
      <c r="G154" s="14">
        <f t="shared" si="23"/>
        <v>4099.6721311475412</v>
      </c>
      <c r="H154" s="14">
        <f t="shared" si="23"/>
        <v>4099.6721311475412</v>
      </c>
      <c r="I154" s="14">
        <f t="shared" si="23"/>
        <v>4099.6721311475412</v>
      </c>
      <c r="J154" s="14">
        <f t="shared" si="23"/>
        <v>4099.6721311475412</v>
      </c>
      <c r="K154" s="14">
        <f t="shared" si="23"/>
        <v>4099.6721311475412</v>
      </c>
      <c r="L154" s="14">
        <f t="shared" si="23"/>
        <v>4099.6721311475412</v>
      </c>
      <c r="M154" s="14">
        <f t="shared" si="23"/>
        <v>4099.6721311475412</v>
      </c>
      <c r="N154" s="14">
        <f t="shared" si="23"/>
        <v>4099.6721311475412</v>
      </c>
      <c r="P154" s="12"/>
    </row>
    <row r="155" spans="1:16" hidden="1" outlineLevel="1" x14ac:dyDescent="0.25">
      <c r="A155" s="2" t="s">
        <v>160</v>
      </c>
      <c r="B155" s="8">
        <f t="shared" si="21"/>
        <v>0</v>
      </c>
      <c r="C155" s="7"/>
      <c r="D155" s="7"/>
      <c r="E155" s="7"/>
      <c r="F155" s="7"/>
      <c r="G155" s="7"/>
      <c r="H155" s="7"/>
      <c r="I155" s="7"/>
      <c r="J155" s="7"/>
      <c r="K155" s="7"/>
      <c r="L155" s="7"/>
      <c r="M155" s="7"/>
      <c r="N155" s="7"/>
    </row>
    <row r="156" spans="1:16" hidden="1" outlineLevel="1" x14ac:dyDescent="0.25">
      <c r="A156" s="9" t="s">
        <v>164</v>
      </c>
      <c r="B156" s="10">
        <f t="shared" si="21"/>
        <v>0</v>
      </c>
      <c r="C156" s="10"/>
      <c r="D156" s="10"/>
      <c r="E156" s="10"/>
      <c r="F156" s="10"/>
      <c r="G156" s="10"/>
      <c r="H156" s="10"/>
      <c r="I156" s="10"/>
      <c r="J156" s="10"/>
      <c r="K156" s="10"/>
      <c r="L156" s="10"/>
      <c r="M156" s="10"/>
      <c r="N156" s="10"/>
    </row>
    <row r="157" spans="1:16" hidden="1" outlineLevel="1" x14ac:dyDescent="0.25">
      <c r="A157" s="2" t="s">
        <v>163</v>
      </c>
      <c r="B157" s="8">
        <f t="shared" si="21"/>
        <v>0</v>
      </c>
      <c r="C157" s="7"/>
      <c r="D157" s="7"/>
      <c r="E157" s="7"/>
      <c r="F157" s="7"/>
      <c r="G157" s="7"/>
      <c r="H157" s="7"/>
      <c r="I157" s="7"/>
      <c r="J157" s="7"/>
      <c r="K157" s="7"/>
      <c r="L157" s="7"/>
      <c r="M157" s="7"/>
      <c r="N157" s="7"/>
    </row>
    <row r="158" spans="1:16" hidden="1" outlineLevel="1" x14ac:dyDescent="0.25">
      <c r="A158" s="9" t="s">
        <v>162</v>
      </c>
      <c r="B158" s="10">
        <f t="shared" si="21"/>
        <v>0</v>
      </c>
      <c r="C158" s="10"/>
      <c r="D158" s="10"/>
      <c r="E158" s="10"/>
      <c r="F158" s="10"/>
      <c r="G158" s="10"/>
      <c r="H158" s="10"/>
      <c r="I158" s="10"/>
      <c r="J158" s="10"/>
      <c r="K158" s="10"/>
      <c r="L158" s="10"/>
      <c r="M158" s="10"/>
      <c r="N158" s="10"/>
    </row>
    <row r="159" spans="1:16" hidden="1" outlineLevel="1" x14ac:dyDescent="0.25">
      <c r="A159" s="2" t="s">
        <v>161</v>
      </c>
      <c r="B159" s="8">
        <f t="shared" si="21"/>
        <v>0</v>
      </c>
      <c r="C159" s="7"/>
      <c r="D159" s="7"/>
      <c r="E159" s="7"/>
      <c r="F159" s="7"/>
      <c r="G159" s="7"/>
      <c r="H159" s="7"/>
      <c r="I159" s="7"/>
      <c r="J159" s="7"/>
      <c r="K159" s="7"/>
      <c r="L159" s="7"/>
      <c r="M159" s="7"/>
      <c r="N159" s="7"/>
    </row>
    <row r="160" spans="1:16" s="5" customFormat="1" collapsed="1" x14ac:dyDescent="0.25">
      <c r="A160" s="13" t="s">
        <v>32</v>
      </c>
      <c r="B160" s="14">
        <f>SUM(B155:B159)</f>
        <v>0</v>
      </c>
      <c r="C160" s="14">
        <f t="shared" ref="C160:N160" si="24">SUM(C155:C159)</f>
        <v>0</v>
      </c>
      <c r="D160" s="14">
        <f t="shared" si="24"/>
        <v>0</v>
      </c>
      <c r="E160" s="14">
        <f t="shared" si="24"/>
        <v>0</v>
      </c>
      <c r="F160" s="14">
        <f t="shared" si="24"/>
        <v>0</v>
      </c>
      <c r="G160" s="14">
        <f t="shared" si="24"/>
        <v>0</v>
      </c>
      <c r="H160" s="14">
        <f t="shared" si="24"/>
        <v>0</v>
      </c>
      <c r="I160" s="14">
        <f t="shared" si="24"/>
        <v>0</v>
      </c>
      <c r="J160" s="14">
        <f t="shared" si="24"/>
        <v>0</v>
      </c>
      <c r="K160" s="14">
        <f t="shared" si="24"/>
        <v>0</v>
      </c>
      <c r="L160" s="14">
        <f t="shared" si="24"/>
        <v>0</v>
      </c>
      <c r="M160" s="14">
        <f t="shared" si="24"/>
        <v>0</v>
      </c>
      <c r="N160" s="14">
        <f t="shared" si="24"/>
        <v>0</v>
      </c>
      <c r="P160" s="12"/>
    </row>
    <row r="161" spans="1:16" x14ac:dyDescent="0.25">
      <c r="A161" s="15" t="s">
        <v>33</v>
      </c>
      <c r="B161" s="16">
        <f>B14+B24+B26+B29+B31+B32+B37+B40+B76+B78+B79+B83+B147+B148+B150+B151+B154+B160</f>
        <v>26598663.272259727</v>
      </c>
      <c r="C161" s="16">
        <f t="shared" ref="C161:N161" si="25">C14+C24+C26+C29+C31+C32+C37+C40+C76+C78+C79+C83+C147+C148+C150+C151+C154+C160</f>
        <v>3312131.1613950492</v>
      </c>
      <c r="D161" s="16">
        <f t="shared" si="25"/>
        <v>3933813.6580252866</v>
      </c>
      <c r="E161" s="16">
        <f t="shared" si="25"/>
        <v>3276091.5543822986</v>
      </c>
      <c r="F161" s="16">
        <f t="shared" si="25"/>
        <v>2843791.5543822986</v>
      </c>
      <c r="G161" s="16">
        <f t="shared" si="25"/>
        <v>2160791.5543822986</v>
      </c>
      <c r="H161" s="16">
        <f t="shared" si="25"/>
        <v>2060791.5543822984</v>
      </c>
      <c r="I161" s="16">
        <f t="shared" si="25"/>
        <v>1669791.5543822984</v>
      </c>
      <c r="J161" s="16">
        <f t="shared" si="25"/>
        <v>1565791.5543822984</v>
      </c>
      <c r="K161" s="16">
        <f t="shared" si="25"/>
        <v>1654791.5543822984</v>
      </c>
      <c r="L161" s="16">
        <f t="shared" si="25"/>
        <v>1570791.5543822984</v>
      </c>
      <c r="M161" s="16">
        <f t="shared" si="25"/>
        <v>1324176.8163398753</v>
      </c>
      <c r="N161" s="16">
        <f t="shared" si="25"/>
        <v>1043791.5543822987</v>
      </c>
    </row>
    <row r="162" spans="1:16" s="5" customFormat="1" x14ac:dyDescent="0.25">
      <c r="A162" s="4" t="s">
        <v>167</v>
      </c>
      <c r="B162" s="3"/>
      <c r="C162" s="6">
        <f>C5-C161</f>
        <v>801374.33860495081</v>
      </c>
      <c r="D162" s="6">
        <f>C162+D5-D161</f>
        <v>706832.48057966353</v>
      </c>
      <c r="E162" s="6">
        <f>D162+E5-E161</f>
        <v>1544246.4261973645</v>
      </c>
      <c r="F162" s="6">
        <f>E162+F5-F161</f>
        <v>2681266.6418150659</v>
      </c>
      <c r="G162" s="6">
        <f>F162+G5-G161</f>
        <v>4633980.5874327682</v>
      </c>
      <c r="H162" s="6">
        <f>G162+H5-H161</f>
        <v>6554000.8030504696</v>
      </c>
      <c r="I162" s="6">
        <f t="shared" ref="I162:N162" si="26">H162+I5-I161</f>
        <v>8997714.7486681715</v>
      </c>
      <c r="J162" s="6">
        <f t="shared" si="26"/>
        <v>11545428.694285873</v>
      </c>
      <c r="K162" s="6">
        <f t="shared" si="26"/>
        <v>13871448.909903575</v>
      </c>
      <c r="L162" s="6">
        <f t="shared" si="26"/>
        <v>16414162.855521277</v>
      </c>
      <c r="M162" s="6">
        <f t="shared" si="26"/>
        <v>18253441.904591236</v>
      </c>
      <c r="N162" s="6">
        <f t="shared" si="26"/>
        <v>19923155.850208938</v>
      </c>
      <c r="P162" s="12"/>
    </row>
  </sheetData>
  <mergeCells count="4">
    <mergeCell ref="A1:B1"/>
    <mergeCell ref="A2:B2"/>
    <mergeCell ref="A3:N3"/>
    <mergeCell ref="A7:N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32410-DE77-4097-B667-F4E4B69533CF}">
  <dimension ref="A1:P162"/>
  <sheetViews>
    <sheetView tabSelected="1" workbookViewId="0">
      <pane xSplit="2" ySplit="8" topLeftCell="C14" activePane="bottomRight" state="frozen"/>
      <selection pane="topRight" activeCell="C1" sqref="C1"/>
      <selection pane="bottomLeft" activeCell="A7" sqref="A7"/>
      <selection pane="bottomRight" sqref="A1:B1"/>
    </sheetView>
  </sheetViews>
  <sheetFormatPr baseColWidth="10" defaultRowHeight="15" outlineLevelRow="1" x14ac:dyDescent="0.25"/>
  <cols>
    <col min="1" max="1" width="34.140625" bestFit="1" customWidth="1"/>
    <col min="2" max="2" width="18.85546875" bestFit="1" customWidth="1"/>
    <col min="3" max="3" width="16.5703125" customWidth="1"/>
    <col min="4" max="14" width="15.5703125" customWidth="1"/>
    <col min="16" max="16" width="11.42578125" style="11"/>
    <col min="231" max="231" width="34.140625" bestFit="1" customWidth="1"/>
    <col min="232" max="270" width="15.5703125" customWidth="1"/>
    <col min="487" max="487" width="34.140625" bestFit="1" customWidth="1"/>
    <col min="488" max="526" width="15.5703125" customWidth="1"/>
    <col min="743" max="743" width="34.140625" bestFit="1" customWidth="1"/>
    <col min="744" max="782" width="15.5703125" customWidth="1"/>
    <col min="999" max="999" width="34.140625" bestFit="1" customWidth="1"/>
    <col min="1000" max="1038" width="15.5703125" customWidth="1"/>
    <col min="1255" max="1255" width="34.140625" bestFit="1" customWidth="1"/>
    <col min="1256" max="1294" width="15.5703125" customWidth="1"/>
    <col min="1511" max="1511" width="34.140625" bestFit="1" customWidth="1"/>
    <col min="1512" max="1550" width="15.5703125" customWidth="1"/>
    <col min="1767" max="1767" width="34.140625" bestFit="1" customWidth="1"/>
    <col min="1768" max="1806" width="15.5703125" customWidth="1"/>
    <col min="2023" max="2023" width="34.140625" bestFit="1" customWidth="1"/>
    <col min="2024" max="2062" width="15.5703125" customWidth="1"/>
    <col min="2279" max="2279" width="34.140625" bestFit="1" customWidth="1"/>
    <col min="2280" max="2318" width="15.5703125" customWidth="1"/>
    <col min="2535" max="2535" width="34.140625" bestFit="1" customWidth="1"/>
    <col min="2536" max="2574" width="15.5703125" customWidth="1"/>
    <col min="2791" max="2791" width="34.140625" bestFit="1" customWidth="1"/>
    <col min="2792" max="2830" width="15.5703125" customWidth="1"/>
    <col min="3047" max="3047" width="34.140625" bestFit="1" customWidth="1"/>
    <col min="3048" max="3086" width="15.5703125" customWidth="1"/>
    <col min="3303" max="3303" width="34.140625" bestFit="1" customWidth="1"/>
    <col min="3304" max="3342" width="15.5703125" customWidth="1"/>
    <col min="3559" max="3559" width="34.140625" bestFit="1" customWidth="1"/>
    <col min="3560" max="3598" width="15.5703125" customWidth="1"/>
    <col min="3815" max="3815" width="34.140625" bestFit="1" customWidth="1"/>
    <col min="3816" max="3854" width="15.5703125" customWidth="1"/>
    <col min="4071" max="4071" width="34.140625" bestFit="1" customWidth="1"/>
    <col min="4072" max="4110" width="15.5703125" customWidth="1"/>
    <col min="4327" max="4327" width="34.140625" bestFit="1" customWidth="1"/>
    <col min="4328" max="4366" width="15.5703125" customWidth="1"/>
    <col min="4583" max="4583" width="34.140625" bestFit="1" customWidth="1"/>
    <col min="4584" max="4622" width="15.5703125" customWidth="1"/>
    <col min="4839" max="4839" width="34.140625" bestFit="1" customWidth="1"/>
    <col min="4840" max="4878" width="15.5703125" customWidth="1"/>
    <col min="5095" max="5095" width="34.140625" bestFit="1" customWidth="1"/>
    <col min="5096" max="5134" width="15.5703125" customWidth="1"/>
    <col min="5351" max="5351" width="34.140625" bestFit="1" customWidth="1"/>
    <col min="5352" max="5390" width="15.5703125" customWidth="1"/>
    <col min="5607" max="5607" width="34.140625" bestFit="1" customWidth="1"/>
    <col min="5608" max="5646" width="15.5703125" customWidth="1"/>
    <col min="5863" max="5863" width="34.140625" bestFit="1" customWidth="1"/>
    <col min="5864" max="5902" width="15.5703125" customWidth="1"/>
    <col min="6119" max="6119" width="34.140625" bestFit="1" customWidth="1"/>
    <col min="6120" max="6158" width="15.5703125" customWidth="1"/>
    <col min="6375" max="6375" width="34.140625" bestFit="1" customWidth="1"/>
    <col min="6376" max="6414" width="15.5703125" customWidth="1"/>
    <col min="6631" max="6631" width="34.140625" bestFit="1" customWidth="1"/>
    <col min="6632" max="6670" width="15.5703125" customWidth="1"/>
    <col min="6887" max="6887" width="34.140625" bestFit="1" customWidth="1"/>
    <col min="6888" max="6926" width="15.5703125" customWidth="1"/>
    <col min="7143" max="7143" width="34.140625" bestFit="1" customWidth="1"/>
    <col min="7144" max="7182" width="15.5703125" customWidth="1"/>
    <col min="7399" max="7399" width="34.140625" bestFit="1" customWidth="1"/>
    <col min="7400" max="7438" width="15.5703125" customWidth="1"/>
    <col min="7655" max="7655" width="34.140625" bestFit="1" customWidth="1"/>
    <col min="7656" max="7694" width="15.5703125" customWidth="1"/>
    <col min="7911" max="7911" width="34.140625" bestFit="1" customWidth="1"/>
    <col min="7912" max="7950" width="15.5703125" customWidth="1"/>
    <col min="8167" max="8167" width="34.140625" bestFit="1" customWidth="1"/>
    <col min="8168" max="8206" width="15.5703125" customWidth="1"/>
    <col min="8423" max="8423" width="34.140625" bestFit="1" customWidth="1"/>
    <col min="8424" max="8462" width="15.5703125" customWidth="1"/>
    <col min="8679" max="8679" width="34.140625" bestFit="1" customWidth="1"/>
    <col min="8680" max="8718" width="15.5703125" customWidth="1"/>
    <col min="8935" max="8935" width="34.140625" bestFit="1" customWidth="1"/>
    <col min="8936" max="8974" width="15.5703125" customWidth="1"/>
    <col min="9191" max="9191" width="34.140625" bestFit="1" customWidth="1"/>
    <col min="9192" max="9230" width="15.5703125" customWidth="1"/>
    <col min="9447" max="9447" width="34.140625" bestFit="1" customWidth="1"/>
    <col min="9448" max="9486" width="15.5703125" customWidth="1"/>
    <col min="9703" max="9703" width="34.140625" bestFit="1" customWidth="1"/>
    <col min="9704" max="9742" width="15.5703125" customWidth="1"/>
    <col min="9959" max="9959" width="34.140625" bestFit="1" customWidth="1"/>
    <col min="9960" max="9998" width="15.5703125" customWidth="1"/>
    <col min="10215" max="10215" width="34.140625" bestFit="1" customWidth="1"/>
    <col min="10216" max="10254" width="15.5703125" customWidth="1"/>
    <col min="10471" max="10471" width="34.140625" bestFit="1" customWidth="1"/>
    <col min="10472" max="10510" width="15.5703125" customWidth="1"/>
    <col min="10727" max="10727" width="34.140625" bestFit="1" customWidth="1"/>
    <col min="10728" max="10766" width="15.5703125" customWidth="1"/>
    <col min="10983" max="10983" width="34.140625" bestFit="1" customWidth="1"/>
    <col min="10984" max="11022" width="15.5703125" customWidth="1"/>
    <col min="11239" max="11239" width="34.140625" bestFit="1" customWidth="1"/>
    <col min="11240" max="11278" width="15.5703125" customWidth="1"/>
    <col min="11495" max="11495" width="34.140625" bestFit="1" customWidth="1"/>
    <col min="11496" max="11534" width="15.5703125" customWidth="1"/>
    <col min="11751" max="11751" width="34.140625" bestFit="1" customWidth="1"/>
    <col min="11752" max="11790" width="15.5703125" customWidth="1"/>
    <col min="12007" max="12007" width="34.140625" bestFit="1" customWidth="1"/>
    <col min="12008" max="12046" width="15.5703125" customWidth="1"/>
    <col min="12263" max="12263" width="34.140625" bestFit="1" customWidth="1"/>
    <col min="12264" max="12302" width="15.5703125" customWidth="1"/>
    <col min="12519" max="12519" width="34.140625" bestFit="1" customWidth="1"/>
    <col min="12520" max="12558" width="15.5703125" customWidth="1"/>
    <col min="12775" max="12775" width="34.140625" bestFit="1" customWidth="1"/>
    <col min="12776" max="12814" width="15.5703125" customWidth="1"/>
    <col min="13031" max="13031" width="34.140625" bestFit="1" customWidth="1"/>
    <col min="13032" max="13070" width="15.5703125" customWidth="1"/>
    <col min="13287" max="13287" width="34.140625" bestFit="1" customWidth="1"/>
    <col min="13288" max="13326" width="15.5703125" customWidth="1"/>
    <col min="13543" max="13543" width="34.140625" bestFit="1" customWidth="1"/>
    <col min="13544" max="13582" width="15.5703125" customWidth="1"/>
    <col min="13799" max="13799" width="34.140625" bestFit="1" customWidth="1"/>
    <col min="13800" max="13838" width="15.5703125" customWidth="1"/>
    <col min="14055" max="14055" width="34.140625" bestFit="1" customWidth="1"/>
    <col min="14056" max="14094" width="15.5703125" customWidth="1"/>
    <col min="14311" max="14311" width="34.140625" bestFit="1" customWidth="1"/>
    <col min="14312" max="14350" width="15.5703125" customWidth="1"/>
    <col min="14567" max="14567" width="34.140625" bestFit="1" customWidth="1"/>
    <col min="14568" max="14606" width="15.5703125" customWidth="1"/>
    <col min="14823" max="14823" width="34.140625" bestFit="1" customWidth="1"/>
    <col min="14824" max="14862" width="15.5703125" customWidth="1"/>
    <col min="15079" max="15079" width="34.140625" bestFit="1" customWidth="1"/>
    <col min="15080" max="15118" width="15.5703125" customWidth="1"/>
    <col min="15335" max="15335" width="34.140625" bestFit="1" customWidth="1"/>
    <col min="15336" max="15374" width="15.5703125" customWidth="1"/>
    <col min="15591" max="15591" width="34.140625" bestFit="1" customWidth="1"/>
    <col min="15592" max="15630" width="15.5703125" customWidth="1"/>
    <col min="15847" max="15847" width="34.140625" bestFit="1" customWidth="1"/>
    <col min="15848" max="15886" width="15.5703125" customWidth="1"/>
    <col min="16103" max="16103" width="34.140625" bestFit="1" customWidth="1"/>
    <col min="16104" max="16142" width="15.5703125" customWidth="1"/>
  </cols>
  <sheetData>
    <row r="1" spans="1:16" x14ac:dyDescent="0.25">
      <c r="A1" s="18" t="s">
        <v>168</v>
      </c>
      <c r="B1" s="18"/>
      <c r="C1">
        <v>18.3</v>
      </c>
    </row>
    <row r="2" spans="1:16" x14ac:dyDescent="0.25">
      <c r="A2" s="19" t="s">
        <v>184</v>
      </c>
      <c r="B2" s="19"/>
    </row>
    <row r="3" spans="1:16" x14ac:dyDescent="0.25">
      <c r="A3" s="20" t="s">
        <v>182</v>
      </c>
      <c r="B3" s="21"/>
      <c r="C3" s="21"/>
      <c r="D3" s="21"/>
      <c r="E3" s="21"/>
      <c r="F3" s="21"/>
      <c r="G3" s="21"/>
      <c r="H3" s="21"/>
      <c r="I3" s="21"/>
      <c r="J3" s="21"/>
      <c r="K3" s="21"/>
      <c r="L3" s="21"/>
      <c r="M3" s="21"/>
      <c r="N3" s="22"/>
    </row>
    <row r="4" spans="1:16" x14ac:dyDescent="0.25">
      <c r="A4" s="1" t="s">
        <v>0</v>
      </c>
      <c r="B4" s="1" t="s">
        <v>1</v>
      </c>
      <c r="C4" s="1" t="s">
        <v>2</v>
      </c>
      <c r="D4" s="1" t="s">
        <v>3</v>
      </c>
      <c r="E4" s="1" t="s">
        <v>4</v>
      </c>
      <c r="F4" s="1" t="s">
        <v>5</v>
      </c>
      <c r="G4" s="1" t="s">
        <v>6</v>
      </c>
      <c r="H4" s="1" t="s">
        <v>7</v>
      </c>
      <c r="I4" s="1" t="s">
        <v>8</v>
      </c>
      <c r="J4" s="1" t="s">
        <v>9</v>
      </c>
      <c r="K4" s="1" t="s">
        <v>10</v>
      </c>
      <c r="L4" s="1" t="s">
        <v>11</v>
      </c>
      <c r="M4" s="1" t="s">
        <v>12</v>
      </c>
      <c r="N4" s="1" t="s">
        <v>13</v>
      </c>
    </row>
    <row r="5" spans="1:16" x14ac:dyDescent="0.25">
      <c r="A5" s="13" t="s">
        <v>14</v>
      </c>
      <c r="B5" s="14">
        <f>SUM(C5:N5)</f>
        <v>848016537</v>
      </c>
      <c r="C5" s="14">
        <f>+USD!C5*MN!$C$1</f>
        <v>75277150.650000006</v>
      </c>
      <c r="D5" s="14">
        <f>+USD!D5*MN!$C$1</f>
        <v>70258673.939999998</v>
      </c>
      <c r="E5" s="14">
        <f>+USD!E5*MN!$C$1</f>
        <v>75277150.650000006</v>
      </c>
      <c r="F5" s="14">
        <f>+USD!F5*MN!$C$1</f>
        <v>72848855.391000003</v>
      </c>
      <c r="G5" s="14">
        <f>+USD!G5*MN!$C$1</f>
        <v>75277150.650000006</v>
      </c>
      <c r="H5" s="14">
        <f>+USD!H5*MN!$C$1</f>
        <v>72848855.391000003</v>
      </c>
      <c r="I5" s="14">
        <f>+USD!I5*MN!$C$1</f>
        <v>75277150.650000006</v>
      </c>
      <c r="J5" s="14">
        <f>+USD!J5*MN!$C$1</f>
        <v>75277150.650000006</v>
      </c>
      <c r="K5" s="14">
        <f>+USD!K5*MN!$C$1</f>
        <v>72848855.391000003</v>
      </c>
      <c r="L5" s="14">
        <f>+USD!L5*MN!$C$1</f>
        <v>75277150.650000006</v>
      </c>
      <c r="M5" s="14">
        <f>+USD!M5*MN!$C$1</f>
        <v>57891242.337000027</v>
      </c>
      <c r="N5" s="14">
        <f>+USD!N5*MN!$C$1</f>
        <v>49657150.649999999</v>
      </c>
    </row>
    <row r="7" spans="1:16" x14ac:dyDescent="0.25">
      <c r="A7" s="20" t="s">
        <v>183</v>
      </c>
      <c r="B7" s="21"/>
      <c r="C7" s="21"/>
      <c r="D7" s="21"/>
      <c r="E7" s="21"/>
      <c r="F7" s="21"/>
      <c r="G7" s="21"/>
      <c r="H7" s="21"/>
      <c r="I7" s="21"/>
      <c r="J7" s="21"/>
      <c r="K7" s="21"/>
      <c r="L7" s="21"/>
      <c r="M7" s="21"/>
      <c r="N7" s="22"/>
    </row>
    <row r="8" spans="1:16" x14ac:dyDescent="0.25">
      <c r="A8" s="1" t="s">
        <v>0</v>
      </c>
      <c r="B8" s="1" t="s">
        <v>1</v>
      </c>
      <c r="C8" s="1" t="s">
        <v>2</v>
      </c>
      <c r="D8" s="1" t="s">
        <v>3</v>
      </c>
      <c r="E8" s="1" t="s">
        <v>4</v>
      </c>
      <c r="F8" s="1" t="s">
        <v>5</v>
      </c>
      <c r="G8" s="1" t="s">
        <v>6</v>
      </c>
      <c r="H8" s="1" t="s">
        <v>7</v>
      </c>
      <c r="I8" s="1" t="s">
        <v>8</v>
      </c>
      <c r="J8" s="1" t="s">
        <v>9</v>
      </c>
      <c r="K8" s="1" t="s">
        <v>10</v>
      </c>
      <c r="L8" s="1" t="s">
        <v>11</v>
      </c>
      <c r="M8" s="1" t="s">
        <v>12</v>
      </c>
      <c r="N8" s="1" t="s">
        <v>13</v>
      </c>
    </row>
    <row r="9" spans="1:16" outlineLevel="1" x14ac:dyDescent="0.25">
      <c r="A9" s="2" t="s">
        <v>35</v>
      </c>
      <c r="B9" s="7">
        <f t="shared" ref="B9:B30" si="0">SUM(C9:N9)</f>
        <v>1720200</v>
      </c>
      <c r="C9" s="7">
        <f>+USD!C9*MN!$C$1</f>
        <v>417240</v>
      </c>
      <c r="D9" s="7">
        <f>+USD!D9*MN!$C$1</f>
        <v>417240</v>
      </c>
      <c r="E9" s="7">
        <f>+USD!E9*MN!$C$1</f>
        <v>885720</v>
      </c>
      <c r="F9" s="7">
        <f>+USD!F9*MN!$C$1</f>
        <v>0</v>
      </c>
      <c r="G9" s="7">
        <f>+USD!G9*MN!$C$1</f>
        <v>0</v>
      </c>
      <c r="H9" s="7">
        <f>+USD!H9*MN!$C$1</f>
        <v>0</v>
      </c>
      <c r="I9" s="7">
        <f>+USD!I9*MN!$C$1</f>
        <v>0</v>
      </c>
      <c r="J9" s="7">
        <f>+USD!J9*MN!$C$1</f>
        <v>0</v>
      </c>
      <c r="K9" s="7">
        <f>+USD!K9*MN!$C$1</f>
        <v>0</v>
      </c>
      <c r="L9" s="7">
        <f>+USD!L9*MN!$C$1</f>
        <v>0</v>
      </c>
      <c r="M9" s="7">
        <f>+USD!M9*MN!$C$1</f>
        <v>0</v>
      </c>
      <c r="N9" s="7">
        <f>+USD!N9*MN!$C$1</f>
        <v>0</v>
      </c>
    </row>
    <row r="10" spans="1:16" outlineLevel="1" x14ac:dyDescent="0.25">
      <c r="A10" s="9" t="s">
        <v>36</v>
      </c>
      <c r="B10" s="10">
        <f t="shared" si="0"/>
        <v>1830000</v>
      </c>
      <c r="C10" s="10">
        <f>+USD!C9*MN!$C$1</f>
        <v>417240</v>
      </c>
      <c r="D10" s="10">
        <f>+USD!D9*MN!$C$1</f>
        <v>417240</v>
      </c>
      <c r="E10" s="10">
        <f>+USD!E9*MN!$C$1</f>
        <v>885720</v>
      </c>
      <c r="F10" s="10">
        <f>+USD!F10*MN!$C$1</f>
        <v>54900</v>
      </c>
      <c r="G10" s="10">
        <f>+USD!G10*MN!$C$1</f>
        <v>54900</v>
      </c>
      <c r="H10" s="10">
        <f>+USD!H10*MN!$C$1</f>
        <v>0</v>
      </c>
      <c r="I10" s="10">
        <f>+USD!I10*MN!$C$1</f>
        <v>0</v>
      </c>
      <c r="J10" s="10">
        <f>+USD!J10*MN!$C$1</f>
        <v>0</v>
      </c>
      <c r="K10" s="10">
        <f>+USD!K10*MN!$C$1</f>
        <v>0</v>
      </c>
      <c r="L10" s="10">
        <f>+USD!L10*MN!$C$1</f>
        <v>0</v>
      </c>
      <c r="M10" s="10">
        <f>+USD!M10*MN!$C$1</f>
        <v>0</v>
      </c>
      <c r="N10" s="10">
        <f>+USD!N10*MN!$C$1</f>
        <v>0</v>
      </c>
    </row>
    <row r="11" spans="1:16" outlineLevel="1" x14ac:dyDescent="0.25">
      <c r="A11" s="2" t="s">
        <v>37</v>
      </c>
      <c r="B11" s="7">
        <f t="shared" si="0"/>
        <v>38320200</v>
      </c>
      <c r="C11" s="7">
        <f>+USD!C11*MN!$C$1</f>
        <v>10619490</v>
      </c>
      <c r="D11" s="7">
        <f>+USD!D11*MN!$C$1</f>
        <v>11671740</v>
      </c>
      <c r="E11" s="7">
        <f>+USD!E11*MN!$C$1</f>
        <v>9715470</v>
      </c>
      <c r="F11" s="7">
        <f>+USD!F11*MN!$C$1</f>
        <v>5764500</v>
      </c>
      <c r="G11" s="7">
        <f>+USD!G11*MN!$C$1</f>
        <v>274500</v>
      </c>
      <c r="H11" s="7">
        <f>+USD!H11*MN!$C$1</f>
        <v>274500</v>
      </c>
      <c r="I11" s="7">
        <f>+USD!I11*MN!$C$1</f>
        <v>0</v>
      </c>
      <c r="J11" s="7">
        <f>+USD!J11*MN!$C$1</f>
        <v>0</v>
      </c>
      <c r="K11" s="7">
        <f>+USD!K11*MN!$C$1</f>
        <v>0</v>
      </c>
      <c r="L11" s="7">
        <f>+USD!L11*MN!$C$1</f>
        <v>0</v>
      </c>
      <c r="M11" s="7">
        <f>+USD!M11*MN!$C$1</f>
        <v>0</v>
      </c>
      <c r="N11" s="7">
        <f>+USD!N11*MN!$C$1</f>
        <v>0</v>
      </c>
    </row>
    <row r="12" spans="1:16" outlineLevel="1" x14ac:dyDescent="0.25">
      <c r="A12" s="9" t="s">
        <v>34</v>
      </c>
      <c r="B12" s="10">
        <f t="shared" si="0"/>
        <v>50416500</v>
      </c>
      <c r="C12" s="10">
        <f>+USD!C12*MN!$C$1</f>
        <v>8235000</v>
      </c>
      <c r="D12" s="10">
        <f>+USD!D12*MN!$C$1</f>
        <v>8326500</v>
      </c>
      <c r="E12" s="10">
        <f>+USD!E12*MN!$C$1</f>
        <v>9150000</v>
      </c>
      <c r="F12" s="10">
        <f>+USD!F12*MN!$C$1</f>
        <v>8235000</v>
      </c>
      <c r="G12" s="10">
        <f>+USD!G12*MN!$C$1</f>
        <v>8235000</v>
      </c>
      <c r="H12" s="10">
        <f>+USD!H12*MN!$C$1</f>
        <v>8235000</v>
      </c>
      <c r="I12" s="10">
        <f>+USD!I12*MN!$C$1</f>
        <v>0</v>
      </c>
      <c r="J12" s="10">
        <f>+USD!J12*MN!$C$1</f>
        <v>0</v>
      </c>
      <c r="K12" s="10">
        <f>+USD!K12*MN!$C$1</f>
        <v>0</v>
      </c>
      <c r="L12" s="10">
        <f>+USD!L12*MN!$C$1</f>
        <v>0</v>
      </c>
      <c r="M12" s="10">
        <f>+USD!M12*MN!$C$1</f>
        <v>0</v>
      </c>
      <c r="N12" s="10">
        <f>+USD!N12*MN!$C$1</f>
        <v>0</v>
      </c>
    </row>
    <row r="13" spans="1:16" outlineLevel="1" x14ac:dyDescent="0.25">
      <c r="A13" s="2" t="s">
        <v>38</v>
      </c>
      <c r="B13" s="7">
        <f t="shared" si="0"/>
        <v>0</v>
      </c>
      <c r="C13" s="7">
        <f>+USD!C13*MN!$C$1</f>
        <v>0</v>
      </c>
      <c r="D13" s="7">
        <f>+USD!D13*MN!$C$1</f>
        <v>0</v>
      </c>
      <c r="E13" s="7">
        <f>+USD!E13*MN!$C$1</f>
        <v>0</v>
      </c>
      <c r="F13" s="7">
        <f>+USD!F13*MN!$C$1</f>
        <v>0</v>
      </c>
      <c r="G13" s="7">
        <f>+USD!G13*MN!$C$1</f>
        <v>0</v>
      </c>
      <c r="H13" s="7">
        <f>+USD!H13*MN!$C$1</f>
        <v>0</v>
      </c>
      <c r="I13" s="7">
        <f>+USD!I13*MN!$C$1</f>
        <v>0</v>
      </c>
      <c r="J13" s="7">
        <f>+USD!J13*MN!$C$1</f>
        <v>0</v>
      </c>
      <c r="K13" s="7">
        <f>+USD!K13*MN!$C$1</f>
        <v>0</v>
      </c>
      <c r="L13" s="7">
        <f>+USD!L13*MN!$C$1</f>
        <v>0</v>
      </c>
      <c r="M13" s="7">
        <f>+USD!M13*MN!$C$1</f>
        <v>0</v>
      </c>
      <c r="N13" s="7">
        <f>+USD!N13*MN!$C$1</f>
        <v>0</v>
      </c>
    </row>
    <row r="14" spans="1:16" s="5" customFormat="1" x14ac:dyDescent="0.25">
      <c r="A14" s="13" t="s">
        <v>15</v>
      </c>
      <c r="B14" s="14">
        <f>SUM(B9:B13)</f>
        <v>92286900</v>
      </c>
      <c r="C14" s="14">
        <f t="shared" ref="C14:N14" si="1">SUM(C9:C13)</f>
        <v>19688970</v>
      </c>
      <c r="D14" s="14">
        <f t="shared" si="1"/>
        <v>20832720</v>
      </c>
      <c r="E14" s="14">
        <f t="shared" si="1"/>
        <v>20636910</v>
      </c>
      <c r="F14" s="14">
        <f t="shared" si="1"/>
        <v>14054400</v>
      </c>
      <c r="G14" s="14">
        <f t="shared" si="1"/>
        <v>8564400</v>
      </c>
      <c r="H14" s="14">
        <f t="shared" si="1"/>
        <v>8509500</v>
      </c>
      <c r="I14" s="14">
        <f t="shared" si="1"/>
        <v>0</v>
      </c>
      <c r="J14" s="14">
        <f t="shared" si="1"/>
        <v>0</v>
      </c>
      <c r="K14" s="14">
        <f t="shared" si="1"/>
        <v>0</v>
      </c>
      <c r="L14" s="14">
        <f t="shared" si="1"/>
        <v>0</v>
      </c>
      <c r="M14" s="14">
        <f t="shared" si="1"/>
        <v>0</v>
      </c>
      <c r="N14" s="14">
        <f t="shared" si="1"/>
        <v>0</v>
      </c>
      <c r="P14" s="12" t="s">
        <v>176</v>
      </c>
    </row>
    <row r="15" spans="1:16" outlineLevel="1" x14ac:dyDescent="0.25">
      <c r="A15" s="2" t="s">
        <v>39</v>
      </c>
      <c r="B15" s="8">
        <f t="shared" si="0"/>
        <v>1464000</v>
      </c>
      <c r="C15" s="7">
        <f>+USD!C15*MN!$C$1</f>
        <v>122000</v>
      </c>
      <c r="D15" s="7">
        <f>+USD!D15*MN!$C$1</f>
        <v>122000</v>
      </c>
      <c r="E15" s="7">
        <f>+USD!E15*MN!$C$1</f>
        <v>122000</v>
      </c>
      <c r="F15" s="7">
        <f>+USD!F15*MN!$C$1</f>
        <v>122000</v>
      </c>
      <c r="G15" s="7">
        <f>+USD!G15*MN!$C$1</f>
        <v>122000</v>
      </c>
      <c r="H15" s="7">
        <f>+USD!H15*MN!$C$1</f>
        <v>122000</v>
      </c>
      <c r="I15" s="7">
        <f>+USD!I15*MN!$C$1</f>
        <v>122000</v>
      </c>
      <c r="J15" s="7">
        <f>+USD!J15*MN!$C$1</f>
        <v>122000</v>
      </c>
      <c r="K15" s="7">
        <f>+USD!K15*MN!$C$1</f>
        <v>122000</v>
      </c>
      <c r="L15" s="7">
        <f>+USD!L15*MN!$C$1</f>
        <v>122000</v>
      </c>
      <c r="M15" s="7">
        <f>+USD!M15*MN!$C$1</f>
        <v>122000</v>
      </c>
      <c r="N15" s="7">
        <f>+USD!N15*MN!$C$1</f>
        <v>122000</v>
      </c>
    </row>
    <row r="16" spans="1:16" outlineLevel="1" x14ac:dyDescent="0.25">
      <c r="A16" s="9" t="s">
        <v>40</v>
      </c>
      <c r="B16" s="10">
        <f t="shared" si="0"/>
        <v>408000</v>
      </c>
      <c r="C16" s="10">
        <f>+USD!C16*MN!$C$1</f>
        <v>34000</v>
      </c>
      <c r="D16" s="10">
        <f>+USD!D16*MN!$C$1</f>
        <v>34000</v>
      </c>
      <c r="E16" s="10">
        <f>+USD!E16*MN!$C$1</f>
        <v>34000</v>
      </c>
      <c r="F16" s="10">
        <f>+USD!F16*MN!$C$1</f>
        <v>34000</v>
      </c>
      <c r="G16" s="10">
        <f>+USD!G16*MN!$C$1</f>
        <v>34000</v>
      </c>
      <c r="H16" s="10">
        <f>+USD!H16*MN!$C$1</f>
        <v>34000</v>
      </c>
      <c r="I16" s="10">
        <f>+USD!I16*MN!$C$1</f>
        <v>34000</v>
      </c>
      <c r="J16" s="10">
        <f>+USD!J16*MN!$C$1</f>
        <v>34000</v>
      </c>
      <c r="K16" s="10">
        <f>+USD!K16*MN!$C$1</f>
        <v>34000</v>
      </c>
      <c r="L16" s="10">
        <f>+USD!L16*MN!$C$1</f>
        <v>34000</v>
      </c>
      <c r="M16" s="10">
        <f>+USD!M16*MN!$C$1</f>
        <v>34000</v>
      </c>
      <c r="N16" s="10">
        <f>+USD!N16*MN!$C$1</f>
        <v>34000</v>
      </c>
    </row>
    <row r="17" spans="1:16" outlineLevel="1" x14ac:dyDescent="0.25">
      <c r="A17" s="2" t="s">
        <v>47</v>
      </c>
      <c r="B17" s="8">
        <f t="shared" si="0"/>
        <v>0</v>
      </c>
      <c r="C17" s="7">
        <f>+USD!C17*MN!$C$1</f>
        <v>0</v>
      </c>
      <c r="D17" s="7">
        <f>+USD!D17*MN!$C$1</f>
        <v>0</v>
      </c>
      <c r="E17" s="7">
        <f>+USD!E17*MN!$C$1</f>
        <v>0</v>
      </c>
      <c r="F17" s="7">
        <f>+USD!F17*MN!$C$1</f>
        <v>0</v>
      </c>
      <c r="G17" s="7">
        <f>+USD!G17*MN!$C$1</f>
        <v>0</v>
      </c>
      <c r="H17" s="7">
        <f>+USD!H17*MN!$C$1</f>
        <v>0</v>
      </c>
      <c r="I17" s="7">
        <f>+USD!I17*MN!$C$1</f>
        <v>0</v>
      </c>
      <c r="J17" s="7">
        <f>+USD!J17*MN!$C$1</f>
        <v>0</v>
      </c>
      <c r="K17" s="7">
        <f>+USD!K17*MN!$C$1</f>
        <v>0</v>
      </c>
      <c r="L17" s="7">
        <f>+USD!L17*MN!$C$1</f>
        <v>0</v>
      </c>
      <c r="M17" s="7">
        <f>+USD!M17*MN!$C$1</f>
        <v>0</v>
      </c>
      <c r="N17" s="7">
        <f>+USD!N17*MN!$C$1</f>
        <v>0</v>
      </c>
    </row>
    <row r="18" spans="1:16" outlineLevel="1" x14ac:dyDescent="0.25">
      <c r="A18" s="9" t="s">
        <v>42</v>
      </c>
      <c r="B18" s="10">
        <f t="shared" si="0"/>
        <v>312240</v>
      </c>
      <c r="C18" s="10">
        <f>+USD!C18*MN!$C$1</f>
        <v>26020</v>
      </c>
      <c r="D18" s="10">
        <f>+USD!D18*MN!$C$1</f>
        <v>26020</v>
      </c>
      <c r="E18" s="10">
        <f>+USD!E18*MN!$C$1</f>
        <v>26020</v>
      </c>
      <c r="F18" s="10">
        <f>+USD!F18*MN!$C$1</f>
        <v>26020</v>
      </c>
      <c r="G18" s="10">
        <f>+USD!G18*MN!$C$1</f>
        <v>26020</v>
      </c>
      <c r="H18" s="10">
        <f>+USD!H18*MN!$C$1</f>
        <v>26020</v>
      </c>
      <c r="I18" s="10">
        <f>+USD!I18*MN!$C$1</f>
        <v>26020</v>
      </c>
      <c r="J18" s="10">
        <f>+USD!J18*MN!$C$1</f>
        <v>26020</v>
      </c>
      <c r="K18" s="10">
        <f>+USD!K18*MN!$C$1</f>
        <v>26020</v>
      </c>
      <c r="L18" s="10">
        <f>+USD!L18*MN!$C$1</f>
        <v>26020</v>
      </c>
      <c r="M18" s="10">
        <f>+USD!M18*MN!$C$1</f>
        <v>26020</v>
      </c>
      <c r="N18" s="10">
        <f>+USD!N18*MN!$C$1</f>
        <v>26020</v>
      </c>
    </row>
    <row r="19" spans="1:16" outlineLevel="1" x14ac:dyDescent="0.25">
      <c r="A19" s="2" t="s">
        <v>41</v>
      </c>
      <c r="B19" s="8">
        <f t="shared" si="0"/>
        <v>360000</v>
      </c>
      <c r="C19" s="7">
        <f>+USD!C19*MN!$C$1</f>
        <v>30000</v>
      </c>
      <c r="D19" s="8">
        <f>+USD!D19*MN!$C$1</f>
        <v>30000</v>
      </c>
      <c r="E19" s="7">
        <f>+USD!E19*MN!$C$1</f>
        <v>30000</v>
      </c>
      <c r="F19" s="8">
        <f>+USD!F19*MN!$C$1</f>
        <v>30000</v>
      </c>
      <c r="G19" s="7">
        <f>+USD!G19*MN!$C$1</f>
        <v>30000</v>
      </c>
      <c r="H19" s="8">
        <f>+USD!H19*MN!$C$1</f>
        <v>30000</v>
      </c>
      <c r="I19" s="7">
        <f>+USD!I19*MN!$C$1</f>
        <v>30000</v>
      </c>
      <c r="J19" s="8">
        <f>+USD!J19*MN!$C$1</f>
        <v>30000</v>
      </c>
      <c r="K19" s="7">
        <f>+USD!K19*MN!$C$1</f>
        <v>30000</v>
      </c>
      <c r="L19" s="8">
        <f>+USD!L19*MN!$C$1</f>
        <v>30000</v>
      </c>
      <c r="M19" s="7">
        <f>+USD!M19*MN!$C$1</f>
        <v>30000</v>
      </c>
      <c r="N19" s="8">
        <f>+USD!N19*MN!$C$1</f>
        <v>30000</v>
      </c>
    </row>
    <row r="20" spans="1:16" outlineLevel="1" x14ac:dyDescent="0.25">
      <c r="A20" s="9" t="s">
        <v>43</v>
      </c>
      <c r="B20" s="10">
        <f t="shared" si="0"/>
        <v>0</v>
      </c>
      <c r="C20" s="10">
        <f>+USD!C20*MN!$C$1</f>
        <v>0</v>
      </c>
      <c r="D20" s="10">
        <f>+USD!D20*MN!$C$1</f>
        <v>0</v>
      </c>
      <c r="E20" s="10">
        <f>+USD!E20*MN!$C$1</f>
        <v>0</v>
      </c>
      <c r="F20" s="10">
        <f>+USD!F20*MN!$C$1</f>
        <v>0</v>
      </c>
      <c r="G20" s="10">
        <f>+USD!G20*MN!$C$1</f>
        <v>0</v>
      </c>
      <c r="H20" s="10">
        <f>+USD!H20*MN!$C$1</f>
        <v>0</v>
      </c>
      <c r="I20" s="10">
        <f>+USD!I20*MN!$C$1</f>
        <v>0</v>
      </c>
      <c r="J20" s="10">
        <f>+USD!J20*MN!$C$1</f>
        <v>0</v>
      </c>
      <c r="K20" s="10">
        <f>+USD!K20*MN!$C$1</f>
        <v>0</v>
      </c>
      <c r="L20" s="10">
        <f>+USD!L20*MN!$C$1</f>
        <v>0</v>
      </c>
      <c r="M20" s="10">
        <f>+USD!M20*MN!$C$1</f>
        <v>0</v>
      </c>
      <c r="N20" s="10">
        <f>+USD!N20*MN!$C$1</f>
        <v>0</v>
      </c>
    </row>
    <row r="21" spans="1:16" outlineLevel="1" x14ac:dyDescent="0.25">
      <c r="A21" s="2" t="s">
        <v>44</v>
      </c>
      <c r="B21" s="8">
        <f t="shared" si="0"/>
        <v>0</v>
      </c>
      <c r="C21" s="7">
        <f>+USD!C21*MN!$C$1</f>
        <v>0</v>
      </c>
      <c r="D21" s="8">
        <f>+USD!D21*MN!$C$1</f>
        <v>0</v>
      </c>
      <c r="E21" s="7">
        <f>+USD!E21*MN!$C$1</f>
        <v>0</v>
      </c>
      <c r="F21" s="8">
        <f>+USD!F21*MN!$C$1</f>
        <v>0</v>
      </c>
      <c r="G21" s="7">
        <f>+USD!G21*MN!$C$1</f>
        <v>0</v>
      </c>
      <c r="H21" s="8">
        <f>+USD!H21*MN!$C$1</f>
        <v>0</v>
      </c>
      <c r="I21" s="7">
        <f>+USD!I21*MN!$C$1</f>
        <v>0</v>
      </c>
      <c r="J21" s="8">
        <f>+USD!J21*MN!$C$1</f>
        <v>0</v>
      </c>
      <c r="K21" s="7">
        <f>+USD!K21*MN!$C$1</f>
        <v>0</v>
      </c>
      <c r="L21" s="8">
        <f>+USD!L21*MN!$C$1</f>
        <v>0</v>
      </c>
      <c r="M21" s="7">
        <f>+USD!M21*MN!$C$1</f>
        <v>0</v>
      </c>
      <c r="N21" s="8">
        <f>+USD!N21*MN!$C$1</f>
        <v>0</v>
      </c>
    </row>
    <row r="22" spans="1:16" outlineLevel="1" x14ac:dyDescent="0.25">
      <c r="A22" s="9" t="s">
        <v>45</v>
      </c>
      <c r="B22" s="10">
        <f t="shared" si="0"/>
        <v>0</v>
      </c>
      <c r="C22" s="10">
        <f>+USD!C22*MN!$C$1</f>
        <v>0</v>
      </c>
      <c r="D22" s="10">
        <f>+USD!D22*MN!$C$1</f>
        <v>0</v>
      </c>
      <c r="E22" s="10">
        <f>+USD!E22*MN!$C$1</f>
        <v>0</v>
      </c>
      <c r="F22" s="10">
        <f>+USD!F22*MN!$C$1</f>
        <v>0</v>
      </c>
      <c r="G22" s="10">
        <f>+USD!G22*MN!$C$1</f>
        <v>0</v>
      </c>
      <c r="H22" s="10">
        <f>+USD!H22*MN!$C$1</f>
        <v>0</v>
      </c>
      <c r="I22" s="10">
        <f>+USD!I22*MN!$C$1</f>
        <v>0</v>
      </c>
      <c r="J22" s="10">
        <f>+USD!J22*MN!$C$1</f>
        <v>0</v>
      </c>
      <c r="K22" s="10">
        <f>+USD!K22*MN!$C$1</f>
        <v>0</v>
      </c>
      <c r="L22" s="10">
        <f>+USD!L22*MN!$C$1</f>
        <v>0</v>
      </c>
      <c r="M22" s="10">
        <f>+USD!M22*MN!$C$1</f>
        <v>0</v>
      </c>
      <c r="N22" s="10">
        <f>+USD!N22*MN!$C$1</f>
        <v>0</v>
      </c>
    </row>
    <row r="23" spans="1:16" outlineLevel="1" x14ac:dyDescent="0.25">
      <c r="A23" s="2" t="s">
        <v>46</v>
      </c>
      <c r="B23" s="8">
        <f t="shared" si="0"/>
        <v>0</v>
      </c>
      <c r="C23" s="7">
        <f>+USD!C23*MN!$C$1</f>
        <v>0</v>
      </c>
      <c r="D23" s="7">
        <f>+USD!D23*MN!$C$1</f>
        <v>0</v>
      </c>
      <c r="E23" s="7">
        <f>+USD!E23*MN!$C$1</f>
        <v>0</v>
      </c>
      <c r="F23" s="7">
        <f>+USD!F23*MN!$C$1</f>
        <v>0</v>
      </c>
      <c r="G23" s="7">
        <f>+USD!G23*MN!$C$1</f>
        <v>0</v>
      </c>
      <c r="H23" s="7">
        <f>+USD!H23*MN!$C$1</f>
        <v>0</v>
      </c>
      <c r="I23" s="7">
        <f>+USD!I23*MN!$C$1</f>
        <v>0</v>
      </c>
      <c r="J23" s="7">
        <f>+USD!J23*MN!$C$1</f>
        <v>0</v>
      </c>
      <c r="K23" s="7">
        <f>+USD!K23*MN!$C$1</f>
        <v>0</v>
      </c>
      <c r="L23" s="7">
        <f>+USD!L23*MN!$C$1</f>
        <v>0</v>
      </c>
      <c r="M23" s="7">
        <f>+USD!M23*MN!$C$1</f>
        <v>0</v>
      </c>
      <c r="N23" s="7">
        <f>+USD!N23*MN!$C$1</f>
        <v>0</v>
      </c>
    </row>
    <row r="24" spans="1:16" s="5" customFormat="1" x14ac:dyDescent="0.25">
      <c r="A24" s="13" t="s">
        <v>16</v>
      </c>
      <c r="B24" s="14">
        <f>SUM(B15:B23)</f>
        <v>2544240</v>
      </c>
      <c r="C24" s="14">
        <f t="shared" ref="C24:N24" si="2">SUM(C15:C23)</f>
        <v>212020</v>
      </c>
      <c r="D24" s="14">
        <f t="shared" si="2"/>
        <v>212020</v>
      </c>
      <c r="E24" s="14">
        <f t="shared" si="2"/>
        <v>212020</v>
      </c>
      <c r="F24" s="14">
        <f t="shared" si="2"/>
        <v>212020</v>
      </c>
      <c r="G24" s="14">
        <f t="shared" si="2"/>
        <v>212020</v>
      </c>
      <c r="H24" s="14">
        <f t="shared" si="2"/>
        <v>212020</v>
      </c>
      <c r="I24" s="14">
        <f t="shared" si="2"/>
        <v>212020</v>
      </c>
      <c r="J24" s="14">
        <f t="shared" si="2"/>
        <v>212020</v>
      </c>
      <c r="K24" s="14">
        <f t="shared" si="2"/>
        <v>212020</v>
      </c>
      <c r="L24" s="14">
        <f t="shared" si="2"/>
        <v>212020</v>
      </c>
      <c r="M24" s="14">
        <f t="shared" si="2"/>
        <v>212020</v>
      </c>
      <c r="N24" s="14">
        <f t="shared" si="2"/>
        <v>212020</v>
      </c>
      <c r="P24" s="12" t="s">
        <v>175</v>
      </c>
    </row>
    <row r="25" spans="1:16" outlineLevel="1" x14ac:dyDescent="0.25">
      <c r="A25" s="2" t="s">
        <v>48</v>
      </c>
      <c r="B25" s="8">
        <f t="shared" si="0"/>
        <v>6258842.7200000128</v>
      </c>
      <c r="C25" s="7">
        <f>+USD!C25*MN!$C$1</f>
        <v>446942.71000000084</v>
      </c>
      <c r="D25" s="7">
        <f>+USD!D25*MN!$C$1</f>
        <v>446942.71000000084</v>
      </c>
      <c r="E25" s="7">
        <f>+USD!E25*MN!$C$1</f>
        <v>536495.73000000103</v>
      </c>
      <c r="F25" s="7">
        <f>+USD!F25*MN!$C$1</f>
        <v>536495.73000000103</v>
      </c>
      <c r="G25" s="7">
        <f>+USD!G25*MN!$C$1</f>
        <v>536495.73000000103</v>
      </c>
      <c r="H25" s="7">
        <f>+USD!H25*MN!$C$1</f>
        <v>536495.73000000103</v>
      </c>
      <c r="I25" s="7">
        <f>+USD!I25*MN!$C$1</f>
        <v>536495.73000000103</v>
      </c>
      <c r="J25" s="7">
        <f>+USD!J25*MN!$C$1</f>
        <v>536495.73000000103</v>
      </c>
      <c r="K25" s="7">
        <f>+USD!K25*MN!$C$1</f>
        <v>536495.73000000103</v>
      </c>
      <c r="L25" s="7">
        <f>+USD!L25*MN!$C$1</f>
        <v>536495.73000000103</v>
      </c>
      <c r="M25" s="7">
        <f>+USD!M25*MN!$C$1</f>
        <v>536495.73000000103</v>
      </c>
      <c r="N25" s="7">
        <f>+USD!N25*MN!$C$1</f>
        <v>536495.73000000103</v>
      </c>
    </row>
    <row r="26" spans="1:16" x14ac:dyDescent="0.25">
      <c r="A26" s="13" t="s">
        <v>17</v>
      </c>
      <c r="B26" s="14">
        <f>B25</f>
        <v>6258842.7200000128</v>
      </c>
      <c r="C26" s="14">
        <f t="shared" ref="C26:N26" si="3">C25</f>
        <v>446942.71000000084</v>
      </c>
      <c r="D26" s="14">
        <f t="shared" si="3"/>
        <v>446942.71000000084</v>
      </c>
      <c r="E26" s="14">
        <f t="shared" si="3"/>
        <v>536495.73000000103</v>
      </c>
      <c r="F26" s="14">
        <f t="shared" si="3"/>
        <v>536495.73000000103</v>
      </c>
      <c r="G26" s="14">
        <f t="shared" si="3"/>
        <v>536495.73000000103</v>
      </c>
      <c r="H26" s="14">
        <f t="shared" si="3"/>
        <v>536495.73000000103</v>
      </c>
      <c r="I26" s="14">
        <f t="shared" si="3"/>
        <v>536495.73000000103</v>
      </c>
      <c r="J26" s="14">
        <f t="shared" si="3"/>
        <v>536495.73000000103</v>
      </c>
      <c r="K26" s="14">
        <f t="shared" si="3"/>
        <v>536495.73000000103</v>
      </c>
      <c r="L26" s="14">
        <f t="shared" si="3"/>
        <v>536495.73000000103</v>
      </c>
      <c r="M26" s="14">
        <f t="shared" si="3"/>
        <v>536495.73000000103</v>
      </c>
      <c r="N26" s="14">
        <f t="shared" si="3"/>
        <v>536495.73000000103</v>
      </c>
      <c r="P26" s="11" t="s">
        <v>174</v>
      </c>
    </row>
    <row r="27" spans="1:16" outlineLevel="1" x14ac:dyDescent="0.25">
      <c r="A27" s="2" t="s">
        <v>49</v>
      </c>
      <c r="B27" s="8">
        <f t="shared" si="0"/>
        <v>168006</v>
      </c>
      <c r="C27" s="7">
        <f>+USD!C27*MN!$C$1</f>
        <v>168006</v>
      </c>
      <c r="D27" s="7">
        <f>+USD!D27*MN!$C$1</f>
        <v>0</v>
      </c>
      <c r="E27" s="7">
        <f>+USD!E27*MN!$C$1</f>
        <v>0</v>
      </c>
      <c r="F27" s="7">
        <f>+USD!F27*MN!$C$1</f>
        <v>0</v>
      </c>
      <c r="G27" s="7">
        <f>+USD!G27*MN!$C$1</f>
        <v>0</v>
      </c>
      <c r="H27" s="7">
        <f>+USD!H27*MN!$C$1</f>
        <v>0</v>
      </c>
      <c r="I27" s="7">
        <f>+USD!I27*MN!$C$1</f>
        <v>0</v>
      </c>
      <c r="J27" s="7">
        <f>+USD!J27*MN!$C$1</f>
        <v>0</v>
      </c>
      <c r="K27" s="7">
        <f>+USD!K27*MN!$C$1</f>
        <v>0</v>
      </c>
      <c r="L27" s="7">
        <f>+USD!L27*MN!$C$1</f>
        <v>0</v>
      </c>
      <c r="M27" s="7">
        <f>+USD!M27*MN!$C$1</f>
        <v>0</v>
      </c>
      <c r="N27" s="7">
        <f>+USD!N27*MN!$C$1</f>
        <v>0</v>
      </c>
    </row>
    <row r="28" spans="1:16" outlineLevel="1" x14ac:dyDescent="0.25">
      <c r="A28" s="9" t="s">
        <v>50</v>
      </c>
      <c r="B28" s="10">
        <f t="shared" si="0"/>
        <v>0</v>
      </c>
      <c r="C28" s="10">
        <f>+USD!C28*MN!$C$1</f>
        <v>0</v>
      </c>
      <c r="D28" s="10">
        <f>+USD!D28*MN!$C$1</f>
        <v>0</v>
      </c>
      <c r="E28" s="10">
        <f>+USD!E28*MN!$C$1</f>
        <v>0</v>
      </c>
      <c r="F28" s="10">
        <f>+USD!F28*MN!$C$1</f>
        <v>0</v>
      </c>
      <c r="G28" s="10">
        <f>+USD!G28*MN!$C$1</f>
        <v>0</v>
      </c>
      <c r="H28" s="10">
        <f>+USD!H28*MN!$C$1</f>
        <v>0</v>
      </c>
      <c r="I28" s="10">
        <f>+USD!I28*MN!$C$1</f>
        <v>0</v>
      </c>
      <c r="J28" s="10">
        <f>+USD!J28*MN!$C$1</f>
        <v>0</v>
      </c>
      <c r="K28" s="10">
        <f>+USD!K28*MN!$C$1</f>
        <v>0</v>
      </c>
      <c r="L28" s="10">
        <f>+USD!L28*MN!$C$1</f>
        <v>0</v>
      </c>
      <c r="M28" s="10">
        <f>+USD!M28*MN!$C$1</f>
        <v>0</v>
      </c>
      <c r="N28" s="10">
        <f>+USD!N28*MN!$C$1</f>
        <v>0</v>
      </c>
    </row>
    <row r="29" spans="1:16" s="5" customFormat="1" x14ac:dyDescent="0.25">
      <c r="A29" s="13" t="s">
        <v>18</v>
      </c>
      <c r="B29" s="14">
        <f>SUM(B27:B28)</f>
        <v>168006</v>
      </c>
      <c r="C29" s="14">
        <f t="shared" ref="C29:N29" si="4">SUM(C27:C28)</f>
        <v>168006</v>
      </c>
      <c r="D29" s="14">
        <f t="shared" si="4"/>
        <v>0</v>
      </c>
      <c r="E29" s="14">
        <f t="shared" si="4"/>
        <v>0</v>
      </c>
      <c r="F29" s="14">
        <f t="shared" si="4"/>
        <v>0</v>
      </c>
      <c r="G29" s="14">
        <f t="shared" si="4"/>
        <v>0</v>
      </c>
      <c r="H29" s="14">
        <f t="shared" si="4"/>
        <v>0</v>
      </c>
      <c r="I29" s="14">
        <f t="shared" si="4"/>
        <v>0</v>
      </c>
      <c r="J29" s="14">
        <f t="shared" si="4"/>
        <v>0</v>
      </c>
      <c r="K29" s="14">
        <f t="shared" si="4"/>
        <v>0</v>
      </c>
      <c r="L29" s="14">
        <f t="shared" si="4"/>
        <v>0</v>
      </c>
      <c r="M29" s="14">
        <f t="shared" si="4"/>
        <v>0</v>
      </c>
      <c r="N29" s="14">
        <f t="shared" si="4"/>
        <v>0</v>
      </c>
      <c r="P29" s="12"/>
    </row>
    <row r="30" spans="1:16" outlineLevel="1" x14ac:dyDescent="0.25">
      <c r="A30" s="2" t="s">
        <v>51</v>
      </c>
      <c r="B30" s="8">
        <f t="shared" si="0"/>
        <v>0</v>
      </c>
      <c r="C30" s="7">
        <f>+USD!C30*MN!$C$1</f>
        <v>0</v>
      </c>
      <c r="D30" s="8">
        <f>+USD!D30*MN!$C$1</f>
        <v>0</v>
      </c>
      <c r="E30" s="7">
        <f>+USD!E30*MN!$C$1</f>
        <v>0</v>
      </c>
      <c r="F30" s="8">
        <f>+USD!F30*MN!$C$1</f>
        <v>0</v>
      </c>
      <c r="G30" s="7">
        <f>+USD!G30*MN!$C$1</f>
        <v>0</v>
      </c>
      <c r="H30" s="8">
        <f>+USD!H30*MN!$C$1</f>
        <v>0</v>
      </c>
      <c r="I30" s="7">
        <f>+USD!I30*MN!$C$1</f>
        <v>0</v>
      </c>
      <c r="J30" s="8">
        <f>+USD!J30*MN!$C$1</f>
        <v>0</v>
      </c>
      <c r="K30" s="7">
        <f>+USD!K30*MN!$C$1</f>
        <v>0</v>
      </c>
      <c r="L30" s="8">
        <f>+USD!L30*MN!$C$1</f>
        <v>0</v>
      </c>
      <c r="M30" s="7">
        <f>+USD!M30*MN!$C$1</f>
        <v>0</v>
      </c>
      <c r="N30" s="8">
        <f>+USD!N30*MN!$C$1</f>
        <v>0</v>
      </c>
    </row>
    <row r="31" spans="1:16" s="5" customFormat="1" x14ac:dyDescent="0.25">
      <c r="A31" s="13" t="s">
        <v>19</v>
      </c>
      <c r="B31" s="14">
        <f>B30</f>
        <v>0</v>
      </c>
      <c r="C31" s="14">
        <f t="shared" ref="C31:N31" si="5">C30</f>
        <v>0</v>
      </c>
      <c r="D31" s="14">
        <f t="shared" si="5"/>
        <v>0</v>
      </c>
      <c r="E31" s="14">
        <f t="shared" si="5"/>
        <v>0</v>
      </c>
      <c r="F31" s="14">
        <f t="shared" si="5"/>
        <v>0</v>
      </c>
      <c r="G31" s="14">
        <f t="shared" si="5"/>
        <v>0</v>
      </c>
      <c r="H31" s="14">
        <f t="shared" si="5"/>
        <v>0</v>
      </c>
      <c r="I31" s="14">
        <f t="shared" si="5"/>
        <v>0</v>
      </c>
      <c r="J31" s="14">
        <f t="shared" si="5"/>
        <v>0</v>
      </c>
      <c r="K31" s="14">
        <f t="shared" si="5"/>
        <v>0</v>
      </c>
      <c r="L31" s="14">
        <f t="shared" si="5"/>
        <v>0</v>
      </c>
      <c r="M31" s="14">
        <f t="shared" si="5"/>
        <v>0</v>
      </c>
      <c r="N31" s="14">
        <f t="shared" si="5"/>
        <v>0</v>
      </c>
      <c r="P31" s="12"/>
    </row>
    <row r="32" spans="1:16" s="5" customFormat="1" x14ac:dyDescent="0.25">
      <c r="A32" s="13" t="s">
        <v>20</v>
      </c>
      <c r="B32" s="14">
        <f>SUM(C32:N32)</f>
        <v>0</v>
      </c>
      <c r="C32" s="14"/>
      <c r="D32" s="14"/>
      <c r="E32" s="14"/>
      <c r="F32" s="14"/>
      <c r="G32" s="14"/>
      <c r="H32" s="14"/>
      <c r="I32" s="14"/>
      <c r="J32" s="14"/>
      <c r="K32" s="14"/>
      <c r="L32" s="14"/>
      <c r="M32" s="14"/>
      <c r="N32" s="14"/>
      <c r="P32" s="12"/>
    </row>
    <row r="33" spans="1:16" outlineLevel="1" x14ac:dyDescent="0.25">
      <c r="A33" s="2" t="s">
        <v>52</v>
      </c>
      <c r="B33" s="8">
        <f t="shared" ref="B33:B77" si="6">SUM(C33:N33)</f>
        <v>439200</v>
      </c>
      <c r="C33" s="7">
        <f>+USD!C33*MN!$C$1</f>
        <v>36600</v>
      </c>
      <c r="D33" s="7">
        <f>+USD!D33*MN!$C$1</f>
        <v>36600</v>
      </c>
      <c r="E33" s="7">
        <f>+USD!E33*MN!$C$1</f>
        <v>36600</v>
      </c>
      <c r="F33" s="7">
        <f>+USD!F33*MN!$C$1</f>
        <v>36600</v>
      </c>
      <c r="G33" s="7">
        <f>+USD!G33*MN!$C$1</f>
        <v>36600</v>
      </c>
      <c r="H33" s="7">
        <f>+USD!H33*MN!$C$1</f>
        <v>36600</v>
      </c>
      <c r="I33" s="7">
        <f>+USD!I33*MN!$C$1</f>
        <v>36600</v>
      </c>
      <c r="J33" s="7">
        <f>+USD!J33*MN!$C$1</f>
        <v>36600</v>
      </c>
      <c r="K33" s="7">
        <f>+USD!K33*MN!$C$1</f>
        <v>36600</v>
      </c>
      <c r="L33" s="7">
        <f>+USD!L33*MN!$C$1</f>
        <v>36600</v>
      </c>
      <c r="M33" s="7">
        <f>+USD!M33*MN!$C$1</f>
        <v>36600</v>
      </c>
      <c r="N33" s="7">
        <f>+USD!N33*MN!$C$1</f>
        <v>36600</v>
      </c>
    </row>
    <row r="34" spans="1:16" outlineLevel="1" x14ac:dyDescent="0.25">
      <c r="A34" s="9" t="s">
        <v>53</v>
      </c>
      <c r="B34" s="10">
        <f t="shared" si="6"/>
        <v>1647000</v>
      </c>
      <c r="C34" s="10">
        <f>+USD!C34*MN!$C$1</f>
        <v>137250</v>
      </c>
      <c r="D34" s="10">
        <f>+USD!D34*MN!$C$1</f>
        <v>137250</v>
      </c>
      <c r="E34" s="10">
        <f>+USD!E34*MN!$C$1</f>
        <v>137250</v>
      </c>
      <c r="F34" s="10">
        <f>+USD!F34*MN!$C$1</f>
        <v>137250</v>
      </c>
      <c r="G34" s="10">
        <f>+USD!G34*MN!$C$1</f>
        <v>137250</v>
      </c>
      <c r="H34" s="10">
        <f>+USD!H34*MN!$C$1</f>
        <v>137250</v>
      </c>
      <c r="I34" s="10">
        <f>+USD!I34*MN!$C$1</f>
        <v>137250</v>
      </c>
      <c r="J34" s="10">
        <f>+USD!J34*MN!$C$1</f>
        <v>137250</v>
      </c>
      <c r="K34" s="10">
        <f>+USD!K34*MN!$C$1</f>
        <v>137250</v>
      </c>
      <c r="L34" s="10">
        <f>+USD!L34*MN!$C$1</f>
        <v>137250</v>
      </c>
      <c r="M34" s="10">
        <f>+USD!M34*MN!$C$1</f>
        <v>137250</v>
      </c>
      <c r="N34" s="10">
        <f>+USD!N34*MN!$C$1</f>
        <v>137250</v>
      </c>
    </row>
    <row r="35" spans="1:16" outlineLevel="1" x14ac:dyDescent="0.25">
      <c r="A35" s="2" t="s">
        <v>54</v>
      </c>
      <c r="B35" s="8">
        <f t="shared" si="6"/>
        <v>988200</v>
      </c>
      <c r="C35" s="7">
        <f>+USD!C35*MN!$C$1</f>
        <v>164700</v>
      </c>
      <c r="D35" s="7">
        <f>+USD!D35*MN!$C$1</f>
        <v>0</v>
      </c>
      <c r="E35" s="7">
        <f>+USD!E35*MN!$C$1</f>
        <v>164700</v>
      </c>
      <c r="F35" s="7">
        <f>+USD!F35*MN!$C$1</f>
        <v>0</v>
      </c>
      <c r="G35" s="7">
        <f>+USD!G35*MN!$C$1</f>
        <v>164700</v>
      </c>
      <c r="H35" s="7">
        <f>+USD!H35*MN!$C$1</f>
        <v>0</v>
      </c>
      <c r="I35" s="7">
        <f>+USD!I35*MN!$C$1</f>
        <v>164700</v>
      </c>
      <c r="J35" s="7">
        <f>+USD!J35*MN!$C$1</f>
        <v>0</v>
      </c>
      <c r="K35" s="7">
        <f>+USD!K35*MN!$C$1</f>
        <v>164700</v>
      </c>
      <c r="L35" s="7">
        <f>+USD!L35*MN!$C$1</f>
        <v>0</v>
      </c>
      <c r="M35" s="7">
        <f>+USD!M35*MN!$C$1</f>
        <v>164700</v>
      </c>
      <c r="N35" s="7">
        <f>+USD!N35*MN!$C$1</f>
        <v>0</v>
      </c>
    </row>
    <row r="36" spans="1:16" outlineLevel="1" x14ac:dyDescent="0.25">
      <c r="A36" s="9" t="s">
        <v>55</v>
      </c>
      <c r="B36" s="10">
        <f t="shared" si="6"/>
        <v>0</v>
      </c>
      <c r="C36" s="10">
        <f>+USD!C36*MN!$C$1</f>
        <v>0</v>
      </c>
      <c r="D36" s="10">
        <f>+USD!D36*MN!$C$1</f>
        <v>0</v>
      </c>
      <c r="E36" s="10">
        <f>+USD!E36*MN!$C$1</f>
        <v>0</v>
      </c>
      <c r="F36" s="10">
        <f>+USD!F36*MN!$C$1</f>
        <v>0</v>
      </c>
      <c r="G36" s="10">
        <f>+USD!G36*MN!$C$1</f>
        <v>0</v>
      </c>
      <c r="H36" s="10">
        <f>+USD!H36*MN!$C$1</f>
        <v>0</v>
      </c>
      <c r="I36" s="10">
        <f>+USD!I36*MN!$C$1</f>
        <v>0</v>
      </c>
      <c r="J36" s="10">
        <f>+USD!J36*MN!$C$1</f>
        <v>0</v>
      </c>
      <c r="K36" s="10">
        <f>+USD!K36*MN!$C$1</f>
        <v>0</v>
      </c>
      <c r="L36" s="10">
        <f>+USD!L36*MN!$C$1</f>
        <v>0</v>
      </c>
      <c r="M36" s="10">
        <f>+USD!M36*MN!$C$1</f>
        <v>0</v>
      </c>
      <c r="N36" s="10">
        <f>+USD!N36*MN!$C$1</f>
        <v>0</v>
      </c>
    </row>
    <row r="37" spans="1:16" s="5" customFormat="1" x14ac:dyDescent="0.25">
      <c r="A37" s="13" t="s">
        <v>21</v>
      </c>
      <c r="B37" s="14">
        <f>SUM(B33:B36)</f>
        <v>3074400</v>
      </c>
      <c r="C37" s="14">
        <f t="shared" ref="C37:N37" si="7">SUM(C33:C36)</f>
        <v>338550</v>
      </c>
      <c r="D37" s="14">
        <f t="shared" si="7"/>
        <v>173850</v>
      </c>
      <c r="E37" s="14">
        <f t="shared" si="7"/>
        <v>338550</v>
      </c>
      <c r="F37" s="14">
        <f t="shared" si="7"/>
        <v>173850</v>
      </c>
      <c r="G37" s="14">
        <f t="shared" si="7"/>
        <v>338550</v>
      </c>
      <c r="H37" s="14">
        <f t="shared" si="7"/>
        <v>173850</v>
      </c>
      <c r="I37" s="14">
        <f t="shared" si="7"/>
        <v>338550</v>
      </c>
      <c r="J37" s="14">
        <f t="shared" si="7"/>
        <v>173850</v>
      </c>
      <c r="K37" s="14">
        <f t="shared" si="7"/>
        <v>338550</v>
      </c>
      <c r="L37" s="14">
        <f t="shared" si="7"/>
        <v>173850</v>
      </c>
      <c r="M37" s="14">
        <f t="shared" si="7"/>
        <v>338550</v>
      </c>
      <c r="N37" s="14">
        <f t="shared" si="7"/>
        <v>173850</v>
      </c>
      <c r="P37" s="12"/>
    </row>
    <row r="38" spans="1:16" outlineLevel="1" x14ac:dyDescent="0.25">
      <c r="A38" s="2" t="s">
        <v>56</v>
      </c>
      <c r="B38" s="8">
        <f t="shared" si="6"/>
        <v>0</v>
      </c>
      <c r="C38" s="7"/>
      <c r="D38" s="7"/>
      <c r="E38" s="7"/>
      <c r="F38" s="7"/>
      <c r="G38" s="7"/>
      <c r="H38" s="7"/>
      <c r="I38" s="7"/>
      <c r="J38" s="7"/>
      <c r="K38" s="7"/>
      <c r="L38" s="7"/>
      <c r="M38" s="7"/>
      <c r="N38" s="7"/>
    </row>
    <row r="39" spans="1:16" outlineLevel="1" x14ac:dyDescent="0.25">
      <c r="A39" s="9" t="s">
        <v>57</v>
      </c>
      <c r="B39" s="10">
        <f t="shared" si="6"/>
        <v>0</v>
      </c>
      <c r="C39" s="10"/>
      <c r="D39" s="10"/>
      <c r="E39" s="10"/>
      <c r="F39" s="10"/>
      <c r="G39" s="10"/>
      <c r="H39" s="10"/>
      <c r="I39" s="10"/>
      <c r="J39" s="10"/>
      <c r="K39" s="10"/>
      <c r="L39" s="10"/>
      <c r="M39" s="10"/>
      <c r="N39" s="10"/>
    </row>
    <row r="40" spans="1:16" s="5" customFormat="1" x14ac:dyDescent="0.25">
      <c r="A40" s="13" t="s">
        <v>22</v>
      </c>
      <c r="B40" s="14">
        <f>SUM(B38:B39)</f>
        <v>0</v>
      </c>
      <c r="C40" s="14">
        <f t="shared" ref="C40:N40" si="8">SUM(C38:C39)</f>
        <v>0</v>
      </c>
      <c r="D40" s="14">
        <f t="shared" si="8"/>
        <v>0</v>
      </c>
      <c r="E40" s="14">
        <f t="shared" si="8"/>
        <v>0</v>
      </c>
      <c r="F40" s="14">
        <f t="shared" si="8"/>
        <v>0</v>
      </c>
      <c r="G40" s="14">
        <f t="shared" si="8"/>
        <v>0</v>
      </c>
      <c r="H40" s="14">
        <f t="shared" si="8"/>
        <v>0</v>
      </c>
      <c r="I40" s="14">
        <f t="shared" si="8"/>
        <v>0</v>
      </c>
      <c r="J40" s="14">
        <f t="shared" si="8"/>
        <v>0</v>
      </c>
      <c r="K40" s="14">
        <f t="shared" si="8"/>
        <v>0</v>
      </c>
      <c r="L40" s="14">
        <f t="shared" si="8"/>
        <v>0</v>
      </c>
      <c r="M40" s="14">
        <f t="shared" si="8"/>
        <v>0</v>
      </c>
      <c r="N40" s="14">
        <f t="shared" si="8"/>
        <v>0</v>
      </c>
      <c r="P40" s="12" t="s">
        <v>173</v>
      </c>
    </row>
    <row r="41" spans="1:16" outlineLevel="1" x14ac:dyDescent="0.25">
      <c r="A41" s="2" t="s">
        <v>58</v>
      </c>
      <c r="B41" s="8">
        <f t="shared" si="6"/>
        <v>0</v>
      </c>
      <c r="C41" s="7">
        <f>+USD!C41*MN!$C$1</f>
        <v>0</v>
      </c>
      <c r="D41" s="8">
        <f>+USD!D41*MN!$C$1</f>
        <v>0</v>
      </c>
      <c r="E41" s="7">
        <f>+USD!E41*MN!$C$1</f>
        <v>0</v>
      </c>
      <c r="F41" s="8">
        <f>+USD!F41*MN!$C$1</f>
        <v>0</v>
      </c>
      <c r="G41" s="7">
        <f>+USD!G41*MN!$C$1</f>
        <v>0</v>
      </c>
      <c r="H41" s="8">
        <f>+USD!H41*MN!$C$1</f>
        <v>0</v>
      </c>
      <c r="I41" s="7">
        <f>+USD!I41*MN!$C$1</f>
        <v>0</v>
      </c>
      <c r="J41" s="8">
        <f>+USD!J41*MN!$C$1</f>
        <v>0</v>
      </c>
      <c r="K41" s="7">
        <f>+USD!K41*MN!$C$1</f>
        <v>0</v>
      </c>
      <c r="L41" s="8">
        <f>+USD!L41*MN!$C$1</f>
        <v>0</v>
      </c>
      <c r="M41" s="7">
        <f>+USD!M41*MN!$C$1</f>
        <v>0</v>
      </c>
      <c r="N41" s="8">
        <f>+USD!N41*MN!$C$1</f>
        <v>0</v>
      </c>
    </row>
    <row r="42" spans="1:16" outlineLevel="1" x14ac:dyDescent="0.25">
      <c r="A42" s="9" t="s">
        <v>73</v>
      </c>
      <c r="B42" s="10">
        <f t="shared" si="6"/>
        <v>0</v>
      </c>
      <c r="C42" s="10">
        <f>+USD!C42*MN!$C$1</f>
        <v>0</v>
      </c>
      <c r="D42" s="10">
        <f>+USD!D42*MN!$C$1</f>
        <v>0</v>
      </c>
      <c r="E42" s="10">
        <f>+USD!E42*MN!$C$1</f>
        <v>0</v>
      </c>
      <c r="F42" s="10">
        <f>+USD!F42*MN!$C$1</f>
        <v>0</v>
      </c>
      <c r="G42" s="10">
        <f>+USD!G42*MN!$C$1</f>
        <v>0</v>
      </c>
      <c r="H42" s="10">
        <f>+USD!H42*MN!$C$1</f>
        <v>0</v>
      </c>
      <c r="I42" s="10">
        <f>+USD!I42*MN!$C$1</f>
        <v>0</v>
      </c>
      <c r="J42" s="10">
        <f>+USD!J42*MN!$C$1</f>
        <v>0</v>
      </c>
      <c r="K42" s="10">
        <f>+USD!K42*MN!$C$1</f>
        <v>0</v>
      </c>
      <c r="L42" s="10">
        <f>+USD!L42*MN!$C$1</f>
        <v>0</v>
      </c>
      <c r="M42" s="10">
        <f>+USD!M42*MN!$C$1</f>
        <v>0</v>
      </c>
      <c r="N42" s="10">
        <f>+USD!N42*MN!$C$1</f>
        <v>0</v>
      </c>
    </row>
    <row r="43" spans="1:16" outlineLevel="1" x14ac:dyDescent="0.25">
      <c r="A43" s="2" t="s">
        <v>59</v>
      </c>
      <c r="B43" s="8">
        <f t="shared" si="6"/>
        <v>4282200</v>
      </c>
      <c r="C43" s="7">
        <f>+USD!C43*MN!$C$1</f>
        <v>768600</v>
      </c>
      <c r="D43" s="7">
        <f>+USD!D43*MN!$C$1</f>
        <v>219600</v>
      </c>
      <c r="E43" s="7">
        <f>+USD!E43*MN!$C$1</f>
        <v>219600</v>
      </c>
      <c r="F43" s="7">
        <f>+USD!F43*MN!$C$1</f>
        <v>219600</v>
      </c>
      <c r="G43" s="7">
        <f>+USD!G43*MN!$C$1</f>
        <v>768600</v>
      </c>
      <c r="H43" s="7">
        <f>+USD!H43*MN!$C$1</f>
        <v>219600</v>
      </c>
      <c r="I43" s="7">
        <f>+USD!I43*MN!$C$1</f>
        <v>219600</v>
      </c>
      <c r="J43" s="7">
        <f>+USD!J43*MN!$C$1</f>
        <v>219600</v>
      </c>
      <c r="K43" s="7">
        <f>+USD!K43*MN!$C$1</f>
        <v>768600</v>
      </c>
      <c r="L43" s="7">
        <f>+USD!L43*MN!$C$1</f>
        <v>219600</v>
      </c>
      <c r="M43" s="7">
        <f>+USD!M43*MN!$C$1</f>
        <v>219600</v>
      </c>
      <c r="N43" s="7">
        <f>+USD!N43*MN!$C$1</f>
        <v>219600</v>
      </c>
    </row>
    <row r="44" spans="1:16" outlineLevel="1" x14ac:dyDescent="0.25">
      <c r="A44" s="9" t="s">
        <v>60</v>
      </c>
      <c r="B44" s="10">
        <f t="shared" si="6"/>
        <v>0</v>
      </c>
      <c r="C44" s="10">
        <f>+USD!C44*MN!$C$1</f>
        <v>0</v>
      </c>
      <c r="D44" s="10">
        <f>+USD!D44*MN!$C$1</f>
        <v>0</v>
      </c>
      <c r="E44" s="10">
        <f>+USD!E44*MN!$C$1</f>
        <v>0</v>
      </c>
      <c r="F44" s="10">
        <f>+USD!F44*MN!$C$1</f>
        <v>0</v>
      </c>
      <c r="G44" s="10">
        <f>+USD!G44*MN!$C$1</f>
        <v>0</v>
      </c>
      <c r="H44" s="10">
        <f>+USD!H44*MN!$C$1</f>
        <v>0</v>
      </c>
      <c r="I44" s="10">
        <f>+USD!I44*MN!$C$1</f>
        <v>0</v>
      </c>
      <c r="J44" s="10">
        <f>+USD!J44*MN!$C$1</f>
        <v>0</v>
      </c>
      <c r="K44" s="10">
        <f>+USD!K44*MN!$C$1</f>
        <v>0</v>
      </c>
      <c r="L44" s="10">
        <f>+USD!L44*MN!$C$1</f>
        <v>0</v>
      </c>
      <c r="M44" s="10">
        <f>+USD!M44*MN!$C$1</f>
        <v>0</v>
      </c>
      <c r="N44" s="10">
        <f>+USD!N44*MN!$C$1</f>
        <v>0</v>
      </c>
    </row>
    <row r="45" spans="1:16" outlineLevel="1" x14ac:dyDescent="0.25">
      <c r="A45" s="2" t="s">
        <v>61</v>
      </c>
      <c r="B45" s="8">
        <f t="shared" si="6"/>
        <v>0</v>
      </c>
      <c r="C45" s="7">
        <f>+USD!C45*MN!$C$1</f>
        <v>0</v>
      </c>
      <c r="D45" s="8">
        <f>+USD!D45*MN!$C$1</f>
        <v>0</v>
      </c>
      <c r="E45" s="7">
        <f>+USD!E45*MN!$C$1</f>
        <v>0</v>
      </c>
      <c r="F45" s="8">
        <f>+USD!F45*MN!$C$1</f>
        <v>0</v>
      </c>
      <c r="G45" s="7">
        <f>+USD!G45*MN!$C$1</f>
        <v>0</v>
      </c>
      <c r="H45" s="8">
        <f>+USD!H45*MN!$C$1</f>
        <v>0</v>
      </c>
      <c r="I45" s="7">
        <f>+USD!I45*MN!$C$1</f>
        <v>0</v>
      </c>
      <c r="J45" s="8">
        <f>+USD!J45*MN!$C$1</f>
        <v>0</v>
      </c>
      <c r="K45" s="7">
        <f>+USD!K45*MN!$C$1</f>
        <v>0</v>
      </c>
      <c r="L45" s="8">
        <f>+USD!L45*MN!$C$1</f>
        <v>0</v>
      </c>
      <c r="M45" s="7">
        <f>+USD!M45*MN!$C$1</f>
        <v>0</v>
      </c>
      <c r="N45" s="8">
        <f>+USD!N45*MN!$C$1</f>
        <v>0</v>
      </c>
    </row>
    <row r="46" spans="1:16" outlineLevel="1" x14ac:dyDescent="0.25">
      <c r="A46" s="9" t="s">
        <v>74</v>
      </c>
      <c r="B46" s="10">
        <f t="shared" si="6"/>
        <v>0</v>
      </c>
      <c r="C46" s="10">
        <f>+USD!C46*MN!$C$1</f>
        <v>0</v>
      </c>
      <c r="D46" s="10">
        <f>+USD!D46*MN!$C$1</f>
        <v>0</v>
      </c>
      <c r="E46" s="10">
        <f>+USD!E46*MN!$C$1</f>
        <v>0</v>
      </c>
      <c r="F46" s="10">
        <f>+USD!F46*MN!$C$1</f>
        <v>0</v>
      </c>
      <c r="G46" s="10">
        <f>+USD!G46*MN!$C$1</f>
        <v>0</v>
      </c>
      <c r="H46" s="10">
        <f>+USD!H46*MN!$C$1</f>
        <v>0</v>
      </c>
      <c r="I46" s="10">
        <f>+USD!I46*MN!$C$1</f>
        <v>0</v>
      </c>
      <c r="J46" s="10">
        <f>+USD!J46*MN!$C$1</f>
        <v>0</v>
      </c>
      <c r="K46" s="10">
        <f>+USD!K46*MN!$C$1</f>
        <v>0</v>
      </c>
      <c r="L46" s="10">
        <f>+USD!L46*MN!$C$1</f>
        <v>0</v>
      </c>
      <c r="M46" s="10">
        <f>+USD!M46*MN!$C$1</f>
        <v>0</v>
      </c>
      <c r="N46" s="10">
        <f>+USD!N46*MN!$C$1</f>
        <v>0</v>
      </c>
    </row>
    <row r="47" spans="1:16" outlineLevel="1" x14ac:dyDescent="0.25">
      <c r="A47" s="2" t="s">
        <v>75</v>
      </c>
      <c r="B47" s="8">
        <f t="shared" si="6"/>
        <v>0</v>
      </c>
      <c r="C47" s="7">
        <f>+USD!C47*MN!$C$1</f>
        <v>0</v>
      </c>
      <c r="D47" s="8">
        <f>+USD!D47*MN!$C$1</f>
        <v>0</v>
      </c>
      <c r="E47" s="7">
        <f>+USD!E47*MN!$C$1</f>
        <v>0</v>
      </c>
      <c r="F47" s="8">
        <f>+USD!F47*MN!$C$1</f>
        <v>0</v>
      </c>
      <c r="G47" s="7">
        <f>+USD!G47*MN!$C$1</f>
        <v>0</v>
      </c>
      <c r="H47" s="8">
        <f>+USD!H47*MN!$C$1</f>
        <v>0</v>
      </c>
      <c r="I47" s="7">
        <f>+USD!I47*MN!$C$1</f>
        <v>0</v>
      </c>
      <c r="J47" s="8">
        <f>+USD!J47*MN!$C$1</f>
        <v>0</v>
      </c>
      <c r="K47" s="7">
        <f>+USD!K47*MN!$C$1</f>
        <v>0</v>
      </c>
      <c r="L47" s="8">
        <f>+USD!L47*MN!$C$1</f>
        <v>0</v>
      </c>
      <c r="M47" s="7">
        <f>+USD!M47*MN!$C$1</f>
        <v>0</v>
      </c>
      <c r="N47" s="8">
        <f>+USD!N47*MN!$C$1</f>
        <v>0</v>
      </c>
    </row>
    <row r="48" spans="1:16" outlineLevel="1" x14ac:dyDescent="0.25">
      <c r="A48" s="9" t="s">
        <v>62</v>
      </c>
      <c r="B48" s="10">
        <f t="shared" si="6"/>
        <v>0</v>
      </c>
      <c r="C48" s="10">
        <f>+USD!C48*MN!$C$1</f>
        <v>0</v>
      </c>
      <c r="D48" s="10">
        <f>+USD!D48*MN!$C$1</f>
        <v>0</v>
      </c>
      <c r="E48" s="10">
        <f>+USD!E48*MN!$C$1</f>
        <v>0</v>
      </c>
      <c r="F48" s="10">
        <f>+USD!F48*MN!$C$1</f>
        <v>0</v>
      </c>
      <c r="G48" s="10">
        <f>+USD!G48*MN!$C$1</f>
        <v>0</v>
      </c>
      <c r="H48" s="10">
        <f>+USD!H48*MN!$C$1</f>
        <v>0</v>
      </c>
      <c r="I48" s="10">
        <f>+USD!I48*MN!$C$1</f>
        <v>0</v>
      </c>
      <c r="J48" s="10">
        <f>+USD!J48*MN!$C$1</f>
        <v>0</v>
      </c>
      <c r="K48" s="10">
        <f>+USD!K48*MN!$C$1</f>
        <v>0</v>
      </c>
      <c r="L48" s="10">
        <f>+USD!L48*MN!$C$1</f>
        <v>0</v>
      </c>
      <c r="M48" s="10">
        <f>+USD!M48*MN!$C$1</f>
        <v>0</v>
      </c>
      <c r="N48" s="10">
        <f>+USD!N48*MN!$C$1</f>
        <v>0</v>
      </c>
    </row>
    <row r="49" spans="1:14" outlineLevel="1" x14ac:dyDescent="0.25">
      <c r="A49" s="2" t="s">
        <v>63</v>
      </c>
      <c r="B49" s="8">
        <f t="shared" si="6"/>
        <v>76860</v>
      </c>
      <c r="C49" s="7">
        <f>+USD!C49*MN!$C$1</f>
        <v>0</v>
      </c>
      <c r="D49" s="8">
        <f>+USD!D49*MN!$C$1</f>
        <v>76860</v>
      </c>
      <c r="E49" s="7">
        <f>+USD!E49*MN!$C$1</f>
        <v>0</v>
      </c>
      <c r="F49" s="8">
        <f>+USD!F49*MN!$C$1</f>
        <v>0</v>
      </c>
      <c r="G49" s="7">
        <f>+USD!G49*MN!$C$1</f>
        <v>0</v>
      </c>
      <c r="H49" s="8">
        <f>+USD!H49*MN!$C$1</f>
        <v>0</v>
      </c>
      <c r="I49" s="7">
        <f>+USD!I49*MN!$C$1</f>
        <v>0</v>
      </c>
      <c r="J49" s="8">
        <f>+USD!J49*MN!$C$1</f>
        <v>0</v>
      </c>
      <c r="K49" s="7">
        <f>+USD!K49*MN!$C$1</f>
        <v>0</v>
      </c>
      <c r="L49" s="8">
        <f>+USD!L49*MN!$C$1</f>
        <v>0</v>
      </c>
      <c r="M49" s="7">
        <f>+USD!M49*MN!$C$1</f>
        <v>0</v>
      </c>
      <c r="N49" s="8">
        <f>+USD!N49*MN!$C$1</f>
        <v>0</v>
      </c>
    </row>
    <row r="50" spans="1:14" outlineLevel="1" x14ac:dyDescent="0.25">
      <c r="A50" s="9" t="s">
        <v>64</v>
      </c>
      <c r="B50" s="10">
        <f t="shared" si="6"/>
        <v>0</v>
      </c>
      <c r="C50" s="10">
        <f>+USD!C50*MN!$C$1</f>
        <v>0</v>
      </c>
      <c r="D50" s="10">
        <f>+USD!D50*MN!$C$1</f>
        <v>0</v>
      </c>
      <c r="E50" s="10">
        <f>+USD!E50*MN!$C$1</f>
        <v>0</v>
      </c>
      <c r="F50" s="10">
        <f>+USD!F50*MN!$C$1</f>
        <v>0</v>
      </c>
      <c r="G50" s="10">
        <f>+USD!G50*MN!$C$1</f>
        <v>0</v>
      </c>
      <c r="H50" s="10">
        <f>+USD!H50*MN!$C$1</f>
        <v>0</v>
      </c>
      <c r="I50" s="10">
        <f>+USD!I50*MN!$C$1</f>
        <v>0</v>
      </c>
      <c r="J50" s="10">
        <f>+USD!J50*MN!$C$1</f>
        <v>0</v>
      </c>
      <c r="K50" s="10">
        <f>+USD!K50*MN!$C$1</f>
        <v>0</v>
      </c>
      <c r="L50" s="10">
        <f>+USD!L50*MN!$C$1</f>
        <v>0</v>
      </c>
      <c r="M50" s="10">
        <f>+USD!M50*MN!$C$1</f>
        <v>0</v>
      </c>
      <c r="N50" s="10">
        <f>+USD!N50*MN!$C$1</f>
        <v>0</v>
      </c>
    </row>
    <row r="51" spans="1:14" outlineLevel="1" x14ac:dyDescent="0.25">
      <c r="A51" s="2" t="s">
        <v>65</v>
      </c>
      <c r="B51" s="8">
        <f t="shared" si="6"/>
        <v>1647000</v>
      </c>
      <c r="C51" s="7">
        <f>+USD!C51*MN!$C$1</f>
        <v>0</v>
      </c>
      <c r="D51" s="7">
        <f>+USD!D51*MN!$C$1</f>
        <v>1647000</v>
      </c>
      <c r="E51" s="7">
        <f>+USD!E51*MN!$C$1</f>
        <v>0</v>
      </c>
      <c r="F51" s="7">
        <f>+USD!F51*MN!$C$1</f>
        <v>0</v>
      </c>
      <c r="G51" s="7">
        <f>+USD!G51*MN!$C$1</f>
        <v>0</v>
      </c>
      <c r="H51" s="7">
        <f>+USD!H51*MN!$C$1</f>
        <v>0</v>
      </c>
      <c r="I51" s="7">
        <f>+USD!I51*MN!$C$1</f>
        <v>0</v>
      </c>
      <c r="J51" s="7">
        <f>+USD!J51*MN!$C$1</f>
        <v>0</v>
      </c>
      <c r="K51" s="7">
        <f>+USD!K51*MN!$C$1</f>
        <v>0</v>
      </c>
      <c r="L51" s="7">
        <f>+USD!L51*MN!$C$1</f>
        <v>0</v>
      </c>
      <c r="M51" s="7">
        <f>+USD!M51*MN!$C$1</f>
        <v>0</v>
      </c>
      <c r="N51" s="7">
        <f>+USD!N51*MN!$C$1</f>
        <v>0</v>
      </c>
    </row>
    <row r="52" spans="1:14" outlineLevel="1" x14ac:dyDescent="0.25">
      <c r="A52" s="9" t="s">
        <v>76</v>
      </c>
      <c r="B52" s="10">
        <f t="shared" si="6"/>
        <v>1372500</v>
      </c>
      <c r="C52" s="10">
        <f>+USD!C52*MN!$C$1</f>
        <v>0</v>
      </c>
      <c r="D52" s="10">
        <f>+USD!D52*MN!$C$1</f>
        <v>1372500</v>
      </c>
      <c r="E52" s="10">
        <f>+USD!E52*MN!$C$1</f>
        <v>0</v>
      </c>
      <c r="F52" s="10">
        <f>+USD!F52*MN!$C$1</f>
        <v>0</v>
      </c>
      <c r="G52" s="10">
        <f>+USD!G52*MN!$C$1</f>
        <v>0</v>
      </c>
      <c r="H52" s="10">
        <f>+USD!H52*MN!$C$1</f>
        <v>0</v>
      </c>
      <c r="I52" s="10">
        <f>+USD!I52*MN!$C$1</f>
        <v>0</v>
      </c>
      <c r="J52" s="10">
        <f>+USD!J52*MN!$C$1</f>
        <v>0</v>
      </c>
      <c r="K52" s="10">
        <f>+USD!K52*MN!$C$1</f>
        <v>0</v>
      </c>
      <c r="L52" s="10">
        <f>+USD!L52*MN!$C$1</f>
        <v>0</v>
      </c>
      <c r="M52" s="10">
        <f>+USD!M52*MN!$C$1</f>
        <v>0</v>
      </c>
      <c r="N52" s="10">
        <f>+USD!N52*MN!$C$1</f>
        <v>0</v>
      </c>
    </row>
    <row r="53" spans="1:14" outlineLevel="1" x14ac:dyDescent="0.25">
      <c r="A53" s="2" t="s">
        <v>77</v>
      </c>
      <c r="B53" s="8">
        <f t="shared" si="6"/>
        <v>0</v>
      </c>
      <c r="C53" s="7">
        <f>+USD!C53*MN!$C$1</f>
        <v>0</v>
      </c>
      <c r="D53" s="8">
        <f>+USD!D53*MN!$C$1</f>
        <v>0</v>
      </c>
      <c r="E53" s="7">
        <f>+USD!E53*MN!$C$1</f>
        <v>0</v>
      </c>
      <c r="F53" s="8">
        <f>+USD!F53*MN!$C$1</f>
        <v>0</v>
      </c>
      <c r="G53" s="7">
        <f>+USD!G53*MN!$C$1</f>
        <v>0</v>
      </c>
      <c r="H53" s="8">
        <f>+USD!H53*MN!$C$1</f>
        <v>0</v>
      </c>
      <c r="I53" s="7">
        <f>+USD!I53*MN!$C$1</f>
        <v>0</v>
      </c>
      <c r="J53" s="8">
        <f>+USD!J53*MN!$C$1</f>
        <v>0</v>
      </c>
      <c r="K53" s="7">
        <f>+USD!K53*MN!$C$1</f>
        <v>0</v>
      </c>
      <c r="L53" s="8">
        <f>+USD!L53*MN!$C$1</f>
        <v>0</v>
      </c>
      <c r="M53" s="7">
        <f>+USD!M53*MN!$C$1</f>
        <v>0</v>
      </c>
      <c r="N53" s="8">
        <f>+USD!N53*MN!$C$1</f>
        <v>0</v>
      </c>
    </row>
    <row r="54" spans="1:14" outlineLevel="1" x14ac:dyDescent="0.25">
      <c r="A54" s="9" t="s">
        <v>66</v>
      </c>
      <c r="B54" s="10">
        <f t="shared" si="6"/>
        <v>0</v>
      </c>
      <c r="C54" s="10">
        <f>+USD!C54*MN!$C$1</f>
        <v>0</v>
      </c>
      <c r="D54" s="10">
        <f>+USD!D54*MN!$C$1</f>
        <v>0</v>
      </c>
      <c r="E54" s="10">
        <f>+USD!E54*MN!$C$1</f>
        <v>0</v>
      </c>
      <c r="F54" s="10">
        <f>+USD!F54*MN!$C$1</f>
        <v>0</v>
      </c>
      <c r="G54" s="10">
        <f>+USD!G54*MN!$C$1</f>
        <v>0</v>
      </c>
      <c r="H54" s="10">
        <f>+USD!H54*MN!$C$1</f>
        <v>0</v>
      </c>
      <c r="I54" s="10">
        <f>+USD!I54*MN!$C$1</f>
        <v>0</v>
      </c>
      <c r="J54" s="10">
        <f>+USD!J54*MN!$C$1</f>
        <v>0</v>
      </c>
      <c r="K54" s="10">
        <f>+USD!K54*MN!$C$1</f>
        <v>0</v>
      </c>
      <c r="L54" s="10">
        <f>+USD!L54*MN!$C$1</f>
        <v>0</v>
      </c>
      <c r="M54" s="10">
        <f>+USD!M54*MN!$C$1</f>
        <v>0</v>
      </c>
      <c r="N54" s="10">
        <f>+USD!N54*MN!$C$1</f>
        <v>0</v>
      </c>
    </row>
    <row r="55" spans="1:14" outlineLevel="1" x14ac:dyDescent="0.25">
      <c r="A55" s="2" t="s">
        <v>67</v>
      </c>
      <c r="B55" s="8">
        <f t="shared" si="6"/>
        <v>13980000</v>
      </c>
      <c r="C55" s="7">
        <f>+USD!C55*MN!$C$1</f>
        <v>2745000</v>
      </c>
      <c r="D55" s="7">
        <f>+USD!D55*MN!$C$1</f>
        <v>5745000</v>
      </c>
      <c r="E55" s="7">
        <f>+USD!E55*MN!$C$1</f>
        <v>2745000</v>
      </c>
      <c r="F55" s="7">
        <f>+USD!F55*MN!$C$1</f>
        <v>2745000</v>
      </c>
      <c r="G55" s="7">
        <f>+USD!G55*MN!$C$1</f>
        <v>0</v>
      </c>
      <c r="H55" s="7">
        <f>+USD!H55*MN!$C$1</f>
        <v>0</v>
      </c>
      <c r="I55" s="7">
        <f>+USD!I55*MN!$C$1</f>
        <v>0</v>
      </c>
      <c r="J55" s="7">
        <f>+USD!J55*MN!$C$1</f>
        <v>0</v>
      </c>
      <c r="K55" s="7">
        <f>+USD!K55*MN!$C$1</f>
        <v>0</v>
      </c>
      <c r="L55" s="7">
        <f>+USD!L55*MN!$C$1</f>
        <v>0</v>
      </c>
      <c r="M55" s="7">
        <f>+USD!M55*MN!$C$1</f>
        <v>0</v>
      </c>
      <c r="N55" s="7">
        <f>+USD!N55*MN!$C$1</f>
        <v>0</v>
      </c>
    </row>
    <row r="56" spans="1:14" outlineLevel="1" x14ac:dyDescent="0.25">
      <c r="A56" s="9" t="s">
        <v>78</v>
      </c>
      <c r="B56" s="10">
        <f t="shared" si="6"/>
        <v>0</v>
      </c>
      <c r="C56" s="10">
        <f>+USD!C56*MN!$C$1</f>
        <v>0</v>
      </c>
      <c r="D56" s="10">
        <f>+USD!D56*MN!$C$1</f>
        <v>0</v>
      </c>
      <c r="E56" s="10">
        <f>+USD!E56*MN!$C$1</f>
        <v>0</v>
      </c>
      <c r="F56" s="10">
        <f>+USD!F56*MN!$C$1</f>
        <v>0</v>
      </c>
      <c r="G56" s="10">
        <f>+USD!G56*MN!$C$1</f>
        <v>0</v>
      </c>
      <c r="H56" s="10">
        <f>+USD!H56*MN!$C$1</f>
        <v>0</v>
      </c>
      <c r="I56" s="10">
        <f>+USD!I56*MN!$C$1</f>
        <v>0</v>
      </c>
      <c r="J56" s="10">
        <f>+USD!J56*MN!$C$1</f>
        <v>0</v>
      </c>
      <c r="K56" s="10">
        <f>+USD!K56*MN!$C$1</f>
        <v>0</v>
      </c>
      <c r="L56" s="10">
        <f>+USD!L56*MN!$C$1</f>
        <v>0</v>
      </c>
      <c r="M56" s="10">
        <f>+USD!M56*MN!$C$1</f>
        <v>0</v>
      </c>
      <c r="N56" s="10">
        <f>+USD!N56*MN!$C$1</f>
        <v>0</v>
      </c>
    </row>
    <row r="57" spans="1:14" outlineLevel="1" x14ac:dyDescent="0.25">
      <c r="A57" s="2" t="s">
        <v>79</v>
      </c>
      <c r="B57" s="8">
        <f t="shared" si="6"/>
        <v>4575000</v>
      </c>
      <c r="C57" s="7">
        <f>+USD!C57*MN!$C$1</f>
        <v>915000</v>
      </c>
      <c r="D57" s="8">
        <f>+USD!D57*MN!$C$1</f>
        <v>915000</v>
      </c>
      <c r="E57" s="7">
        <f>+USD!E57*MN!$C$1</f>
        <v>915000</v>
      </c>
      <c r="F57" s="8">
        <f>+USD!F57*MN!$C$1</f>
        <v>915000</v>
      </c>
      <c r="G57" s="7">
        <f>+USD!G57*MN!$C$1</f>
        <v>915000</v>
      </c>
      <c r="H57" s="8">
        <f>+USD!H57*MN!$C$1</f>
        <v>0</v>
      </c>
      <c r="I57" s="7">
        <f>+USD!I57*MN!$C$1</f>
        <v>0</v>
      </c>
      <c r="J57" s="8">
        <f>+USD!J57*MN!$C$1</f>
        <v>0</v>
      </c>
      <c r="K57" s="7">
        <f>+USD!K57*MN!$C$1</f>
        <v>0</v>
      </c>
      <c r="L57" s="8">
        <f>+USD!L57*MN!$C$1</f>
        <v>0</v>
      </c>
      <c r="M57" s="7">
        <f>+USD!M57*MN!$C$1</f>
        <v>0</v>
      </c>
      <c r="N57" s="8">
        <f>+USD!N57*MN!$C$1</f>
        <v>0</v>
      </c>
    </row>
    <row r="58" spans="1:14" outlineLevel="1" x14ac:dyDescent="0.25">
      <c r="A58" s="9" t="s">
        <v>68</v>
      </c>
      <c r="B58" s="10">
        <f t="shared" si="6"/>
        <v>0</v>
      </c>
      <c r="C58" s="10">
        <f>+USD!C58*MN!$C$1</f>
        <v>0</v>
      </c>
      <c r="D58" s="10">
        <f>+USD!D58*MN!$C$1</f>
        <v>0</v>
      </c>
      <c r="E58" s="10">
        <f>+USD!E58*MN!$C$1</f>
        <v>0</v>
      </c>
      <c r="F58" s="10">
        <f>+USD!F58*MN!$C$1</f>
        <v>0</v>
      </c>
      <c r="G58" s="10">
        <f>+USD!G58*MN!$C$1</f>
        <v>0</v>
      </c>
      <c r="H58" s="10">
        <f>+USD!H58*MN!$C$1</f>
        <v>0</v>
      </c>
      <c r="I58" s="10">
        <f>+USD!I58*MN!$C$1</f>
        <v>0</v>
      </c>
      <c r="J58" s="10">
        <f>+USD!J58*MN!$C$1</f>
        <v>0</v>
      </c>
      <c r="K58" s="10">
        <f>+USD!K58*MN!$C$1</f>
        <v>0</v>
      </c>
      <c r="L58" s="10">
        <f>+USD!L58*MN!$C$1</f>
        <v>0</v>
      </c>
      <c r="M58" s="10">
        <f>+USD!M58*MN!$C$1</f>
        <v>0</v>
      </c>
      <c r="N58" s="10">
        <f>+USD!N58*MN!$C$1</f>
        <v>0</v>
      </c>
    </row>
    <row r="59" spans="1:14" outlineLevel="1" x14ac:dyDescent="0.25">
      <c r="A59" s="2" t="s">
        <v>85</v>
      </c>
      <c r="B59" s="8">
        <f t="shared" si="6"/>
        <v>0</v>
      </c>
      <c r="C59" s="7">
        <f>+USD!C59*MN!$C$1</f>
        <v>0</v>
      </c>
      <c r="D59" s="8">
        <f>+USD!D59*MN!$C$1</f>
        <v>0</v>
      </c>
      <c r="E59" s="7">
        <f>+USD!E59*MN!$C$1</f>
        <v>0</v>
      </c>
      <c r="F59" s="8">
        <f>+USD!F59*MN!$C$1</f>
        <v>0</v>
      </c>
      <c r="G59" s="7">
        <f>+USD!G59*MN!$C$1</f>
        <v>0</v>
      </c>
      <c r="H59" s="8">
        <f>+USD!H59*MN!$C$1</f>
        <v>0</v>
      </c>
      <c r="I59" s="7">
        <f>+USD!I59*MN!$C$1</f>
        <v>0</v>
      </c>
      <c r="J59" s="8">
        <f>+USD!J59*MN!$C$1</f>
        <v>0</v>
      </c>
      <c r="K59" s="7">
        <f>+USD!K59*MN!$C$1</f>
        <v>0</v>
      </c>
      <c r="L59" s="8">
        <f>+USD!L59*MN!$C$1</f>
        <v>0</v>
      </c>
      <c r="M59" s="7">
        <f>+USD!M59*MN!$C$1</f>
        <v>0</v>
      </c>
      <c r="N59" s="8">
        <f>+USD!N59*MN!$C$1</f>
        <v>0</v>
      </c>
    </row>
    <row r="60" spans="1:14" outlineLevel="1" x14ac:dyDescent="0.25">
      <c r="A60" s="9" t="s">
        <v>89</v>
      </c>
      <c r="B60" s="10">
        <f t="shared" si="6"/>
        <v>0</v>
      </c>
      <c r="C60" s="10">
        <f>+USD!C60*MN!$C$1</f>
        <v>0</v>
      </c>
      <c r="D60" s="10">
        <f>+USD!D60*MN!$C$1</f>
        <v>0</v>
      </c>
      <c r="E60" s="10">
        <f>+USD!E60*MN!$C$1</f>
        <v>0</v>
      </c>
      <c r="F60" s="10">
        <f>+USD!F60*MN!$C$1</f>
        <v>0</v>
      </c>
      <c r="G60" s="10">
        <f>+USD!G60*MN!$C$1</f>
        <v>0</v>
      </c>
      <c r="H60" s="10">
        <f>+USD!H60*MN!$C$1</f>
        <v>0</v>
      </c>
      <c r="I60" s="10">
        <f>+USD!I60*MN!$C$1</f>
        <v>0</v>
      </c>
      <c r="J60" s="10">
        <f>+USD!J60*MN!$C$1</f>
        <v>0</v>
      </c>
      <c r="K60" s="10">
        <f>+USD!K60*MN!$C$1</f>
        <v>0</v>
      </c>
      <c r="L60" s="10">
        <f>+USD!L60*MN!$C$1</f>
        <v>0</v>
      </c>
      <c r="M60" s="10">
        <f>+USD!M60*MN!$C$1</f>
        <v>0</v>
      </c>
      <c r="N60" s="10">
        <f>+USD!N60*MN!$C$1</f>
        <v>0</v>
      </c>
    </row>
    <row r="61" spans="1:14" outlineLevel="1" x14ac:dyDescent="0.25">
      <c r="A61" s="2" t="s">
        <v>90</v>
      </c>
      <c r="B61" s="8">
        <f t="shared" si="6"/>
        <v>0</v>
      </c>
      <c r="C61" s="7">
        <f>+USD!C61*MN!$C$1</f>
        <v>0</v>
      </c>
      <c r="D61" s="8">
        <f>+USD!D61*MN!$C$1</f>
        <v>0</v>
      </c>
      <c r="E61" s="7">
        <f>+USD!E61*MN!$C$1</f>
        <v>0</v>
      </c>
      <c r="F61" s="8">
        <f>+USD!F61*MN!$C$1</f>
        <v>0</v>
      </c>
      <c r="G61" s="7">
        <f>+USD!G61*MN!$C$1</f>
        <v>0</v>
      </c>
      <c r="H61" s="8">
        <f>+USD!H61*MN!$C$1</f>
        <v>0</v>
      </c>
      <c r="I61" s="7">
        <f>+USD!I61*MN!$C$1</f>
        <v>0</v>
      </c>
      <c r="J61" s="8">
        <f>+USD!J61*MN!$C$1</f>
        <v>0</v>
      </c>
      <c r="K61" s="7">
        <f>+USD!K61*MN!$C$1</f>
        <v>0</v>
      </c>
      <c r="L61" s="8">
        <f>+USD!L61*MN!$C$1</f>
        <v>0</v>
      </c>
      <c r="M61" s="7">
        <f>+USD!M61*MN!$C$1</f>
        <v>0</v>
      </c>
      <c r="N61" s="8">
        <f>+USD!N61*MN!$C$1</f>
        <v>0</v>
      </c>
    </row>
    <row r="62" spans="1:14" outlineLevel="1" x14ac:dyDescent="0.25">
      <c r="A62" s="9" t="s">
        <v>86</v>
      </c>
      <c r="B62" s="10">
        <f t="shared" si="6"/>
        <v>0</v>
      </c>
      <c r="C62" s="10">
        <f>+USD!C62*MN!$C$1</f>
        <v>0</v>
      </c>
      <c r="D62" s="10">
        <f>+USD!D62*MN!$C$1</f>
        <v>0</v>
      </c>
      <c r="E62" s="10">
        <f>+USD!E62*MN!$C$1</f>
        <v>0</v>
      </c>
      <c r="F62" s="10">
        <f>+USD!F62*MN!$C$1</f>
        <v>0</v>
      </c>
      <c r="G62" s="10">
        <f>+USD!G62*MN!$C$1</f>
        <v>0</v>
      </c>
      <c r="H62" s="10">
        <f>+USD!H62*MN!$C$1</f>
        <v>0</v>
      </c>
      <c r="I62" s="10">
        <f>+USD!I62*MN!$C$1</f>
        <v>0</v>
      </c>
      <c r="J62" s="10">
        <f>+USD!J62*MN!$C$1</f>
        <v>0</v>
      </c>
      <c r="K62" s="10">
        <f>+USD!K62*MN!$C$1</f>
        <v>0</v>
      </c>
      <c r="L62" s="10">
        <f>+USD!L62*MN!$C$1</f>
        <v>0</v>
      </c>
      <c r="M62" s="10">
        <f>+USD!M62*MN!$C$1</f>
        <v>0</v>
      </c>
      <c r="N62" s="10">
        <f>+USD!N62*MN!$C$1</f>
        <v>0</v>
      </c>
    </row>
    <row r="63" spans="1:14" outlineLevel="1" x14ac:dyDescent="0.25">
      <c r="A63" s="2" t="s">
        <v>91</v>
      </c>
      <c r="B63" s="8">
        <f t="shared" si="6"/>
        <v>0</v>
      </c>
      <c r="C63" s="7">
        <f>+USD!C63*MN!$C$1</f>
        <v>0</v>
      </c>
      <c r="D63" s="8">
        <f>+USD!D63*MN!$C$1</f>
        <v>0</v>
      </c>
      <c r="E63" s="7">
        <f>+USD!E63*MN!$C$1</f>
        <v>0</v>
      </c>
      <c r="F63" s="8">
        <f>+USD!F63*MN!$C$1</f>
        <v>0</v>
      </c>
      <c r="G63" s="7">
        <f>+USD!G63*MN!$C$1</f>
        <v>0</v>
      </c>
      <c r="H63" s="8">
        <f>+USD!H63*MN!$C$1</f>
        <v>0</v>
      </c>
      <c r="I63" s="7">
        <f>+USD!I63*MN!$C$1</f>
        <v>0</v>
      </c>
      <c r="J63" s="8">
        <f>+USD!J63*MN!$C$1</f>
        <v>0</v>
      </c>
      <c r="K63" s="7">
        <f>+USD!K63*MN!$C$1</f>
        <v>0</v>
      </c>
      <c r="L63" s="8">
        <f>+USD!L63*MN!$C$1</f>
        <v>0</v>
      </c>
      <c r="M63" s="7">
        <f>+USD!M63*MN!$C$1</f>
        <v>0</v>
      </c>
      <c r="N63" s="8">
        <f>+USD!N63*MN!$C$1</f>
        <v>0</v>
      </c>
    </row>
    <row r="64" spans="1:14" outlineLevel="1" x14ac:dyDescent="0.25">
      <c r="A64" s="9" t="s">
        <v>92</v>
      </c>
      <c r="B64" s="10">
        <f t="shared" si="6"/>
        <v>0</v>
      </c>
      <c r="C64" s="10">
        <f>+USD!C64*MN!$C$1</f>
        <v>0</v>
      </c>
      <c r="D64" s="10">
        <f>+USD!D64*MN!$C$1</f>
        <v>0</v>
      </c>
      <c r="E64" s="10">
        <f>+USD!E64*MN!$C$1</f>
        <v>0</v>
      </c>
      <c r="F64" s="10">
        <f>+USD!F64*MN!$C$1</f>
        <v>0</v>
      </c>
      <c r="G64" s="10">
        <f>+USD!G64*MN!$C$1</f>
        <v>0</v>
      </c>
      <c r="H64" s="10">
        <f>+USD!H64*MN!$C$1</f>
        <v>0</v>
      </c>
      <c r="I64" s="10">
        <f>+USD!I64*MN!$C$1</f>
        <v>0</v>
      </c>
      <c r="J64" s="10">
        <f>+USD!J64*MN!$C$1</f>
        <v>0</v>
      </c>
      <c r="K64" s="10">
        <f>+USD!K64*MN!$C$1</f>
        <v>0</v>
      </c>
      <c r="L64" s="10">
        <f>+USD!L64*MN!$C$1</f>
        <v>0</v>
      </c>
      <c r="M64" s="10">
        <f>+USD!M64*MN!$C$1</f>
        <v>0</v>
      </c>
      <c r="N64" s="10">
        <f>+USD!N64*MN!$C$1</f>
        <v>0</v>
      </c>
    </row>
    <row r="65" spans="1:16" outlineLevel="1" x14ac:dyDescent="0.25">
      <c r="A65" s="2" t="s">
        <v>80</v>
      </c>
      <c r="B65" s="8">
        <f t="shared" si="6"/>
        <v>0</v>
      </c>
      <c r="C65" s="7">
        <f>+USD!C65*MN!$C$1</f>
        <v>0</v>
      </c>
      <c r="D65" s="8">
        <f>+USD!D65*MN!$C$1</f>
        <v>0</v>
      </c>
      <c r="E65" s="7">
        <f>+USD!E65*MN!$C$1</f>
        <v>0</v>
      </c>
      <c r="F65" s="8">
        <f>+USD!F65*MN!$C$1</f>
        <v>0</v>
      </c>
      <c r="G65" s="7">
        <f>+USD!G65*MN!$C$1</f>
        <v>0</v>
      </c>
      <c r="H65" s="8">
        <f>+USD!H65*MN!$C$1</f>
        <v>0</v>
      </c>
      <c r="I65" s="7">
        <f>+USD!I65*MN!$C$1</f>
        <v>0</v>
      </c>
      <c r="J65" s="8">
        <f>+USD!J65*MN!$C$1</f>
        <v>0</v>
      </c>
      <c r="K65" s="7">
        <f>+USD!K65*MN!$C$1</f>
        <v>0</v>
      </c>
      <c r="L65" s="8">
        <f>+USD!L65*MN!$C$1</f>
        <v>0</v>
      </c>
      <c r="M65" s="7">
        <f>+USD!M65*MN!$C$1</f>
        <v>0</v>
      </c>
      <c r="N65" s="8">
        <f>+USD!N65*MN!$C$1</f>
        <v>0</v>
      </c>
    </row>
    <row r="66" spans="1:16" outlineLevel="1" x14ac:dyDescent="0.25">
      <c r="A66" s="9" t="s">
        <v>81</v>
      </c>
      <c r="B66" s="10">
        <f t="shared" si="6"/>
        <v>1098000</v>
      </c>
      <c r="C66" s="10">
        <f>+USD!C66*MN!$C$1</f>
        <v>0</v>
      </c>
      <c r="D66" s="10">
        <f>+USD!D66*MN!$C$1</f>
        <v>274500</v>
      </c>
      <c r="E66" s="10">
        <f>+USD!E66*MN!$C$1</f>
        <v>0</v>
      </c>
      <c r="F66" s="10">
        <f>+USD!F66*MN!$C$1</f>
        <v>0</v>
      </c>
      <c r="G66" s="10">
        <f>+USD!G66*MN!$C$1</f>
        <v>0</v>
      </c>
      <c r="H66" s="10">
        <f>+USD!H66*MN!$C$1</f>
        <v>0</v>
      </c>
      <c r="I66" s="10">
        <f>+USD!I66*MN!$C$1</f>
        <v>274500</v>
      </c>
      <c r="J66" s="10">
        <f>+USD!J66*MN!$C$1</f>
        <v>0</v>
      </c>
      <c r="K66" s="10">
        <f>+USD!K66*MN!$C$1</f>
        <v>274500</v>
      </c>
      <c r="L66" s="10">
        <f>+USD!L66*MN!$C$1</f>
        <v>0</v>
      </c>
      <c r="M66" s="10">
        <f>+USD!M66*MN!$C$1</f>
        <v>274500</v>
      </c>
      <c r="N66" s="10">
        <f>+USD!N66*MN!$C$1</f>
        <v>0</v>
      </c>
    </row>
    <row r="67" spans="1:16" outlineLevel="1" x14ac:dyDescent="0.25">
      <c r="A67" s="2" t="s">
        <v>82</v>
      </c>
      <c r="B67" s="8">
        <f t="shared" si="6"/>
        <v>0</v>
      </c>
      <c r="C67" s="7">
        <f>+USD!C67*MN!$C$1</f>
        <v>0</v>
      </c>
      <c r="D67" s="8">
        <f>+USD!D67*MN!$C$1</f>
        <v>0</v>
      </c>
      <c r="E67" s="7">
        <f>+USD!E67*MN!$C$1</f>
        <v>0</v>
      </c>
      <c r="F67" s="8">
        <f>+USD!F67*MN!$C$1</f>
        <v>0</v>
      </c>
      <c r="G67" s="7">
        <f>+USD!G67*MN!$C$1</f>
        <v>0</v>
      </c>
      <c r="H67" s="8">
        <f>+USD!H67*MN!$C$1</f>
        <v>0</v>
      </c>
      <c r="I67" s="7">
        <f>+USD!I67*MN!$C$1</f>
        <v>0</v>
      </c>
      <c r="J67" s="8">
        <f>+USD!J67*MN!$C$1</f>
        <v>0</v>
      </c>
      <c r="K67" s="7">
        <f>+USD!K67*MN!$C$1</f>
        <v>0</v>
      </c>
      <c r="L67" s="8">
        <f>+USD!L67*MN!$C$1</f>
        <v>0</v>
      </c>
      <c r="M67" s="7">
        <f>+USD!M67*MN!$C$1</f>
        <v>0</v>
      </c>
      <c r="N67" s="8">
        <f>+USD!N67*MN!$C$1</f>
        <v>0</v>
      </c>
    </row>
    <row r="68" spans="1:16" outlineLevel="1" x14ac:dyDescent="0.25">
      <c r="A68" s="9" t="s">
        <v>83</v>
      </c>
      <c r="B68" s="10">
        <f t="shared" si="6"/>
        <v>0</v>
      </c>
      <c r="C68" s="10">
        <f>+USD!C68*MN!$C$1</f>
        <v>0</v>
      </c>
      <c r="D68" s="10">
        <f>+USD!D68*MN!$C$1</f>
        <v>0</v>
      </c>
      <c r="E68" s="10">
        <f>+USD!E68*MN!$C$1</f>
        <v>0</v>
      </c>
      <c r="F68" s="10">
        <f>+USD!F68*MN!$C$1</f>
        <v>0</v>
      </c>
      <c r="G68" s="10">
        <f>+USD!G68*MN!$C$1</f>
        <v>0</v>
      </c>
      <c r="H68" s="10">
        <f>+USD!H68*MN!$C$1</f>
        <v>0</v>
      </c>
      <c r="I68" s="10">
        <f>+USD!I68*MN!$C$1</f>
        <v>0</v>
      </c>
      <c r="J68" s="10">
        <f>+USD!J68*MN!$C$1</f>
        <v>0</v>
      </c>
      <c r="K68" s="10">
        <f>+USD!K68*MN!$C$1</f>
        <v>0</v>
      </c>
      <c r="L68" s="10">
        <f>+USD!L68*MN!$C$1</f>
        <v>0</v>
      </c>
      <c r="M68" s="10">
        <f>+USD!M68*MN!$C$1</f>
        <v>0</v>
      </c>
      <c r="N68" s="10">
        <f>+USD!N68*MN!$C$1</f>
        <v>0</v>
      </c>
    </row>
    <row r="69" spans="1:16" outlineLevel="1" x14ac:dyDescent="0.25">
      <c r="A69" s="2" t="s">
        <v>87</v>
      </c>
      <c r="B69" s="8">
        <f t="shared" si="6"/>
        <v>0</v>
      </c>
      <c r="C69" s="7">
        <f>+USD!C69*MN!$C$1</f>
        <v>0</v>
      </c>
      <c r="D69" s="8">
        <f>+USD!D69*MN!$C$1</f>
        <v>0</v>
      </c>
      <c r="E69" s="7">
        <f>+USD!E69*MN!$C$1</f>
        <v>0</v>
      </c>
      <c r="F69" s="8">
        <f>+USD!F69*MN!$C$1</f>
        <v>0</v>
      </c>
      <c r="G69" s="7">
        <f>+USD!G69*MN!$C$1</f>
        <v>0</v>
      </c>
      <c r="H69" s="8">
        <f>+USD!H69*MN!$C$1</f>
        <v>0</v>
      </c>
      <c r="I69" s="7">
        <f>+USD!I69*MN!$C$1</f>
        <v>0</v>
      </c>
      <c r="J69" s="8">
        <f>+USD!J69*MN!$C$1</f>
        <v>0</v>
      </c>
      <c r="K69" s="7">
        <f>+USD!K69*MN!$C$1</f>
        <v>0</v>
      </c>
      <c r="L69" s="8">
        <f>+USD!L69*MN!$C$1</f>
        <v>0</v>
      </c>
      <c r="M69" s="7">
        <f>+USD!M69*MN!$C$1</f>
        <v>0</v>
      </c>
      <c r="N69" s="8">
        <f>+USD!N69*MN!$C$1</f>
        <v>0</v>
      </c>
    </row>
    <row r="70" spans="1:16" outlineLevel="1" x14ac:dyDescent="0.25">
      <c r="A70" s="9" t="s">
        <v>84</v>
      </c>
      <c r="B70" s="10">
        <f t="shared" si="6"/>
        <v>11199600</v>
      </c>
      <c r="C70" s="10">
        <f>+USD!C70*MN!$C$1</f>
        <v>2104500</v>
      </c>
      <c r="D70" s="10">
        <f>+USD!D70*MN!$C$1</f>
        <v>969900</v>
      </c>
      <c r="E70" s="10">
        <f>+USD!E70*MN!$C$1</f>
        <v>420900</v>
      </c>
      <c r="F70" s="10">
        <f>+USD!F70*MN!$C$1</f>
        <v>1244400</v>
      </c>
      <c r="G70" s="10">
        <f>+USD!G70*MN!$C$1</f>
        <v>420900</v>
      </c>
      <c r="H70" s="10">
        <f>+USD!H70*MN!$C$1</f>
        <v>1281000</v>
      </c>
      <c r="I70" s="10">
        <f>+USD!I70*MN!$C$1</f>
        <v>1189500</v>
      </c>
      <c r="J70" s="10">
        <f>+USD!J70*MN!$C$1</f>
        <v>366000</v>
      </c>
      <c r="K70" s="10">
        <f>+USD!K70*MN!$C$1</f>
        <v>366000</v>
      </c>
      <c r="L70" s="10">
        <f>+USD!L70*MN!$C$1</f>
        <v>1189500</v>
      </c>
      <c r="M70" s="10">
        <f>+USD!M70*MN!$C$1</f>
        <v>1281000</v>
      </c>
      <c r="N70" s="10">
        <f>+USD!N70*MN!$C$1</f>
        <v>366000</v>
      </c>
    </row>
    <row r="71" spans="1:16" outlineLevel="1" x14ac:dyDescent="0.25">
      <c r="A71" s="2" t="s">
        <v>88</v>
      </c>
      <c r="B71" s="8">
        <f t="shared" si="6"/>
        <v>0</v>
      </c>
      <c r="C71" s="7">
        <f>+USD!C71*MN!$C$1</f>
        <v>0</v>
      </c>
      <c r="D71" s="8">
        <f>+USD!D71*MN!$C$1</f>
        <v>0</v>
      </c>
      <c r="E71" s="7">
        <f>+USD!E71*MN!$C$1</f>
        <v>0</v>
      </c>
      <c r="F71" s="8">
        <f>+USD!F71*MN!$C$1</f>
        <v>0</v>
      </c>
      <c r="G71" s="7">
        <f>+USD!G71*MN!$C$1</f>
        <v>0</v>
      </c>
      <c r="H71" s="8">
        <f>+USD!H71*MN!$C$1</f>
        <v>0</v>
      </c>
      <c r="I71" s="7">
        <f>+USD!I71*MN!$C$1</f>
        <v>0</v>
      </c>
      <c r="J71" s="8">
        <f>+USD!J71*MN!$C$1</f>
        <v>0</v>
      </c>
      <c r="K71" s="7">
        <f>+USD!K71*MN!$C$1</f>
        <v>0</v>
      </c>
      <c r="L71" s="8">
        <f>+USD!L71*MN!$C$1</f>
        <v>0</v>
      </c>
      <c r="M71" s="7">
        <f>+USD!M71*MN!$C$1</f>
        <v>0</v>
      </c>
      <c r="N71" s="8">
        <f>+USD!N71*MN!$C$1</f>
        <v>0</v>
      </c>
    </row>
    <row r="72" spans="1:16" outlineLevel="1" x14ac:dyDescent="0.25">
      <c r="A72" s="9" t="s">
        <v>69</v>
      </c>
      <c r="B72" s="10">
        <f t="shared" si="6"/>
        <v>0</v>
      </c>
      <c r="C72" s="10">
        <f>+USD!C72*MN!$C$1</f>
        <v>0</v>
      </c>
      <c r="D72" s="10">
        <f>+USD!D72*MN!$C$1</f>
        <v>0</v>
      </c>
      <c r="E72" s="10">
        <f>+USD!E72*MN!$C$1</f>
        <v>0</v>
      </c>
      <c r="F72" s="10">
        <f>+USD!F72*MN!$C$1</f>
        <v>0</v>
      </c>
      <c r="G72" s="10">
        <f>+USD!G72*MN!$C$1</f>
        <v>0</v>
      </c>
      <c r="H72" s="10">
        <f>+USD!H72*MN!$C$1</f>
        <v>0</v>
      </c>
      <c r="I72" s="10">
        <f>+USD!I72*MN!$C$1</f>
        <v>0</v>
      </c>
      <c r="J72" s="10">
        <f>+USD!J72*MN!$C$1</f>
        <v>0</v>
      </c>
      <c r="K72" s="10">
        <f>+USD!K72*MN!$C$1</f>
        <v>0</v>
      </c>
      <c r="L72" s="10">
        <f>+USD!L72*MN!$C$1</f>
        <v>0</v>
      </c>
      <c r="M72" s="10">
        <f>+USD!M72*MN!$C$1</f>
        <v>0</v>
      </c>
      <c r="N72" s="10">
        <f>+USD!N72*MN!$C$1</f>
        <v>0</v>
      </c>
    </row>
    <row r="73" spans="1:16" outlineLevel="1" x14ac:dyDescent="0.25">
      <c r="A73" s="2" t="s">
        <v>70</v>
      </c>
      <c r="B73" s="8">
        <f t="shared" si="6"/>
        <v>0</v>
      </c>
      <c r="C73" s="7">
        <f>+USD!C73*MN!$C$1</f>
        <v>0</v>
      </c>
      <c r="D73" s="8">
        <f>+USD!D73*MN!$C$1</f>
        <v>0</v>
      </c>
      <c r="E73" s="7">
        <f>+USD!E73*MN!$C$1</f>
        <v>0</v>
      </c>
      <c r="F73" s="8">
        <f>+USD!F73*MN!$C$1</f>
        <v>0</v>
      </c>
      <c r="G73" s="7">
        <f>+USD!G73*MN!$C$1</f>
        <v>0</v>
      </c>
      <c r="H73" s="8">
        <f>+USD!H73*MN!$C$1</f>
        <v>0</v>
      </c>
      <c r="I73" s="7">
        <f>+USD!I73*MN!$C$1</f>
        <v>0</v>
      </c>
      <c r="J73" s="8">
        <f>+USD!J73*MN!$C$1</f>
        <v>0</v>
      </c>
      <c r="K73" s="7">
        <f>+USD!K73*MN!$C$1</f>
        <v>0</v>
      </c>
      <c r="L73" s="8">
        <f>+USD!L73*MN!$C$1</f>
        <v>0</v>
      </c>
      <c r="M73" s="7">
        <f>+USD!M73*MN!$C$1</f>
        <v>0</v>
      </c>
      <c r="N73" s="8">
        <f>+USD!N73*MN!$C$1</f>
        <v>0</v>
      </c>
    </row>
    <row r="74" spans="1:16" outlineLevel="1" x14ac:dyDescent="0.25">
      <c r="A74" s="9" t="s">
        <v>71</v>
      </c>
      <c r="B74" s="10">
        <f t="shared" si="6"/>
        <v>16287000</v>
      </c>
      <c r="C74" s="10">
        <f>+USD!C74*MN!$C$1</f>
        <v>3660000</v>
      </c>
      <c r="D74" s="10">
        <f>+USD!D74*MN!$C$1</f>
        <v>5307000</v>
      </c>
      <c r="E74" s="10">
        <f>+USD!E74*MN!$C$1</f>
        <v>3660000</v>
      </c>
      <c r="F74" s="10">
        <f>+USD!F74*MN!$C$1</f>
        <v>3660000</v>
      </c>
      <c r="G74" s="10">
        <f>+USD!G74*MN!$C$1</f>
        <v>0</v>
      </c>
      <c r="H74" s="10">
        <f>+USD!H74*MN!$C$1</f>
        <v>0</v>
      </c>
      <c r="I74" s="10">
        <f>+USD!I74*MN!$C$1</f>
        <v>0</v>
      </c>
      <c r="J74" s="10">
        <f>+USD!J74*MN!$C$1</f>
        <v>0</v>
      </c>
      <c r="K74" s="10">
        <f>+USD!K74*MN!$C$1</f>
        <v>0</v>
      </c>
      <c r="L74" s="10">
        <f>+USD!L74*MN!$C$1</f>
        <v>0</v>
      </c>
      <c r="M74" s="10">
        <f>+USD!M74*MN!$C$1</f>
        <v>0</v>
      </c>
      <c r="N74" s="10">
        <f>+USD!N74*MN!$C$1</f>
        <v>0</v>
      </c>
    </row>
    <row r="75" spans="1:16" outlineLevel="1" x14ac:dyDescent="0.25">
      <c r="A75" s="2" t="s">
        <v>72</v>
      </c>
      <c r="B75" s="8">
        <f t="shared" si="6"/>
        <v>0</v>
      </c>
      <c r="C75" s="7">
        <f>+USD!C75*MN!$C$1</f>
        <v>0</v>
      </c>
      <c r="D75" s="8">
        <f>+USD!D75*MN!$C$1</f>
        <v>0</v>
      </c>
      <c r="E75" s="7">
        <f>+USD!E75*MN!$C$1</f>
        <v>0</v>
      </c>
      <c r="F75" s="8">
        <f>+USD!F75*MN!$C$1</f>
        <v>0</v>
      </c>
      <c r="G75" s="7">
        <f>+USD!G75*MN!$C$1</f>
        <v>0</v>
      </c>
      <c r="H75" s="8">
        <f>+USD!H75*MN!$C$1</f>
        <v>0</v>
      </c>
      <c r="I75" s="7">
        <f>+USD!I75*MN!$C$1</f>
        <v>0</v>
      </c>
      <c r="J75" s="8">
        <f>+USD!J75*MN!$C$1</f>
        <v>0</v>
      </c>
      <c r="K75" s="7">
        <f>+USD!K75*MN!$C$1</f>
        <v>0</v>
      </c>
      <c r="L75" s="8">
        <f>+USD!L75*MN!$C$1</f>
        <v>0</v>
      </c>
      <c r="M75" s="7">
        <f>+USD!M75*MN!$C$1</f>
        <v>0</v>
      </c>
      <c r="N75" s="8">
        <f>+USD!N75*MN!$C$1</f>
        <v>0</v>
      </c>
    </row>
    <row r="76" spans="1:16" s="5" customFormat="1" x14ac:dyDescent="0.25">
      <c r="A76" s="13" t="s">
        <v>23</v>
      </c>
      <c r="B76" s="14">
        <f>SUM(B41:B75)</f>
        <v>54518160</v>
      </c>
      <c r="C76" s="14">
        <f>SUM(C41:C75)</f>
        <v>10193100</v>
      </c>
      <c r="D76" s="14">
        <f>SUM(D41:D75)</f>
        <v>16527360</v>
      </c>
      <c r="E76" s="14">
        <f t="shared" ref="E76:N76" si="9">SUM(E41:E75)</f>
        <v>7960500</v>
      </c>
      <c r="F76" s="14">
        <f t="shared" si="9"/>
        <v>8784000</v>
      </c>
      <c r="G76" s="14">
        <f t="shared" si="9"/>
        <v>2104500</v>
      </c>
      <c r="H76" s="14">
        <f t="shared" si="9"/>
        <v>1500600</v>
      </c>
      <c r="I76" s="14">
        <f t="shared" si="9"/>
        <v>1683600</v>
      </c>
      <c r="J76" s="14">
        <f t="shared" si="9"/>
        <v>585600</v>
      </c>
      <c r="K76" s="14">
        <f t="shared" si="9"/>
        <v>1409100</v>
      </c>
      <c r="L76" s="14">
        <f t="shared" si="9"/>
        <v>1409100</v>
      </c>
      <c r="M76" s="14">
        <f t="shared" si="9"/>
        <v>1775100</v>
      </c>
      <c r="N76" s="14">
        <f t="shared" si="9"/>
        <v>585600</v>
      </c>
      <c r="P76" s="12"/>
    </row>
    <row r="77" spans="1:16" outlineLevel="1" x14ac:dyDescent="0.25">
      <c r="A77" s="2" t="s">
        <v>93</v>
      </c>
      <c r="B77" s="8">
        <f t="shared" si="6"/>
        <v>0</v>
      </c>
      <c r="C77" s="7">
        <f>+USD!C77*MN!$C$1</f>
        <v>0</v>
      </c>
      <c r="D77" s="7"/>
      <c r="E77" s="7"/>
      <c r="F77" s="7"/>
      <c r="G77" s="7"/>
      <c r="H77" s="7"/>
      <c r="I77" s="7"/>
      <c r="J77" s="7"/>
      <c r="K77" s="7"/>
      <c r="L77" s="7"/>
      <c r="M77" s="7"/>
      <c r="N77" s="7"/>
    </row>
    <row r="78" spans="1:16" s="5" customFormat="1" x14ac:dyDescent="0.25">
      <c r="A78" s="13" t="s">
        <v>24</v>
      </c>
      <c r="B78" s="14">
        <f>B77</f>
        <v>0</v>
      </c>
      <c r="C78" s="14">
        <f t="shared" ref="C78:N78" si="10">C77</f>
        <v>0</v>
      </c>
      <c r="D78" s="14">
        <f t="shared" si="10"/>
        <v>0</v>
      </c>
      <c r="E78" s="14">
        <f t="shared" si="10"/>
        <v>0</v>
      </c>
      <c r="F78" s="14">
        <f t="shared" si="10"/>
        <v>0</v>
      </c>
      <c r="G78" s="14">
        <f t="shared" si="10"/>
        <v>0</v>
      </c>
      <c r="H78" s="14">
        <f t="shared" si="10"/>
        <v>0</v>
      </c>
      <c r="I78" s="14">
        <f t="shared" si="10"/>
        <v>0</v>
      </c>
      <c r="J78" s="14">
        <f t="shared" si="10"/>
        <v>0</v>
      </c>
      <c r="K78" s="14">
        <f t="shared" si="10"/>
        <v>0</v>
      </c>
      <c r="L78" s="14">
        <f t="shared" si="10"/>
        <v>0</v>
      </c>
      <c r="M78" s="14">
        <f t="shared" si="10"/>
        <v>0</v>
      </c>
      <c r="N78" s="14">
        <f t="shared" si="10"/>
        <v>0</v>
      </c>
      <c r="P78" s="12"/>
    </row>
    <row r="79" spans="1:16" s="5" customFormat="1" x14ac:dyDescent="0.25">
      <c r="A79" s="13" t="s">
        <v>25</v>
      </c>
      <c r="B79" s="14">
        <f>SUM(C79:N79)</f>
        <v>73422002.044999868</v>
      </c>
      <c r="C79" s="14">
        <f>+USD!C79*MN!$C$1</f>
        <v>5337502.0533333281</v>
      </c>
      <c r="D79" s="14">
        <f>+USD!D79*MN!$C$1</f>
        <v>5372797.7416666616</v>
      </c>
      <c r="E79" s="14">
        <f>+USD!E79*MN!$C$1</f>
        <v>6271170.2249999875</v>
      </c>
      <c r="F79" s="14">
        <f>+USD!F79*MN!$C$1</f>
        <v>6271170.2249999875</v>
      </c>
      <c r="G79" s="14">
        <f>+USD!G79*MN!$C$1</f>
        <v>6271170.2249999875</v>
      </c>
      <c r="H79" s="14">
        <f>+USD!H79*MN!$C$1</f>
        <v>6271170.2249999875</v>
      </c>
      <c r="I79" s="14">
        <f>+USD!I79*MN!$C$1</f>
        <v>6271170.2249999875</v>
      </c>
      <c r="J79" s="14">
        <f>+USD!J79*MN!$C$1</f>
        <v>6271170.2249999875</v>
      </c>
      <c r="K79" s="14">
        <f>+USD!K79*MN!$C$1</f>
        <v>6271170.2249999875</v>
      </c>
      <c r="L79" s="14">
        <f>+USD!L79*MN!$C$1</f>
        <v>6271170.2249999875</v>
      </c>
      <c r="M79" s="14">
        <f>+USD!M79*MN!$C$1</f>
        <v>6271170.2249999875</v>
      </c>
      <c r="N79" s="14">
        <f>+USD!N79*MN!$C$1</f>
        <v>6271170.2249999875</v>
      </c>
      <c r="P79" s="12"/>
    </row>
    <row r="80" spans="1:16" outlineLevel="1" x14ac:dyDescent="0.25">
      <c r="A80" s="2" t="s">
        <v>94</v>
      </c>
      <c r="B80" s="8">
        <f t="shared" ref="B80:B143" si="11">SUM(C80:N80)</f>
        <v>117800</v>
      </c>
      <c r="C80" s="7">
        <f>+USD!C80*MN!$C$1</f>
        <v>9400</v>
      </c>
      <c r="D80" s="7">
        <f>+USD!D80*MN!$C$1</f>
        <v>9400</v>
      </c>
      <c r="E80" s="7">
        <f>+USD!E80*MN!$C$1</f>
        <v>9900.0000000000018</v>
      </c>
      <c r="F80" s="7">
        <f>+USD!F80*MN!$C$1</f>
        <v>9900.0000000000018</v>
      </c>
      <c r="G80" s="7">
        <f>+USD!G80*MN!$C$1</f>
        <v>9900.0000000000018</v>
      </c>
      <c r="H80" s="7">
        <f>+USD!H80*MN!$C$1</f>
        <v>9900.0000000000018</v>
      </c>
      <c r="I80" s="7">
        <f>+USD!I80*MN!$C$1</f>
        <v>9900.0000000000018</v>
      </c>
      <c r="J80" s="7">
        <f>+USD!J80*MN!$C$1</f>
        <v>9900.0000000000018</v>
      </c>
      <c r="K80" s="7">
        <f>+USD!K80*MN!$C$1</f>
        <v>9900.0000000000018</v>
      </c>
      <c r="L80" s="7">
        <f>+USD!L80*MN!$C$1</f>
        <v>9900.0000000000018</v>
      </c>
      <c r="M80" s="7">
        <f>+USD!M80*MN!$C$1</f>
        <v>9900.0000000000018</v>
      </c>
      <c r="N80" s="7">
        <f>+USD!N80*MN!$C$1</f>
        <v>9900.0000000000018</v>
      </c>
    </row>
    <row r="81" spans="1:16" outlineLevel="1" x14ac:dyDescent="0.25">
      <c r="A81" s="9" t="s">
        <v>95</v>
      </c>
      <c r="B81" s="10">
        <f t="shared" si="11"/>
        <v>0</v>
      </c>
      <c r="C81" s="10">
        <f>+USD!C81*MN!$C$1</f>
        <v>0</v>
      </c>
      <c r="D81" s="10">
        <f>+USD!D81*MN!$C$1</f>
        <v>0</v>
      </c>
      <c r="E81" s="10">
        <f>+USD!E81*MN!$C$1</f>
        <v>0</v>
      </c>
      <c r="F81" s="10">
        <f>+USD!F81*MN!$C$1</f>
        <v>0</v>
      </c>
      <c r="G81" s="10">
        <f>+USD!G81*MN!$C$1</f>
        <v>0</v>
      </c>
      <c r="H81" s="10">
        <f>+USD!H81*MN!$C$1</f>
        <v>0</v>
      </c>
      <c r="I81" s="10">
        <f>+USD!I81*MN!$C$1</f>
        <v>0</v>
      </c>
      <c r="J81" s="10">
        <f>+USD!J81*MN!$C$1</f>
        <v>0</v>
      </c>
      <c r="K81" s="10">
        <f>+USD!K81*MN!$C$1</f>
        <v>0</v>
      </c>
      <c r="L81" s="10">
        <f>+USD!L81*MN!$C$1</f>
        <v>0</v>
      </c>
      <c r="M81" s="10">
        <f>+USD!M81*MN!$C$1</f>
        <v>0</v>
      </c>
      <c r="N81" s="10">
        <f>+USD!N81*MN!$C$1</f>
        <v>0</v>
      </c>
    </row>
    <row r="82" spans="1:16" outlineLevel="1" x14ac:dyDescent="0.25">
      <c r="A82" s="2" t="s">
        <v>96</v>
      </c>
      <c r="B82" s="8">
        <f t="shared" si="11"/>
        <v>0</v>
      </c>
      <c r="C82" s="7">
        <f>+USD!C82*MN!$C$1</f>
        <v>0</v>
      </c>
      <c r="D82" s="8">
        <f>+USD!D82*MN!$C$1</f>
        <v>0</v>
      </c>
      <c r="E82" s="7">
        <f>+USD!E82*MN!$C$1</f>
        <v>0</v>
      </c>
      <c r="F82" s="8">
        <f>+USD!F82*MN!$C$1</f>
        <v>0</v>
      </c>
      <c r="G82" s="7">
        <f>+USD!G82*MN!$C$1</f>
        <v>0</v>
      </c>
      <c r="H82" s="8">
        <f>+USD!H82*MN!$C$1</f>
        <v>0</v>
      </c>
      <c r="I82" s="7">
        <f>+USD!I82*MN!$C$1</f>
        <v>0</v>
      </c>
      <c r="J82" s="8">
        <f>+USD!J82*MN!$C$1</f>
        <v>0</v>
      </c>
      <c r="K82" s="7">
        <f>+USD!K82*MN!$C$1</f>
        <v>0</v>
      </c>
      <c r="L82" s="8">
        <f>+USD!L82*MN!$C$1</f>
        <v>0</v>
      </c>
      <c r="M82" s="7">
        <f>+USD!M82*MN!$C$1</f>
        <v>0</v>
      </c>
      <c r="N82" s="8">
        <f>+USD!N82*MN!$C$1</f>
        <v>0</v>
      </c>
    </row>
    <row r="83" spans="1:16" s="5" customFormat="1" x14ac:dyDescent="0.25">
      <c r="A83" s="13" t="s">
        <v>26</v>
      </c>
      <c r="B83" s="14">
        <f>SUM(B80:B82)</f>
        <v>117800</v>
      </c>
      <c r="C83" s="14">
        <f t="shared" ref="C83:N83" si="12">SUM(C80:C82)</f>
        <v>9400</v>
      </c>
      <c r="D83" s="14">
        <f t="shared" si="12"/>
        <v>9400</v>
      </c>
      <c r="E83" s="14">
        <f t="shared" si="12"/>
        <v>9900.0000000000018</v>
      </c>
      <c r="F83" s="14">
        <f t="shared" si="12"/>
        <v>9900.0000000000018</v>
      </c>
      <c r="G83" s="14">
        <f t="shared" si="12"/>
        <v>9900.0000000000018</v>
      </c>
      <c r="H83" s="14">
        <f t="shared" si="12"/>
        <v>9900.0000000000018</v>
      </c>
      <c r="I83" s="14">
        <f t="shared" si="12"/>
        <v>9900.0000000000018</v>
      </c>
      <c r="J83" s="14">
        <f t="shared" si="12"/>
        <v>9900.0000000000018</v>
      </c>
      <c r="K83" s="14">
        <f t="shared" si="12"/>
        <v>9900.0000000000018</v>
      </c>
      <c r="L83" s="14">
        <f t="shared" si="12"/>
        <v>9900.0000000000018</v>
      </c>
      <c r="M83" s="14">
        <f t="shared" si="12"/>
        <v>9900.0000000000018</v>
      </c>
      <c r="N83" s="14">
        <f t="shared" si="12"/>
        <v>9900.0000000000018</v>
      </c>
      <c r="P83" s="12"/>
    </row>
    <row r="84" spans="1:16" outlineLevel="1" x14ac:dyDescent="0.25">
      <c r="A84" s="2" t="s">
        <v>165</v>
      </c>
      <c r="B84" s="8">
        <f t="shared" si="11"/>
        <v>0</v>
      </c>
      <c r="C84" s="7">
        <f>+USD!C84*MN!$C$1</f>
        <v>0</v>
      </c>
      <c r="D84" s="7">
        <f>+USD!D84*MN!$C$1</f>
        <v>0</v>
      </c>
      <c r="E84" s="7">
        <f>+USD!E84*MN!$C$1</f>
        <v>0</v>
      </c>
      <c r="F84" s="7">
        <f>+USD!F84*MN!$C$1</f>
        <v>0</v>
      </c>
      <c r="G84" s="7">
        <f>+USD!G84*MN!$C$1</f>
        <v>0</v>
      </c>
      <c r="H84" s="7">
        <f>+USD!H84*MN!$C$1</f>
        <v>0</v>
      </c>
      <c r="I84" s="7">
        <f>+USD!I84*MN!$C$1</f>
        <v>0</v>
      </c>
      <c r="J84" s="7">
        <f>+USD!J84*MN!$C$1</f>
        <v>0</v>
      </c>
      <c r="K84" s="7">
        <f>+USD!K84*MN!$C$1</f>
        <v>0</v>
      </c>
      <c r="L84" s="7">
        <f>+USD!L84*MN!$C$1</f>
        <v>0</v>
      </c>
      <c r="M84" s="7">
        <f>+USD!M84*MN!$C$1</f>
        <v>0</v>
      </c>
      <c r="N84" s="7">
        <f>+USD!N84*MN!$C$1</f>
        <v>0</v>
      </c>
    </row>
    <row r="85" spans="1:16" outlineLevel="1" x14ac:dyDescent="0.25">
      <c r="A85" s="9" t="s">
        <v>128</v>
      </c>
      <c r="B85" s="10">
        <f t="shared" si="11"/>
        <v>0</v>
      </c>
      <c r="C85" s="10">
        <f>+USD!C85*MN!$C$1</f>
        <v>0</v>
      </c>
      <c r="D85" s="10">
        <f>+USD!D85*MN!$C$1</f>
        <v>0</v>
      </c>
      <c r="E85" s="10">
        <f>+USD!E85*MN!$C$1</f>
        <v>0</v>
      </c>
      <c r="F85" s="10">
        <f>+USD!F85*MN!$C$1</f>
        <v>0</v>
      </c>
      <c r="G85" s="10">
        <f>+USD!G85*MN!$C$1</f>
        <v>0</v>
      </c>
      <c r="H85" s="10">
        <f>+USD!H85*MN!$C$1</f>
        <v>0</v>
      </c>
      <c r="I85" s="10">
        <f>+USD!I85*MN!$C$1</f>
        <v>0</v>
      </c>
      <c r="J85" s="10">
        <f>+USD!J85*MN!$C$1</f>
        <v>0</v>
      </c>
      <c r="K85" s="10">
        <f>+USD!K85*MN!$C$1</f>
        <v>0</v>
      </c>
      <c r="L85" s="10">
        <f>+USD!L85*MN!$C$1</f>
        <v>0</v>
      </c>
      <c r="M85" s="10">
        <f>+USD!M85*MN!$C$1</f>
        <v>0</v>
      </c>
      <c r="N85" s="10">
        <f>+USD!N85*MN!$C$1</f>
        <v>0</v>
      </c>
    </row>
    <row r="86" spans="1:16" outlineLevel="1" x14ac:dyDescent="0.25">
      <c r="A86" s="2" t="s">
        <v>129</v>
      </c>
      <c r="B86" s="8">
        <f t="shared" si="11"/>
        <v>0</v>
      </c>
      <c r="C86" s="7">
        <f>+USD!C86*MN!$C$1</f>
        <v>0</v>
      </c>
      <c r="D86" s="7">
        <f>+USD!D86*MN!$C$1</f>
        <v>0</v>
      </c>
      <c r="E86" s="7">
        <f>+USD!E86*MN!$C$1</f>
        <v>0</v>
      </c>
      <c r="F86" s="7">
        <f>+USD!F86*MN!$C$1</f>
        <v>0</v>
      </c>
      <c r="G86" s="7">
        <f>+USD!G86*MN!$C$1</f>
        <v>0</v>
      </c>
      <c r="H86" s="7">
        <f>+USD!H86*MN!$C$1</f>
        <v>0</v>
      </c>
      <c r="I86" s="7">
        <f>+USD!I86*MN!$C$1</f>
        <v>0</v>
      </c>
      <c r="J86" s="7">
        <f>+USD!J86*MN!$C$1</f>
        <v>0</v>
      </c>
      <c r="K86" s="7">
        <f>+USD!K86*MN!$C$1</f>
        <v>0</v>
      </c>
      <c r="L86" s="7">
        <f>+USD!L86*MN!$C$1</f>
        <v>0</v>
      </c>
      <c r="M86" s="7">
        <f>+USD!M86*MN!$C$1</f>
        <v>0</v>
      </c>
      <c r="N86" s="7">
        <f>+USD!N86*MN!$C$1</f>
        <v>0</v>
      </c>
      <c r="P86" s="11" t="s">
        <v>169</v>
      </c>
    </row>
    <row r="87" spans="1:16" outlineLevel="1" x14ac:dyDescent="0.25">
      <c r="A87" s="9" t="s">
        <v>97</v>
      </c>
      <c r="B87" s="10">
        <f>SUM(C87:N87)</f>
        <v>0</v>
      </c>
      <c r="C87" s="10">
        <f>+USD!C87*MN!$C$1</f>
        <v>0</v>
      </c>
      <c r="D87" s="10">
        <f>+USD!D87*MN!$C$1</f>
        <v>0</v>
      </c>
      <c r="E87" s="10">
        <f>+USD!E87*MN!$C$1</f>
        <v>0</v>
      </c>
      <c r="F87" s="10">
        <f>+USD!F87*MN!$C$1</f>
        <v>0</v>
      </c>
      <c r="G87" s="10">
        <f>+USD!G87*MN!$C$1</f>
        <v>0</v>
      </c>
      <c r="H87" s="10">
        <f>+USD!H87*MN!$C$1</f>
        <v>0</v>
      </c>
      <c r="I87" s="10">
        <f>+USD!I87*MN!$C$1</f>
        <v>0</v>
      </c>
      <c r="J87" s="10">
        <f>+USD!J87*MN!$C$1</f>
        <v>0</v>
      </c>
      <c r="K87" s="10">
        <f>+USD!K87*MN!$C$1</f>
        <v>0</v>
      </c>
      <c r="L87" s="10">
        <f>+USD!L87*MN!$C$1</f>
        <v>0</v>
      </c>
      <c r="M87" s="10">
        <f>+USD!M87*MN!$C$1</f>
        <v>0</v>
      </c>
      <c r="N87" s="10">
        <f>+USD!N87*MN!$C$1</f>
        <v>0</v>
      </c>
    </row>
    <row r="88" spans="1:16" outlineLevel="1" x14ac:dyDescent="0.25">
      <c r="A88" s="2" t="s">
        <v>98</v>
      </c>
      <c r="B88" s="8">
        <f t="shared" si="11"/>
        <v>219600</v>
      </c>
      <c r="C88" s="7">
        <f>+USD!C88*MN!$C$1</f>
        <v>0</v>
      </c>
      <c r="D88" s="8">
        <f>+USD!D88*MN!$C$1</f>
        <v>219600</v>
      </c>
      <c r="E88" s="7">
        <f>+USD!E88*MN!$C$1</f>
        <v>0</v>
      </c>
      <c r="F88" s="8">
        <f>+USD!F88*MN!$C$1</f>
        <v>0</v>
      </c>
      <c r="G88" s="7">
        <f>+USD!G88*MN!$C$1</f>
        <v>0</v>
      </c>
      <c r="H88" s="8">
        <f>+USD!H88*MN!$C$1</f>
        <v>0</v>
      </c>
      <c r="I88" s="7">
        <f>+USD!I88*MN!$C$1</f>
        <v>0</v>
      </c>
      <c r="J88" s="8">
        <f>+USD!J88*MN!$C$1</f>
        <v>0</v>
      </c>
      <c r="K88" s="7">
        <f>+USD!K88*MN!$C$1</f>
        <v>0</v>
      </c>
      <c r="L88" s="8">
        <f>+USD!L88*MN!$C$1</f>
        <v>0</v>
      </c>
      <c r="M88" s="7">
        <f>+USD!M88*MN!$C$1</f>
        <v>0</v>
      </c>
      <c r="N88" s="8">
        <f>+USD!N88*MN!$C$1</f>
        <v>0</v>
      </c>
    </row>
    <row r="89" spans="1:16" outlineLevel="1" x14ac:dyDescent="0.25">
      <c r="A89" s="9" t="s">
        <v>99</v>
      </c>
      <c r="B89" s="10">
        <f t="shared" si="11"/>
        <v>0</v>
      </c>
      <c r="C89" s="10">
        <f>+USD!C89*MN!$C$1</f>
        <v>0</v>
      </c>
      <c r="D89" s="10">
        <f>+USD!D89*MN!$C$1</f>
        <v>0</v>
      </c>
      <c r="E89" s="10">
        <f>+USD!E89*MN!$C$1</f>
        <v>0</v>
      </c>
      <c r="F89" s="10">
        <f>+USD!F89*MN!$C$1</f>
        <v>0</v>
      </c>
      <c r="G89" s="10">
        <f>+USD!G89*MN!$C$1</f>
        <v>0</v>
      </c>
      <c r="H89" s="10">
        <f>+USD!H89*MN!$C$1</f>
        <v>0</v>
      </c>
      <c r="I89" s="10">
        <f>+USD!I89*MN!$C$1</f>
        <v>0</v>
      </c>
      <c r="J89" s="10">
        <f>+USD!J89*MN!$C$1</f>
        <v>0</v>
      </c>
      <c r="K89" s="10">
        <f>+USD!K89*MN!$C$1</f>
        <v>0</v>
      </c>
      <c r="L89" s="10">
        <f>+USD!L89*MN!$C$1</f>
        <v>0</v>
      </c>
      <c r="M89" s="10">
        <f>+USD!M89*MN!$C$1</f>
        <v>0</v>
      </c>
      <c r="N89" s="10">
        <f>+USD!N89*MN!$C$1</f>
        <v>0</v>
      </c>
    </row>
    <row r="90" spans="1:16" outlineLevel="1" x14ac:dyDescent="0.25">
      <c r="A90" s="2" t="s">
        <v>130</v>
      </c>
      <c r="B90" s="8">
        <f t="shared" si="11"/>
        <v>0</v>
      </c>
      <c r="C90" s="7">
        <f>+USD!C90*MN!$C$1</f>
        <v>0</v>
      </c>
      <c r="D90" s="8">
        <f>+USD!D90*MN!$C$1</f>
        <v>0</v>
      </c>
      <c r="E90" s="7">
        <f>+USD!E90*MN!$C$1</f>
        <v>0</v>
      </c>
      <c r="F90" s="8">
        <f>+USD!F90*MN!$C$1</f>
        <v>0</v>
      </c>
      <c r="G90" s="7">
        <f>+USD!G90*MN!$C$1</f>
        <v>0</v>
      </c>
      <c r="H90" s="8">
        <f>+USD!H90*MN!$C$1</f>
        <v>0</v>
      </c>
      <c r="I90" s="7">
        <f>+USD!I90*MN!$C$1</f>
        <v>0</v>
      </c>
      <c r="J90" s="8">
        <f>+USD!J90*MN!$C$1</f>
        <v>0</v>
      </c>
      <c r="K90" s="7">
        <f>+USD!K90*MN!$C$1</f>
        <v>0</v>
      </c>
      <c r="L90" s="8">
        <f>+USD!L90*MN!$C$1</f>
        <v>0</v>
      </c>
      <c r="M90" s="7">
        <f>+USD!M90*MN!$C$1</f>
        <v>0</v>
      </c>
      <c r="N90" s="8">
        <f>+USD!N90*MN!$C$1</f>
        <v>0</v>
      </c>
    </row>
    <row r="91" spans="1:16" outlineLevel="1" x14ac:dyDescent="0.25">
      <c r="A91" s="9" t="s">
        <v>100</v>
      </c>
      <c r="B91" s="10">
        <f t="shared" si="11"/>
        <v>0</v>
      </c>
      <c r="C91" s="10">
        <f>+USD!C91*MN!$C$1</f>
        <v>0</v>
      </c>
      <c r="D91" s="10">
        <f>+USD!D91*MN!$C$1</f>
        <v>0</v>
      </c>
      <c r="E91" s="10">
        <f>+USD!E91*MN!$C$1</f>
        <v>0</v>
      </c>
      <c r="F91" s="10">
        <f>+USD!F91*MN!$C$1</f>
        <v>0</v>
      </c>
      <c r="G91" s="10">
        <f>+USD!G91*MN!$C$1</f>
        <v>0</v>
      </c>
      <c r="H91" s="10">
        <f>+USD!H91*MN!$C$1</f>
        <v>0</v>
      </c>
      <c r="I91" s="10">
        <f>+USD!I91*MN!$C$1</f>
        <v>0</v>
      </c>
      <c r="J91" s="10">
        <f>+USD!J91*MN!$C$1</f>
        <v>0</v>
      </c>
      <c r="K91" s="10">
        <f>+USD!K91*MN!$C$1</f>
        <v>0</v>
      </c>
      <c r="L91" s="10">
        <f>+USD!L91*MN!$C$1</f>
        <v>0</v>
      </c>
      <c r="M91" s="10">
        <f>+USD!M91*MN!$C$1</f>
        <v>0</v>
      </c>
      <c r="N91" s="10">
        <f>+USD!N91*MN!$C$1</f>
        <v>0</v>
      </c>
    </row>
    <row r="92" spans="1:16" outlineLevel="1" x14ac:dyDescent="0.25">
      <c r="A92" s="2" t="s">
        <v>101</v>
      </c>
      <c r="B92" s="8">
        <f t="shared" si="11"/>
        <v>1830000</v>
      </c>
      <c r="C92" s="7">
        <f>+USD!C92*MN!$C$1</f>
        <v>0</v>
      </c>
      <c r="D92" s="7">
        <f>+USD!D92*MN!$C$1</f>
        <v>366000</v>
      </c>
      <c r="E92" s="7">
        <f>+USD!E92*MN!$C$1</f>
        <v>0</v>
      </c>
      <c r="F92" s="7">
        <f>+USD!F92*MN!$C$1</f>
        <v>366000</v>
      </c>
      <c r="G92" s="7">
        <f>+USD!G92*MN!$C$1</f>
        <v>366000</v>
      </c>
      <c r="H92" s="7">
        <f>+USD!H92*MN!$C$1</f>
        <v>0</v>
      </c>
      <c r="I92" s="7">
        <f>+USD!I92*MN!$C$1</f>
        <v>366000</v>
      </c>
      <c r="J92" s="7">
        <f>+USD!J92*MN!$C$1</f>
        <v>366000</v>
      </c>
      <c r="K92" s="7">
        <f>+USD!K92*MN!$C$1</f>
        <v>0</v>
      </c>
      <c r="L92" s="7">
        <f>+USD!L92*MN!$C$1</f>
        <v>0</v>
      </c>
      <c r="M92" s="7">
        <f>+USD!M92*MN!$C$1</f>
        <v>0</v>
      </c>
      <c r="N92" s="7">
        <f>+USD!N92*MN!$C$1</f>
        <v>0</v>
      </c>
    </row>
    <row r="93" spans="1:16" outlineLevel="1" x14ac:dyDescent="0.25">
      <c r="A93" s="9" t="s">
        <v>102</v>
      </c>
      <c r="B93" s="10">
        <f t="shared" si="11"/>
        <v>0</v>
      </c>
      <c r="C93" s="10">
        <f>+USD!C93*MN!$C$1</f>
        <v>0</v>
      </c>
      <c r="D93" s="10">
        <f>+USD!D93*MN!$C$1</f>
        <v>0</v>
      </c>
      <c r="E93" s="10">
        <f>+USD!E93*MN!$C$1</f>
        <v>0</v>
      </c>
      <c r="F93" s="10">
        <f>+USD!F93*MN!$C$1</f>
        <v>0</v>
      </c>
      <c r="G93" s="10">
        <f>+USD!G93*MN!$C$1</f>
        <v>0</v>
      </c>
      <c r="H93" s="10">
        <f>+USD!H93*MN!$C$1</f>
        <v>0</v>
      </c>
      <c r="I93" s="10">
        <f>+USD!I93*MN!$C$1</f>
        <v>0</v>
      </c>
      <c r="J93" s="10">
        <f>+USD!J93*MN!$C$1</f>
        <v>0</v>
      </c>
      <c r="K93" s="10">
        <f>+USD!K93*MN!$C$1</f>
        <v>0</v>
      </c>
      <c r="L93" s="10">
        <f>+USD!L93*MN!$C$1</f>
        <v>0</v>
      </c>
      <c r="M93" s="10">
        <f>+USD!M93*MN!$C$1</f>
        <v>0</v>
      </c>
      <c r="N93" s="10">
        <f>+USD!N93*MN!$C$1</f>
        <v>0</v>
      </c>
    </row>
    <row r="94" spans="1:16" outlineLevel="1" x14ac:dyDescent="0.25">
      <c r="A94" s="2" t="s">
        <v>103</v>
      </c>
      <c r="B94" s="8">
        <f t="shared" si="11"/>
        <v>0</v>
      </c>
      <c r="C94" s="7">
        <f>+USD!C94*MN!$C$1</f>
        <v>0</v>
      </c>
      <c r="D94" s="7">
        <f>+USD!D94*MN!$C$1</f>
        <v>0</v>
      </c>
      <c r="E94" s="7">
        <f>+USD!E94*MN!$C$1</f>
        <v>0</v>
      </c>
      <c r="F94" s="7">
        <f>+USD!F94*MN!$C$1</f>
        <v>0</v>
      </c>
      <c r="G94" s="7">
        <f>+USD!G94*MN!$C$1</f>
        <v>0</v>
      </c>
      <c r="H94" s="7">
        <f>+USD!H94*MN!$C$1</f>
        <v>0</v>
      </c>
      <c r="I94" s="7">
        <f>+USD!I94*MN!$C$1</f>
        <v>0</v>
      </c>
      <c r="J94" s="7">
        <f>+USD!J94*MN!$C$1</f>
        <v>0</v>
      </c>
      <c r="K94" s="7">
        <f>+USD!K94*MN!$C$1</f>
        <v>0</v>
      </c>
      <c r="L94" s="7">
        <f>+USD!L94*MN!$C$1</f>
        <v>0</v>
      </c>
      <c r="M94" s="7">
        <f>+USD!M94*MN!$C$1</f>
        <v>0</v>
      </c>
      <c r="N94" s="7">
        <f>+USD!N94*MN!$C$1</f>
        <v>0</v>
      </c>
    </row>
    <row r="95" spans="1:16" outlineLevel="1" x14ac:dyDescent="0.25">
      <c r="A95" s="9" t="s">
        <v>104</v>
      </c>
      <c r="B95" s="10">
        <f t="shared" si="11"/>
        <v>0</v>
      </c>
      <c r="C95" s="10">
        <f>+USD!C95*MN!$C$1</f>
        <v>0</v>
      </c>
      <c r="D95" s="10">
        <f>+USD!D95*MN!$C$1</f>
        <v>0</v>
      </c>
      <c r="E95" s="10">
        <f>+USD!E95*MN!$C$1</f>
        <v>0</v>
      </c>
      <c r="F95" s="10">
        <f>+USD!F95*MN!$C$1</f>
        <v>0</v>
      </c>
      <c r="G95" s="10">
        <f>+USD!G95*MN!$C$1</f>
        <v>0</v>
      </c>
      <c r="H95" s="10">
        <f>+USD!H95*MN!$C$1</f>
        <v>0</v>
      </c>
      <c r="I95" s="10">
        <f>+USD!I95*MN!$C$1</f>
        <v>0</v>
      </c>
      <c r="J95" s="10">
        <f>+USD!J95*MN!$C$1</f>
        <v>0</v>
      </c>
      <c r="K95" s="10">
        <f>+USD!K95*MN!$C$1</f>
        <v>0</v>
      </c>
      <c r="L95" s="10">
        <f>+USD!L95*MN!$C$1</f>
        <v>0</v>
      </c>
      <c r="M95" s="10">
        <f>+USD!M95*MN!$C$1</f>
        <v>0</v>
      </c>
      <c r="N95" s="10">
        <f>+USD!N95*MN!$C$1</f>
        <v>0</v>
      </c>
      <c r="P95" s="11" t="s">
        <v>179</v>
      </c>
    </row>
    <row r="96" spans="1:16" outlineLevel="1" x14ac:dyDescent="0.25">
      <c r="A96" s="2" t="s">
        <v>131</v>
      </c>
      <c r="B96" s="8">
        <f t="shared" si="11"/>
        <v>0</v>
      </c>
      <c r="C96" s="7">
        <f>+USD!C96*MN!$C$1</f>
        <v>0</v>
      </c>
      <c r="D96" s="8">
        <f>+USD!D96*MN!$C$1</f>
        <v>0</v>
      </c>
      <c r="E96" s="7">
        <f>+USD!E96*MN!$C$1</f>
        <v>0</v>
      </c>
      <c r="F96" s="8">
        <f>+USD!F96*MN!$C$1</f>
        <v>0</v>
      </c>
      <c r="G96" s="7">
        <f>+USD!G96*MN!$C$1</f>
        <v>0</v>
      </c>
      <c r="H96" s="8">
        <f>+USD!H96*MN!$C$1</f>
        <v>0</v>
      </c>
      <c r="I96" s="7">
        <f>+USD!I96*MN!$C$1</f>
        <v>0</v>
      </c>
      <c r="J96" s="8">
        <f>+USD!J96*MN!$C$1</f>
        <v>0</v>
      </c>
      <c r="K96" s="7">
        <f>+USD!K96*MN!$C$1</f>
        <v>0</v>
      </c>
      <c r="L96" s="8">
        <f>+USD!L96*MN!$C$1</f>
        <v>0</v>
      </c>
      <c r="M96" s="7">
        <f>+USD!M96*MN!$C$1</f>
        <v>0</v>
      </c>
      <c r="N96" s="8">
        <f>+USD!N96*MN!$C$1</f>
        <v>0</v>
      </c>
    </row>
    <row r="97" spans="1:16" outlineLevel="1" x14ac:dyDescent="0.25">
      <c r="A97" s="9" t="s">
        <v>105</v>
      </c>
      <c r="B97" s="10">
        <f t="shared" si="11"/>
        <v>0</v>
      </c>
      <c r="C97" s="10">
        <f>+USD!C97*MN!$C$1</f>
        <v>0</v>
      </c>
      <c r="D97" s="10">
        <f>+USD!D97*MN!$C$1</f>
        <v>0</v>
      </c>
      <c r="E97" s="10">
        <f>+USD!E97*MN!$C$1</f>
        <v>0</v>
      </c>
      <c r="F97" s="10">
        <f>+USD!F97*MN!$C$1</f>
        <v>0</v>
      </c>
      <c r="G97" s="10">
        <f>+USD!G97*MN!$C$1</f>
        <v>0</v>
      </c>
      <c r="H97" s="10">
        <f>+USD!H97*MN!$C$1</f>
        <v>0</v>
      </c>
      <c r="I97" s="10">
        <f>+USD!I97*MN!$C$1</f>
        <v>0</v>
      </c>
      <c r="J97" s="10">
        <f>+USD!J97*MN!$C$1</f>
        <v>0</v>
      </c>
      <c r="K97" s="10">
        <f>+USD!K97*MN!$C$1</f>
        <v>0</v>
      </c>
      <c r="L97" s="10">
        <f>+USD!L97*MN!$C$1</f>
        <v>0</v>
      </c>
      <c r="M97" s="10">
        <f>+USD!M97*MN!$C$1</f>
        <v>0</v>
      </c>
      <c r="N97" s="10">
        <f>+USD!N97*MN!$C$1</f>
        <v>0</v>
      </c>
    </row>
    <row r="98" spans="1:16" outlineLevel="1" x14ac:dyDescent="0.25">
      <c r="A98" s="2" t="s">
        <v>106</v>
      </c>
      <c r="B98" s="8">
        <f t="shared" si="11"/>
        <v>0</v>
      </c>
      <c r="C98" s="7">
        <f>+USD!C98*MN!$C$1</f>
        <v>0</v>
      </c>
      <c r="D98" s="8">
        <f>+USD!D98*MN!$C$1</f>
        <v>0</v>
      </c>
      <c r="E98" s="7">
        <f>+USD!E98*MN!$C$1</f>
        <v>0</v>
      </c>
      <c r="F98" s="8">
        <f>+USD!F98*MN!$C$1</f>
        <v>0</v>
      </c>
      <c r="G98" s="7">
        <f>+USD!G98*MN!$C$1</f>
        <v>0</v>
      </c>
      <c r="H98" s="8">
        <f>+USD!H98*MN!$C$1</f>
        <v>0</v>
      </c>
      <c r="I98" s="7">
        <f>+USD!I98*MN!$C$1</f>
        <v>0</v>
      </c>
      <c r="J98" s="8">
        <f>+USD!J98*MN!$C$1</f>
        <v>0</v>
      </c>
      <c r="K98" s="7">
        <f>+USD!K98*MN!$C$1</f>
        <v>0</v>
      </c>
      <c r="L98" s="8">
        <f>+USD!L98*MN!$C$1</f>
        <v>0</v>
      </c>
      <c r="M98" s="7">
        <f>+USD!M98*MN!$C$1</f>
        <v>0</v>
      </c>
      <c r="N98" s="8">
        <f>+USD!N98*MN!$C$1</f>
        <v>0</v>
      </c>
    </row>
    <row r="99" spans="1:16" outlineLevel="1" x14ac:dyDescent="0.25">
      <c r="A99" s="9" t="s">
        <v>107</v>
      </c>
      <c r="B99" s="10">
        <f t="shared" si="11"/>
        <v>274500</v>
      </c>
      <c r="C99" s="10">
        <f>+USD!C99*MN!$C$1</f>
        <v>0</v>
      </c>
      <c r="D99" s="10">
        <f>+USD!D99*MN!$C$1</f>
        <v>274500</v>
      </c>
      <c r="E99" s="10">
        <f>+USD!E99*MN!$C$1</f>
        <v>0</v>
      </c>
      <c r="F99" s="10">
        <f>+USD!F99*MN!$C$1</f>
        <v>0</v>
      </c>
      <c r="G99" s="10">
        <f>+USD!G99*MN!$C$1</f>
        <v>0</v>
      </c>
      <c r="H99" s="10">
        <f>+USD!H99*MN!$C$1</f>
        <v>0</v>
      </c>
      <c r="I99" s="10">
        <f>+USD!I99*MN!$C$1</f>
        <v>0</v>
      </c>
      <c r="J99" s="10">
        <f>+USD!J99*MN!$C$1</f>
        <v>0</v>
      </c>
      <c r="K99" s="10">
        <f>+USD!K99*MN!$C$1</f>
        <v>0</v>
      </c>
      <c r="L99" s="10">
        <f>+USD!L99*MN!$C$1</f>
        <v>0</v>
      </c>
      <c r="M99" s="10">
        <f>+USD!M99*MN!$C$1</f>
        <v>0</v>
      </c>
      <c r="N99" s="10">
        <f>+USD!N99*MN!$C$1</f>
        <v>0</v>
      </c>
    </row>
    <row r="100" spans="1:16" outlineLevel="1" x14ac:dyDescent="0.25">
      <c r="A100" s="2" t="s">
        <v>108</v>
      </c>
      <c r="B100" s="8">
        <f t="shared" si="11"/>
        <v>1958100</v>
      </c>
      <c r="C100" s="7">
        <f>+USD!C100*MN!$C$1</f>
        <v>109800</v>
      </c>
      <c r="D100" s="7">
        <f>+USD!D100*MN!$C$1</f>
        <v>750300</v>
      </c>
      <c r="E100" s="7">
        <f>+USD!E100*MN!$C$1</f>
        <v>109800</v>
      </c>
      <c r="F100" s="7">
        <f>+USD!F100*MN!$C$1</f>
        <v>109800</v>
      </c>
      <c r="G100" s="7">
        <f>+USD!G100*MN!$C$1</f>
        <v>109800</v>
      </c>
      <c r="H100" s="7">
        <f>+USD!H100*MN!$C$1</f>
        <v>109800</v>
      </c>
      <c r="I100" s="7">
        <f>+USD!I100*MN!$C$1</f>
        <v>109800</v>
      </c>
      <c r="J100" s="7">
        <f>+USD!J100*MN!$C$1</f>
        <v>109800</v>
      </c>
      <c r="K100" s="7">
        <f>+USD!K100*MN!$C$1</f>
        <v>109800</v>
      </c>
      <c r="L100" s="7">
        <f>+USD!L100*MN!$C$1</f>
        <v>109800</v>
      </c>
      <c r="M100" s="7">
        <f>+USD!M100*MN!$C$1</f>
        <v>109800</v>
      </c>
      <c r="N100" s="7">
        <f>+USD!N100*MN!$C$1</f>
        <v>109800</v>
      </c>
    </row>
    <row r="101" spans="1:16" outlineLevel="1" x14ac:dyDescent="0.25">
      <c r="A101" s="9" t="s">
        <v>109</v>
      </c>
      <c r="B101" s="10">
        <f t="shared" si="11"/>
        <v>3345240</v>
      </c>
      <c r="C101" s="10">
        <f>+USD!C101*MN!$C$1</f>
        <v>0</v>
      </c>
      <c r="D101" s="10">
        <f>+USD!D101*MN!$C$1</f>
        <v>3345240</v>
      </c>
      <c r="E101" s="10">
        <f>+USD!E101*MN!$C$1</f>
        <v>0</v>
      </c>
      <c r="F101" s="10">
        <f>+USD!F101*MN!$C$1</f>
        <v>0</v>
      </c>
      <c r="G101" s="10">
        <f>+USD!G101*MN!$C$1</f>
        <v>0</v>
      </c>
      <c r="H101" s="10">
        <f>+USD!H101*MN!$C$1</f>
        <v>0</v>
      </c>
      <c r="I101" s="10">
        <f>+USD!I101*MN!$C$1</f>
        <v>0</v>
      </c>
      <c r="J101" s="10">
        <f>+USD!J101*MN!$C$1</f>
        <v>0</v>
      </c>
      <c r="K101" s="10">
        <f>+USD!K101*MN!$C$1</f>
        <v>0</v>
      </c>
      <c r="L101" s="10">
        <f>+USD!L101*MN!$C$1</f>
        <v>0</v>
      </c>
      <c r="M101" s="10">
        <f>+USD!M101*MN!$C$1</f>
        <v>0</v>
      </c>
      <c r="N101" s="10">
        <f>+USD!N101*MN!$C$1</f>
        <v>0</v>
      </c>
    </row>
    <row r="102" spans="1:16" outlineLevel="1" x14ac:dyDescent="0.25">
      <c r="A102" s="2" t="s">
        <v>132</v>
      </c>
      <c r="B102" s="8">
        <f t="shared" si="11"/>
        <v>109800</v>
      </c>
      <c r="C102" s="7">
        <f>+USD!C102*MN!$C$1</f>
        <v>0</v>
      </c>
      <c r="D102" s="8">
        <f>+USD!D102*MN!$C$1</f>
        <v>0</v>
      </c>
      <c r="E102" s="7">
        <f>+USD!E102*MN!$C$1</f>
        <v>0</v>
      </c>
      <c r="F102" s="8">
        <f>+USD!F102*MN!$C$1</f>
        <v>0</v>
      </c>
      <c r="G102" s="7">
        <f>+USD!G102*MN!$C$1</f>
        <v>0</v>
      </c>
      <c r="H102" s="8">
        <f>+USD!H102*MN!$C$1</f>
        <v>0</v>
      </c>
      <c r="I102" s="7">
        <f>+USD!I102*MN!$C$1</f>
        <v>0</v>
      </c>
      <c r="J102" s="8">
        <f>+USD!J102*MN!$C$1</f>
        <v>0</v>
      </c>
      <c r="K102" s="7">
        <f>+USD!K102*MN!$C$1</f>
        <v>0</v>
      </c>
      <c r="L102" s="8">
        <f>+USD!L102*MN!$C$1</f>
        <v>0</v>
      </c>
      <c r="M102" s="7">
        <f>+USD!M102*MN!$C$1</f>
        <v>54900</v>
      </c>
      <c r="N102" s="8">
        <f>+USD!N102*MN!$C$1</f>
        <v>54900</v>
      </c>
    </row>
    <row r="103" spans="1:16" outlineLevel="1" x14ac:dyDescent="0.25">
      <c r="A103" s="2" t="s">
        <v>110</v>
      </c>
      <c r="B103" s="8">
        <f t="shared" si="11"/>
        <v>0</v>
      </c>
      <c r="C103" s="7">
        <f>+USD!C103*MN!$C$1</f>
        <v>0</v>
      </c>
      <c r="D103" s="8">
        <f>+USD!D103*MN!$C$1</f>
        <v>0</v>
      </c>
      <c r="E103" s="7">
        <f>+USD!E103*MN!$C$1</f>
        <v>0</v>
      </c>
      <c r="F103" s="8">
        <f>+USD!F103*MN!$C$1</f>
        <v>0</v>
      </c>
      <c r="G103" s="7">
        <f>+USD!G103*MN!$C$1</f>
        <v>0</v>
      </c>
      <c r="H103" s="8">
        <f>+USD!H103*MN!$C$1</f>
        <v>0</v>
      </c>
      <c r="I103" s="7">
        <f>+USD!I103*MN!$C$1</f>
        <v>0</v>
      </c>
      <c r="J103" s="8">
        <f>+USD!J103*MN!$C$1</f>
        <v>0</v>
      </c>
      <c r="K103" s="7">
        <f>+USD!K103*MN!$C$1</f>
        <v>0</v>
      </c>
      <c r="L103" s="8">
        <f>+USD!L103*MN!$C$1</f>
        <v>0</v>
      </c>
      <c r="M103" s="7">
        <f>+USD!M103*MN!$C$1</f>
        <v>0</v>
      </c>
      <c r="N103" s="8">
        <f>+USD!N103*MN!$C$1</f>
        <v>0</v>
      </c>
    </row>
    <row r="104" spans="1:16" outlineLevel="1" x14ac:dyDescent="0.25">
      <c r="A104" s="9" t="s">
        <v>133</v>
      </c>
      <c r="B104" s="10">
        <f t="shared" si="11"/>
        <v>0</v>
      </c>
      <c r="C104" s="10">
        <f>+USD!C104*MN!$C$1</f>
        <v>0</v>
      </c>
      <c r="D104" s="10">
        <f>+USD!D104*MN!$C$1</f>
        <v>0</v>
      </c>
      <c r="E104" s="10">
        <f>+USD!E104*MN!$C$1</f>
        <v>0</v>
      </c>
      <c r="F104" s="10">
        <f>+USD!F104*MN!$C$1</f>
        <v>0</v>
      </c>
      <c r="G104" s="10">
        <f>+USD!G104*MN!$C$1</f>
        <v>0</v>
      </c>
      <c r="H104" s="10">
        <f>+USD!H104*MN!$C$1</f>
        <v>0</v>
      </c>
      <c r="I104" s="10">
        <f>+USD!I104*MN!$C$1</f>
        <v>0</v>
      </c>
      <c r="J104" s="10">
        <f>+USD!J104*MN!$C$1</f>
        <v>0</v>
      </c>
      <c r="K104" s="10">
        <f>+USD!K104*MN!$C$1</f>
        <v>0</v>
      </c>
      <c r="L104" s="10">
        <f>+USD!L104*MN!$C$1</f>
        <v>0</v>
      </c>
      <c r="M104" s="10">
        <f>+USD!M104*MN!$C$1</f>
        <v>0</v>
      </c>
      <c r="N104" s="10">
        <f>+USD!N104*MN!$C$1</f>
        <v>0</v>
      </c>
      <c r="P104" s="11" t="s">
        <v>170</v>
      </c>
    </row>
    <row r="105" spans="1:16" outlineLevel="1" x14ac:dyDescent="0.25">
      <c r="A105" s="2" t="s">
        <v>111</v>
      </c>
      <c r="B105" s="8">
        <f t="shared" si="11"/>
        <v>0</v>
      </c>
      <c r="C105" s="7">
        <f>+USD!C105*MN!$C$1</f>
        <v>0</v>
      </c>
      <c r="D105" s="8">
        <f>+USD!D105*MN!$C$1</f>
        <v>0</v>
      </c>
      <c r="E105" s="7">
        <f>+USD!E105*MN!$C$1</f>
        <v>0</v>
      </c>
      <c r="F105" s="7">
        <f>+USD!F105*MN!$C$1</f>
        <v>0</v>
      </c>
      <c r="G105" s="7">
        <f>+USD!G105*MN!$C$1</f>
        <v>0</v>
      </c>
      <c r="H105" s="7">
        <f>+USD!H105*MN!$C$1</f>
        <v>0</v>
      </c>
      <c r="I105" s="7">
        <f>+USD!I105*MN!$C$1</f>
        <v>0</v>
      </c>
      <c r="J105" s="7">
        <f>+USD!J105*MN!$C$1</f>
        <v>0</v>
      </c>
      <c r="K105" s="7">
        <f>+USD!K105*MN!$C$1</f>
        <v>0</v>
      </c>
      <c r="L105" s="7">
        <f>+USD!L105*MN!$C$1</f>
        <v>0</v>
      </c>
      <c r="M105" s="7">
        <f>+USD!M105*MN!$C$1</f>
        <v>0</v>
      </c>
      <c r="N105" s="7">
        <f>+USD!N105*MN!$C$1</f>
        <v>0</v>
      </c>
    </row>
    <row r="106" spans="1:16" outlineLevel="1" x14ac:dyDescent="0.25">
      <c r="A106" s="9" t="s">
        <v>112</v>
      </c>
      <c r="B106" s="10">
        <f t="shared" si="11"/>
        <v>208400.00000000012</v>
      </c>
      <c r="C106" s="10">
        <f>+USD!C106*MN!$C$1</f>
        <v>17366.666666666672</v>
      </c>
      <c r="D106" s="10">
        <f>+USD!D106*MN!$C$1</f>
        <v>17366.666666666672</v>
      </c>
      <c r="E106" s="10">
        <f>+USD!E106*MN!$C$1</f>
        <v>17366.666666666672</v>
      </c>
      <c r="F106" s="10">
        <f>+USD!F106*MN!$C$1</f>
        <v>17366.666666666672</v>
      </c>
      <c r="G106" s="10">
        <f>+USD!G106*MN!$C$1</f>
        <v>17366.666666666672</v>
      </c>
      <c r="H106" s="10">
        <f>+USD!H106*MN!$C$1</f>
        <v>17366.666666666672</v>
      </c>
      <c r="I106" s="10">
        <f>+USD!I106*MN!$C$1</f>
        <v>17366.666666666672</v>
      </c>
      <c r="J106" s="10">
        <f>+USD!J106*MN!$C$1</f>
        <v>17366.666666666672</v>
      </c>
      <c r="K106" s="10">
        <f>+USD!K106*MN!$C$1</f>
        <v>17366.666666666672</v>
      </c>
      <c r="L106" s="10">
        <f>+USD!L106*MN!$C$1</f>
        <v>17366.666666666672</v>
      </c>
      <c r="M106" s="10">
        <f>+USD!M106*MN!$C$1</f>
        <v>17366.666666666672</v>
      </c>
      <c r="N106" s="10">
        <f>+USD!N106*MN!$C$1</f>
        <v>17366.666666666672</v>
      </c>
      <c r="P106" s="11" t="s">
        <v>177</v>
      </c>
    </row>
    <row r="107" spans="1:16" outlineLevel="1" x14ac:dyDescent="0.25">
      <c r="A107" s="2" t="s">
        <v>113</v>
      </c>
      <c r="B107" s="8">
        <f t="shared" si="11"/>
        <v>0</v>
      </c>
      <c r="C107" s="7">
        <f>+USD!C107*MN!$C$1</f>
        <v>0</v>
      </c>
      <c r="D107" s="8">
        <f>+USD!D107*MN!$C$1</f>
        <v>0</v>
      </c>
      <c r="E107" s="7">
        <f>+USD!E107*MN!$C$1</f>
        <v>0</v>
      </c>
      <c r="F107" s="8">
        <f>+USD!F107*MN!$C$1</f>
        <v>0</v>
      </c>
      <c r="G107" s="7">
        <f>+USD!G107*MN!$C$1</f>
        <v>0</v>
      </c>
      <c r="H107" s="8">
        <f>+USD!H107*MN!$C$1</f>
        <v>0</v>
      </c>
      <c r="I107" s="7">
        <f>+USD!I107*MN!$C$1</f>
        <v>0</v>
      </c>
      <c r="J107" s="8">
        <f>+USD!J107*MN!$C$1</f>
        <v>0</v>
      </c>
      <c r="K107" s="7">
        <f>+USD!K107*MN!$C$1</f>
        <v>0</v>
      </c>
      <c r="L107" s="8">
        <f>+USD!L107*MN!$C$1</f>
        <v>0</v>
      </c>
      <c r="M107" s="7">
        <f>+USD!M107*MN!$C$1</f>
        <v>0</v>
      </c>
      <c r="N107" s="8">
        <f>+USD!N107*MN!$C$1</f>
        <v>0</v>
      </c>
    </row>
    <row r="108" spans="1:16" outlineLevel="1" x14ac:dyDescent="0.25">
      <c r="A108" s="9" t="s">
        <v>134</v>
      </c>
      <c r="B108" s="10">
        <f t="shared" si="11"/>
        <v>360000</v>
      </c>
      <c r="C108" s="10">
        <f>+USD!C108*MN!$C$1</f>
        <v>30000</v>
      </c>
      <c r="D108" s="10">
        <f>+USD!D108*MN!$C$1</f>
        <v>30000</v>
      </c>
      <c r="E108" s="10">
        <f>+USD!E108*MN!$C$1</f>
        <v>30000</v>
      </c>
      <c r="F108" s="10">
        <f>+USD!F108*MN!$C$1</f>
        <v>30000</v>
      </c>
      <c r="G108" s="10">
        <f>+USD!G108*MN!$C$1</f>
        <v>30000</v>
      </c>
      <c r="H108" s="10">
        <f>+USD!H108*MN!$C$1</f>
        <v>30000</v>
      </c>
      <c r="I108" s="10">
        <f>+USD!I108*MN!$C$1</f>
        <v>30000</v>
      </c>
      <c r="J108" s="10">
        <f>+USD!J108*MN!$C$1</f>
        <v>30000</v>
      </c>
      <c r="K108" s="10">
        <f>+USD!K108*MN!$C$1</f>
        <v>30000</v>
      </c>
      <c r="L108" s="10">
        <f>+USD!L108*MN!$C$1</f>
        <v>30000</v>
      </c>
      <c r="M108" s="10">
        <f>+USD!M108*MN!$C$1</f>
        <v>30000</v>
      </c>
      <c r="N108" s="10">
        <f>+USD!N108*MN!$C$1</f>
        <v>30000</v>
      </c>
    </row>
    <row r="109" spans="1:16" outlineLevel="1" x14ac:dyDescent="0.25">
      <c r="A109" s="2" t="s">
        <v>135</v>
      </c>
      <c r="B109" s="8">
        <f t="shared" si="11"/>
        <v>1098000</v>
      </c>
      <c r="C109" s="7">
        <f>+USD!C109*MN!$C$1</f>
        <v>0</v>
      </c>
      <c r="D109" s="7">
        <f>+USD!D109*MN!$C$1</f>
        <v>0</v>
      </c>
      <c r="E109" s="7">
        <f>+USD!E109*MN!$C$1</f>
        <v>0</v>
      </c>
      <c r="F109" s="7">
        <f>+USD!F109*MN!$C$1</f>
        <v>183000</v>
      </c>
      <c r="G109" s="7">
        <f>+USD!G109*MN!$C$1</f>
        <v>0</v>
      </c>
      <c r="H109" s="7">
        <f>+USD!H109*MN!$C$1</f>
        <v>183000</v>
      </c>
      <c r="I109" s="7">
        <f>+USD!I109*MN!$C$1</f>
        <v>0</v>
      </c>
      <c r="J109" s="7">
        <f>+USD!J109*MN!$C$1</f>
        <v>183000</v>
      </c>
      <c r="K109" s="7">
        <f>+USD!K109*MN!$C$1</f>
        <v>183000</v>
      </c>
      <c r="L109" s="7">
        <f>+USD!L109*MN!$C$1</f>
        <v>0</v>
      </c>
      <c r="M109" s="7">
        <f>+USD!M109*MN!$C$1</f>
        <v>183000</v>
      </c>
      <c r="N109" s="7">
        <f>+USD!N109*MN!$C$1</f>
        <v>183000</v>
      </c>
    </row>
    <row r="110" spans="1:16" outlineLevel="1" x14ac:dyDescent="0.25">
      <c r="A110" s="9" t="s">
        <v>136</v>
      </c>
      <c r="B110" s="10">
        <f t="shared" si="11"/>
        <v>0</v>
      </c>
      <c r="C110" s="10">
        <f>+USD!C110*MN!$C$1</f>
        <v>0</v>
      </c>
      <c r="D110" s="10">
        <f>+USD!D110*MN!$C$1</f>
        <v>0</v>
      </c>
      <c r="E110" s="10">
        <f>+USD!E110*MN!$C$1</f>
        <v>0</v>
      </c>
      <c r="F110" s="10">
        <f>+USD!F110*MN!$C$1</f>
        <v>0</v>
      </c>
      <c r="G110" s="10">
        <f>+USD!G110*MN!$C$1</f>
        <v>0</v>
      </c>
      <c r="H110" s="10">
        <f>+USD!H110*MN!$C$1</f>
        <v>0</v>
      </c>
      <c r="I110" s="10">
        <f>+USD!I110*MN!$C$1</f>
        <v>0</v>
      </c>
      <c r="J110" s="10">
        <f>+USD!J110*MN!$C$1</f>
        <v>0</v>
      </c>
      <c r="K110" s="10">
        <f>+USD!K110*MN!$C$1</f>
        <v>0</v>
      </c>
      <c r="L110" s="10">
        <f>+USD!L110*MN!$C$1</f>
        <v>0</v>
      </c>
      <c r="M110" s="10">
        <f>+USD!M110*MN!$C$1</f>
        <v>0</v>
      </c>
      <c r="N110" s="10">
        <f>+USD!N110*MN!$C$1</f>
        <v>0</v>
      </c>
    </row>
    <row r="111" spans="1:16" outlineLevel="1" x14ac:dyDescent="0.25">
      <c r="A111" s="2" t="s">
        <v>137</v>
      </c>
      <c r="B111" s="8">
        <f t="shared" si="11"/>
        <v>1098000</v>
      </c>
      <c r="C111" s="7">
        <f>+USD!C111*MN!$C$1</f>
        <v>0</v>
      </c>
      <c r="D111" s="8">
        <f>+USD!D111*MN!$C$1</f>
        <v>0</v>
      </c>
      <c r="E111" s="7">
        <f>+USD!E111*MN!$C$1</f>
        <v>0</v>
      </c>
      <c r="F111" s="8">
        <f>+USD!F111*MN!$C$1</f>
        <v>183000</v>
      </c>
      <c r="G111" s="7">
        <f>+USD!G111*MN!$C$1</f>
        <v>0</v>
      </c>
      <c r="H111" s="8">
        <f>+USD!H111*MN!$C$1</f>
        <v>183000</v>
      </c>
      <c r="I111" s="7">
        <f>+USD!I111*MN!$C$1</f>
        <v>0</v>
      </c>
      <c r="J111" s="8">
        <f>+USD!J111*MN!$C$1</f>
        <v>183000</v>
      </c>
      <c r="K111" s="7">
        <f>+USD!K111*MN!$C$1</f>
        <v>183000</v>
      </c>
      <c r="L111" s="8">
        <f>+USD!L111*MN!$C$1</f>
        <v>0</v>
      </c>
      <c r="M111" s="7">
        <f>+USD!M111*MN!$C$1</f>
        <v>183000</v>
      </c>
      <c r="N111" s="8">
        <f>+USD!N111*MN!$C$1</f>
        <v>183000</v>
      </c>
    </row>
    <row r="112" spans="1:16" outlineLevel="1" x14ac:dyDescent="0.25">
      <c r="A112" s="9" t="s">
        <v>138</v>
      </c>
      <c r="B112" s="10">
        <f t="shared" si="11"/>
        <v>0</v>
      </c>
      <c r="C112" s="10">
        <f>+USD!C112*MN!$C$1</f>
        <v>0</v>
      </c>
      <c r="D112" s="10">
        <f>+USD!D112*MN!$C$1</f>
        <v>0</v>
      </c>
      <c r="E112" s="10">
        <f>+USD!E112*MN!$C$1</f>
        <v>0</v>
      </c>
      <c r="F112" s="10">
        <f>+USD!F112*MN!$C$1</f>
        <v>0</v>
      </c>
      <c r="G112" s="10">
        <f>+USD!G112*MN!$C$1</f>
        <v>0</v>
      </c>
      <c r="H112" s="10">
        <f>+USD!H112*MN!$C$1</f>
        <v>0</v>
      </c>
      <c r="I112" s="10">
        <f>+USD!I112*MN!$C$1</f>
        <v>0</v>
      </c>
      <c r="J112" s="10">
        <f>+USD!J112*MN!$C$1</f>
        <v>0</v>
      </c>
      <c r="K112" s="10">
        <f>+USD!K112*MN!$C$1</f>
        <v>0</v>
      </c>
      <c r="L112" s="10">
        <f>+USD!L112*MN!$C$1</f>
        <v>0</v>
      </c>
      <c r="M112" s="10">
        <f>+USD!M112*MN!$C$1</f>
        <v>0</v>
      </c>
      <c r="N112" s="10">
        <f>+USD!N112*MN!$C$1</f>
        <v>0</v>
      </c>
    </row>
    <row r="113" spans="1:16" outlineLevel="1" x14ac:dyDescent="0.25">
      <c r="A113" s="2" t="s">
        <v>114</v>
      </c>
      <c r="B113" s="8">
        <f t="shared" si="11"/>
        <v>0</v>
      </c>
      <c r="C113" s="7">
        <f>+USD!C113*MN!$C$1</f>
        <v>0</v>
      </c>
      <c r="D113" s="8">
        <f>+USD!D113*MN!$C$1</f>
        <v>0</v>
      </c>
      <c r="E113" s="7">
        <f>+USD!E113*MN!$C$1</f>
        <v>0</v>
      </c>
      <c r="F113" s="8">
        <f>+USD!F113*MN!$C$1</f>
        <v>0</v>
      </c>
      <c r="G113" s="7">
        <f>+USD!G113*MN!$C$1</f>
        <v>0</v>
      </c>
      <c r="H113" s="8">
        <f>+USD!H113*MN!$C$1</f>
        <v>0</v>
      </c>
      <c r="I113" s="7">
        <f>+USD!I113*MN!$C$1</f>
        <v>0</v>
      </c>
      <c r="J113" s="8">
        <f>+USD!J113*MN!$C$1</f>
        <v>0</v>
      </c>
      <c r="K113" s="7">
        <f>+USD!K113*MN!$C$1</f>
        <v>0</v>
      </c>
      <c r="L113" s="8">
        <f>+USD!L113*MN!$C$1</f>
        <v>0</v>
      </c>
      <c r="M113" s="7">
        <f>+USD!M113*MN!$C$1</f>
        <v>0</v>
      </c>
      <c r="N113" s="8">
        <f>+USD!N113*MN!$C$1</f>
        <v>0</v>
      </c>
    </row>
    <row r="114" spans="1:16" outlineLevel="1" x14ac:dyDescent="0.25">
      <c r="A114" s="9" t="s">
        <v>115</v>
      </c>
      <c r="B114" s="10">
        <f t="shared" si="11"/>
        <v>0</v>
      </c>
      <c r="C114" s="10">
        <f>+USD!C114*MN!$C$1</f>
        <v>0</v>
      </c>
      <c r="D114" s="10">
        <f>+USD!D114*MN!$C$1</f>
        <v>0</v>
      </c>
      <c r="E114" s="10">
        <f>+USD!E114*MN!$C$1</f>
        <v>0</v>
      </c>
      <c r="F114" s="10">
        <f>+USD!F114*MN!$C$1</f>
        <v>0</v>
      </c>
      <c r="G114" s="10">
        <f>+USD!G114*MN!$C$1</f>
        <v>0</v>
      </c>
      <c r="H114" s="10">
        <f>+USD!H114*MN!$C$1</f>
        <v>0</v>
      </c>
      <c r="I114" s="10">
        <f>+USD!I114*MN!$C$1</f>
        <v>0</v>
      </c>
      <c r="J114" s="10">
        <f>+USD!J114*MN!$C$1</f>
        <v>0</v>
      </c>
      <c r="K114" s="10">
        <f>+USD!K114*MN!$C$1</f>
        <v>0</v>
      </c>
      <c r="L114" s="10">
        <f>+USD!L114*MN!$C$1</f>
        <v>0</v>
      </c>
      <c r="M114" s="10">
        <f>+USD!M114*MN!$C$1</f>
        <v>0</v>
      </c>
      <c r="N114" s="10">
        <f>+USD!N114*MN!$C$1</f>
        <v>0</v>
      </c>
    </row>
    <row r="115" spans="1:16" outlineLevel="1" x14ac:dyDescent="0.25">
      <c r="A115" s="2" t="s">
        <v>139</v>
      </c>
      <c r="B115" s="8">
        <f t="shared" si="11"/>
        <v>0</v>
      </c>
      <c r="C115" s="7">
        <f>+USD!C115*MN!$C$1</f>
        <v>0</v>
      </c>
      <c r="D115" s="8">
        <f>+USD!D115*MN!$C$1</f>
        <v>0</v>
      </c>
      <c r="E115" s="7">
        <f>+USD!E115*MN!$C$1</f>
        <v>0</v>
      </c>
      <c r="F115" s="8">
        <f>+USD!F115*MN!$C$1</f>
        <v>0</v>
      </c>
      <c r="G115" s="7">
        <f>+USD!G115*MN!$C$1</f>
        <v>0</v>
      </c>
      <c r="H115" s="8">
        <f>+USD!H115*MN!$C$1</f>
        <v>0</v>
      </c>
      <c r="I115" s="7">
        <f>+USD!I115*MN!$C$1</f>
        <v>0</v>
      </c>
      <c r="J115" s="8">
        <f>+USD!J115*MN!$C$1</f>
        <v>0</v>
      </c>
      <c r="K115" s="7">
        <f>+USD!K115*MN!$C$1</f>
        <v>0</v>
      </c>
      <c r="L115" s="8">
        <f>+USD!L115*MN!$C$1</f>
        <v>0</v>
      </c>
      <c r="M115" s="7">
        <f>+USD!M115*MN!$C$1</f>
        <v>0</v>
      </c>
      <c r="N115" s="8">
        <f>+USD!N115*MN!$C$1</f>
        <v>0</v>
      </c>
    </row>
    <row r="116" spans="1:16" outlineLevel="1" x14ac:dyDescent="0.25">
      <c r="A116" s="9" t="s">
        <v>116</v>
      </c>
      <c r="B116" s="10">
        <f t="shared" si="11"/>
        <v>0</v>
      </c>
      <c r="C116" s="10">
        <f>+USD!C116*MN!$C$1</f>
        <v>0</v>
      </c>
      <c r="D116" s="10">
        <f>+USD!D116*MN!$C$1</f>
        <v>0</v>
      </c>
      <c r="E116" s="10">
        <f>+USD!E116*MN!$C$1</f>
        <v>0</v>
      </c>
      <c r="F116" s="10">
        <f>+USD!F116*MN!$C$1</f>
        <v>0</v>
      </c>
      <c r="G116" s="10">
        <f>+USD!G116*MN!$C$1</f>
        <v>0</v>
      </c>
      <c r="H116" s="10">
        <f>+USD!H116*MN!$C$1</f>
        <v>0</v>
      </c>
      <c r="I116" s="10">
        <f>+USD!I116*MN!$C$1</f>
        <v>0</v>
      </c>
      <c r="J116" s="10">
        <f>+USD!J116*MN!$C$1</f>
        <v>0</v>
      </c>
      <c r="K116" s="10">
        <f>+USD!K116*MN!$C$1</f>
        <v>0</v>
      </c>
      <c r="L116" s="10">
        <f>+USD!L116*MN!$C$1</f>
        <v>0</v>
      </c>
      <c r="M116" s="10">
        <f>+USD!M116*MN!$C$1</f>
        <v>0</v>
      </c>
      <c r="N116" s="10">
        <f>+USD!N116*MN!$C$1</f>
        <v>0</v>
      </c>
    </row>
    <row r="117" spans="1:16" outlineLevel="1" x14ac:dyDescent="0.25">
      <c r="A117" s="2" t="s">
        <v>140</v>
      </c>
      <c r="B117" s="8">
        <f t="shared" si="11"/>
        <v>0</v>
      </c>
      <c r="C117" s="7">
        <f>+USD!C117*MN!$C$1</f>
        <v>0</v>
      </c>
      <c r="D117" s="7">
        <f>+USD!D117*MN!$C$1</f>
        <v>0</v>
      </c>
      <c r="E117" s="7">
        <f>+USD!E117*MN!$C$1</f>
        <v>0</v>
      </c>
      <c r="F117" s="7">
        <f>+USD!F117*MN!$C$1</f>
        <v>0</v>
      </c>
      <c r="G117" s="7">
        <f>+USD!G117*MN!$C$1</f>
        <v>0</v>
      </c>
      <c r="H117" s="7">
        <f>+USD!H117*MN!$C$1</f>
        <v>0</v>
      </c>
      <c r="I117" s="7">
        <f>+USD!I117*MN!$C$1</f>
        <v>0</v>
      </c>
      <c r="J117" s="7">
        <f>+USD!J117*MN!$C$1</f>
        <v>0</v>
      </c>
      <c r="K117" s="7">
        <f>+USD!K117*MN!$C$1</f>
        <v>0</v>
      </c>
      <c r="L117" s="7">
        <f>+USD!L117*MN!$C$1</f>
        <v>0</v>
      </c>
      <c r="M117" s="7">
        <f>+USD!M117*MN!$C$1</f>
        <v>0</v>
      </c>
      <c r="N117" s="7">
        <f>+USD!N117*MN!$C$1</f>
        <v>0</v>
      </c>
    </row>
    <row r="118" spans="1:16" outlineLevel="1" x14ac:dyDescent="0.25">
      <c r="A118" s="9" t="s">
        <v>141</v>
      </c>
      <c r="B118" s="10">
        <f t="shared" si="11"/>
        <v>111826800</v>
      </c>
      <c r="C118" s="10">
        <f>+USD!C118*MN!$C$1</f>
        <v>10075300</v>
      </c>
      <c r="D118" s="10">
        <f>+USD!D118*MN!$C$1</f>
        <v>10075300</v>
      </c>
      <c r="E118" s="10">
        <f>+USD!E118*MN!$C$1</f>
        <v>10075300</v>
      </c>
      <c r="F118" s="10">
        <f>+USD!F118*MN!$C$1</f>
        <v>10075300</v>
      </c>
      <c r="G118" s="10">
        <f>+USD!G118*MN!$C$1</f>
        <v>8940700</v>
      </c>
      <c r="H118" s="10">
        <f>+USD!H118*MN!$C$1</f>
        <v>8940700</v>
      </c>
      <c r="I118" s="10">
        <f>+USD!I118*MN!$C$1</f>
        <v>8940700</v>
      </c>
      <c r="J118" s="10">
        <f>+USD!J118*MN!$C$1</f>
        <v>8940700</v>
      </c>
      <c r="K118" s="10">
        <f>+USD!K118*MN!$C$1</f>
        <v>8940700</v>
      </c>
      <c r="L118" s="10">
        <f>+USD!L118*MN!$C$1</f>
        <v>8940700</v>
      </c>
      <c r="M118" s="10">
        <f>+USD!M118*MN!$C$1</f>
        <v>8940700</v>
      </c>
      <c r="N118" s="10">
        <f>+USD!N118*MN!$C$1</f>
        <v>8940700</v>
      </c>
    </row>
    <row r="119" spans="1:16" outlineLevel="1" x14ac:dyDescent="0.25">
      <c r="A119" s="2" t="s">
        <v>117</v>
      </c>
      <c r="B119" s="8">
        <f t="shared" si="11"/>
        <v>0</v>
      </c>
      <c r="C119" s="7">
        <f>+USD!C119*MN!$C$1</f>
        <v>0</v>
      </c>
      <c r="D119" s="8">
        <f>+USD!D119*MN!$C$1</f>
        <v>0</v>
      </c>
      <c r="E119" s="7">
        <f>+USD!E119*MN!$C$1</f>
        <v>0</v>
      </c>
      <c r="F119" s="8">
        <f>+USD!F119*MN!$C$1</f>
        <v>0</v>
      </c>
      <c r="G119" s="7">
        <f>+USD!G119*MN!$C$1</f>
        <v>0</v>
      </c>
      <c r="H119" s="8">
        <f>+USD!H119*MN!$C$1</f>
        <v>0</v>
      </c>
      <c r="I119" s="7">
        <f>+USD!I119*MN!$C$1</f>
        <v>0</v>
      </c>
      <c r="J119" s="8">
        <f>+USD!J119*MN!$C$1</f>
        <v>0</v>
      </c>
      <c r="K119" s="7">
        <f>+USD!K119*MN!$C$1</f>
        <v>0</v>
      </c>
      <c r="L119" s="8">
        <f>+USD!L119*MN!$C$1</f>
        <v>0</v>
      </c>
      <c r="M119" s="7">
        <f>+USD!M119*MN!$C$1</f>
        <v>0</v>
      </c>
      <c r="N119" s="8">
        <f>+USD!N119*MN!$C$1</f>
        <v>0</v>
      </c>
    </row>
    <row r="120" spans="1:16" outlineLevel="1" x14ac:dyDescent="0.25">
      <c r="A120" s="9" t="s">
        <v>118</v>
      </c>
      <c r="B120" s="10">
        <f t="shared" si="11"/>
        <v>0</v>
      </c>
      <c r="C120" s="10">
        <f>+USD!C120*MN!$C$1</f>
        <v>0</v>
      </c>
      <c r="D120" s="10">
        <f>+USD!D120*MN!$C$1</f>
        <v>0</v>
      </c>
      <c r="E120" s="10">
        <f>+USD!E120*MN!$C$1</f>
        <v>0</v>
      </c>
      <c r="F120" s="10">
        <f>+USD!F120*MN!$C$1</f>
        <v>0</v>
      </c>
      <c r="G120" s="10">
        <f>+USD!G120*MN!$C$1</f>
        <v>0</v>
      </c>
      <c r="H120" s="10">
        <f>+USD!H120*MN!$C$1</f>
        <v>0</v>
      </c>
      <c r="I120" s="10">
        <f>+USD!I120*MN!$C$1</f>
        <v>0</v>
      </c>
      <c r="J120" s="10">
        <f>+USD!J120*MN!$C$1</f>
        <v>0</v>
      </c>
      <c r="K120" s="10">
        <f>+USD!K120*MN!$C$1</f>
        <v>0</v>
      </c>
      <c r="L120" s="10">
        <f>+USD!L120*MN!$C$1</f>
        <v>0</v>
      </c>
      <c r="M120" s="10">
        <f>+USD!M120*MN!$C$1</f>
        <v>0</v>
      </c>
      <c r="N120" s="10">
        <f>+USD!N120*MN!$C$1</f>
        <v>0</v>
      </c>
    </row>
    <row r="121" spans="1:16" outlineLevel="1" x14ac:dyDescent="0.25">
      <c r="A121" s="2" t="s">
        <v>119</v>
      </c>
      <c r="B121" s="8">
        <f t="shared" si="11"/>
        <v>0</v>
      </c>
      <c r="C121" s="7">
        <f>+USD!C121*MN!$C$1</f>
        <v>0</v>
      </c>
      <c r="D121" s="8">
        <f>+USD!D121*MN!$C$1</f>
        <v>0</v>
      </c>
      <c r="E121" s="7">
        <f>+USD!E121*MN!$C$1</f>
        <v>0</v>
      </c>
      <c r="F121" s="8">
        <f>+USD!F121*MN!$C$1</f>
        <v>0</v>
      </c>
      <c r="G121" s="7">
        <f>+USD!G121*MN!$C$1</f>
        <v>0</v>
      </c>
      <c r="H121" s="8">
        <f>+USD!H121*MN!$C$1</f>
        <v>0</v>
      </c>
      <c r="I121" s="7">
        <f>+USD!I121*MN!$C$1</f>
        <v>0</v>
      </c>
      <c r="J121" s="8">
        <f>+USD!J121*MN!$C$1</f>
        <v>0</v>
      </c>
      <c r="K121" s="7">
        <f>+USD!K121*MN!$C$1</f>
        <v>0</v>
      </c>
      <c r="L121" s="8">
        <f>+USD!L121*MN!$C$1</f>
        <v>0</v>
      </c>
      <c r="M121" s="7">
        <f>+USD!M121*MN!$C$1</f>
        <v>0</v>
      </c>
      <c r="N121" s="8">
        <f>+USD!N121*MN!$C$1</f>
        <v>0</v>
      </c>
    </row>
    <row r="122" spans="1:16" outlineLevel="1" x14ac:dyDescent="0.25">
      <c r="A122" s="9" t="s">
        <v>166</v>
      </c>
      <c r="B122" s="10">
        <f t="shared" si="11"/>
        <v>45750</v>
      </c>
      <c r="C122" s="10">
        <f>+USD!C122*MN!$C$1</f>
        <v>0</v>
      </c>
      <c r="D122" s="10">
        <f>+USD!D122*MN!$C$1</f>
        <v>45750</v>
      </c>
      <c r="E122" s="10">
        <f>+USD!E122*MN!$C$1</f>
        <v>0</v>
      </c>
      <c r="F122" s="10">
        <f>+USD!F122*MN!$C$1</f>
        <v>0</v>
      </c>
      <c r="G122" s="10">
        <f>+USD!G122*MN!$C$1</f>
        <v>0</v>
      </c>
      <c r="H122" s="10">
        <f>+USD!H122*MN!$C$1</f>
        <v>0</v>
      </c>
      <c r="I122" s="10">
        <f>+USD!I122*MN!$C$1</f>
        <v>0</v>
      </c>
      <c r="J122" s="10">
        <f>+USD!J122*MN!$C$1</f>
        <v>0</v>
      </c>
      <c r="K122" s="10">
        <f>+USD!K122*MN!$C$1</f>
        <v>0</v>
      </c>
      <c r="L122" s="10">
        <f>+USD!L122*MN!$C$1</f>
        <v>0</v>
      </c>
      <c r="M122" s="10">
        <f>+USD!M122*MN!$C$1</f>
        <v>0</v>
      </c>
      <c r="N122" s="10">
        <f>+USD!N122*MN!$C$1</f>
        <v>0</v>
      </c>
    </row>
    <row r="123" spans="1:16" outlineLevel="1" x14ac:dyDescent="0.25">
      <c r="A123" s="2" t="s">
        <v>142</v>
      </c>
      <c r="B123" s="8">
        <f t="shared" si="11"/>
        <v>0</v>
      </c>
      <c r="C123" s="7">
        <f>+USD!C123*MN!$C$1</f>
        <v>0</v>
      </c>
      <c r="D123" s="8">
        <f>+USD!D123*MN!$C$1</f>
        <v>0</v>
      </c>
      <c r="E123" s="7">
        <f>+USD!E123*MN!$C$1</f>
        <v>0</v>
      </c>
      <c r="F123" s="8">
        <f>+USD!F123*MN!$C$1</f>
        <v>0</v>
      </c>
      <c r="G123" s="7">
        <f>+USD!G123*MN!$C$1</f>
        <v>0</v>
      </c>
      <c r="H123" s="8">
        <f>+USD!H123*MN!$C$1</f>
        <v>0</v>
      </c>
      <c r="I123" s="7">
        <f>+USD!I123*MN!$C$1</f>
        <v>0</v>
      </c>
      <c r="J123" s="8">
        <f>+USD!J123*MN!$C$1</f>
        <v>0</v>
      </c>
      <c r="K123" s="7">
        <f>+USD!K123*MN!$C$1</f>
        <v>0</v>
      </c>
      <c r="L123" s="8">
        <f>+USD!L123*MN!$C$1</f>
        <v>0</v>
      </c>
      <c r="M123" s="7">
        <f>+USD!M123*MN!$C$1</f>
        <v>0</v>
      </c>
      <c r="N123" s="8">
        <f>+USD!N123*MN!$C$1</f>
        <v>0</v>
      </c>
    </row>
    <row r="124" spans="1:16" outlineLevel="1" x14ac:dyDescent="0.25">
      <c r="A124" s="9" t="s">
        <v>143</v>
      </c>
      <c r="B124" s="10">
        <f t="shared" si="11"/>
        <v>102230850.29382366</v>
      </c>
      <c r="C124" s="10">
        <f>+USD!C124*MN!$C$1</f>
        <v>9882000</v>
      </c>
      <c r="D124" s="10">
        <f>+USD!D124*MN!$C$1</f>
        <v>9882000</v>
      </c>
      <c r="E124" s="10">
        <f>+USD!E124*MN!$C$1</f>
        <v>9882000</v>
      </c>
      <c r="F124" s="10">
        <f>+USD!F124*MN!$C$1</f>
        <v>9882000</v>
      </c>
      <c r="G124" s="10">
        <f>+USD!G124*MN!$C$1</f>
        <v>9882000</v>
      </c>
      <c r="H124" s="10">
        <f>+USD!H124*MN!$C$1</f>
        <v>9882000</v>
      </c>
      <c r="I124" s="10">
        <f>+USD!I124*MN!$C$1</f>
        <v>9882000</v>
      </c>
      <c r="J124" s="10">
        <f>+USD!J124*MN!$C$1</f>
        <v>9882000</v>
      </c>
      <c r="K124" s="10">
        <f>+USD!K124*MN!$C$1</f>
        <v>9882000</v>
      </c>
      <c r="L124" s="10">
        <f>+USD!L124*MN!$C$1</f>
        <v>9882000</v>
      </c>
      <c r="M124" s="10">
        <f>+USD!M124*MN!$C$1</f>
        <v>3410850.2938236594</v>
      </c>
      <c r="N124" s="10">
        <f>+USD!N124*MN!$C$1</f>
        <v>0</v>
      </c>
    </row>
    <row r="125" spans="1:16" outlineLevel="1" x14ac:dyDescent="0.25">
      <c r="A125" s="2" t="s">
        <v>144</v>
      </c>
      <c r="B125" s="8">
        <f t="shared" si="11"/>
        <v>0</v>
      </c>
      <c r="C125" s="7">
        <f>+USD!C125*MN!$C$1</f>
        <v>0</v>
      </c>
      <c r="D125" s="8">
        <f>+USD!D125*MN!$C$1</f>
        <v>0</v>
      </c>
      <c r="E125" s="7">
        <f>+USD!E125*MN!$C$1</f>
        <v>0</v>
      </c>
      <c r="F125" s="8">
        <f>+USD!F125*MN!$C$1</f>
        <v>0</v>
      </c>
      <c r="G125" s="7">
        <f>+USD!G125*MN!$C$1</f>
        <v>0</v>
      </c>
      <c r="H125" s="8">
        <f>+USD!H125*MN!$C$1</f>
        <v>0</v>
      </c>
      <c r="I125" s="7">
        <f>+USD!I125*MN!$C$1</f>
        <v>0</v>
      </c>
      <c r="J125" s="8">
        <f>+USD!J125*MN!$C$1</f>
        <v>0</v>
      </c>
      <c r="K125" s="7">
        <f>+USD!K125*MN!$C$1</f>
        <v>0</v>
      </c>
      <c r="L125" s="8">
        <f>+USD!L125*MN!$C$1</f>
        <v>0</v>
      </c>
      <c r="M125" s="7">
        <f>+USD!M125*MN!$C$1</f>
        <v>0</v>
      </c>
      <c r="N125" s="8">
        <f>+USD!N125*MN!$C$1</f>
        <v>0</v>
      </c>
    </row>
    <row r="126" spans="1:16" outlineLevel="1" x14ac:dyDescent="0.25">
      <c r="A126" s="9" t="s">
        <v>145</v>
      </c>
      <c r="B126" s="10">
        <f t="shared" si="11"/>
        <v>0</v>
      </c>
      <c r="C126" s="10">
        <f>+USD!C126*MN!$C$1</f>
        <v>0</v>
      </c>
      <c r="D126" s="10">
        <f>+USD!D126*MN!$C$1</f>
        <v>0</v>
      </c>
      <c r="E126" s="10">
        <f>+USD!E126*MN!$C$1</f>
        <v>0</v>
      </c>
      <c r="F126" s="10">
        <f>+USD!F126*MN!$C$1</f>
        <v>0</v>
      </c>
      <c r="G126" s="10">
        <f>+USD!G126*MN!$C$1</f>
        <v>0</v>
      </c>
      <c r="H126" s="10">
        <f>+USD!H126*MN!$C$1</f>
        <v>0</v>
      </c>
      <c r="I126" s="10">
        <f>+USD!I126*MN!$C$1</f>
        <v>0</v>
      </c>
      <c r="J126" s="10">
        <f>+USD!J126*MN!$C$1</f>
        <v>0</v>
      </c>
      <c r="K126" s="10">
        <f>+USD!K126*MN!$C$1</f>
        <v>0</v>
      </c>
      <c r="L126" s="10">
        <f>+USD!L126*MN!$C$1</f>
        <v>0</v>
      </c>
      <c r="M126" s="10">
        <f>+USD!M126*MN!$C$1</f>
        <v>0</v>
      </c>
      <c r="N126" s="10">
        <f>+USD!N126*MN!$C$1</f>
        <v>0</v>
      </c>
    </row>
    <row r="127" spans="1:16" outlineLevel="1" x14ac:dyDescent="0.25">
      <c r="A127" s="2" t="s">
        <v>146</v>
      </c>
      <c r="B127" s="8">
        <f t="shared" si="11"/>
        <v>0</v>
      </c>
      <c r="C127" s="7">
        <f>+USD!C127*MN!$C$1</f>
        <v>0</v>
      </c>
      <c r="D127" s="8">
        <f>+USD!D127*MN!$C$1</f>
        <v>0</v>
      </c>
      <c r="E127" s="7">
        <f>+USD!E127*MN!$C$1</f>
        <v>0</v>
      </c>
      <c r="F127" s="8">
        <f>+USD!F127*MN!$C$1</f>
        <v>0</v>
      </c>
      <c r="G127" s="7">
        <f>+USD!G127*MN!$C$1</f>
        <v>0</v>
      </c>
      <c r="H127" s="8">
        <f>+USD!H127*MN!$C$1</f>
        <v>0</v>
      </c>
      <c r="I127" s="7">
        <f>+USD!I127*MN!$C$1</f>
        <v>0</v>
      </c>
      <c r="J127" s="8">
        <f>+USD!J127*MN!$C$1</f>
        <v>0</v>
      </c>
      <c r="K127" s="7">
        <f>+USD!K127*MN!$C$1</f>
        <v>0</v>
      </c>
      <c r="L127" s="8">
        <f>+USD!L127*MN!$C$1</f>
        <v>0</v>
      </c>
      <c r="M127" s="7">
        <f>+USD!M127*MN!$C$1</f>
        <v>0</v>
      </c>
      <c r="N127" s="8">
        <f>+USD!N127*MN!$C$1</f>
        <v>0</v>
      </c>
      <c r="P127" s="11" t="s">
        <v>178</v>
      </c>
    </row>
    <row r="128" spans="1:16" outlineLevel="1" x14ac:dyDescent="0.25">
      <c r="A128" s="9" t="s">
        <v>147</v>
      </c>
      <c r="B128" s="10">
        <f t="shared" si="11"/>
        <v>0</v>
      </c>
      <c r="C128" s="10">
        <f>+USD!C128*MN!$C$1</f>
        <v>0</v>
      </c>
      <c r="D128" s="10">
        <f>+USD!D128*MN!$C$1</f>
        <v>0</v>
      </c>
      <c r="E128" s="10">
        <f>+USD!E128*MN!$C$1</f>
        <v>0</v>
      </c>
      <c r="F128" s="10">
        <f>+USD!F128*MN!$C$1</f>
        <v>0</v>
      </c>
      <c r="G128" s="10">
        <f>+USD!G128*MN!$C$1</f>
        <v>0</v>
      </c>
      <c r="H128" s="10">
        <f>+USD!H128*MN!$C$1</f>
        <v>0</v>
      </c>
      <c r="I128" s="10">
        <f>+USD!I128*MN!$C$1</f>
        <v>0</v>
      </c>
      <c r="J128" s="10">
        <f>+USD!J128*MN!$C$1</f>
        <v>0</v>
      </c>
      <c r="K128" s="10">
        <f>+USD!K128*MN!$C$1</f>
        <v>0</v>
      </c>
      <c r="L128" s="10">
        <f>+USD!L128*MN!$C$1</f>
        <v>0</v>
      </c>
      <c r="M128" s="10">
        <f>+USD!M128*MN!$C$1</f>
        <v>0</v>
      </c>
      <c r="N128" s="10">
        <f>+USD!N128*MN!$C$1</f>
        <v>0</v>
      </c>
    </row>
    <row r="129" spans="1:16" outlineLevel="1" x14ac:dyDescent="0.25">
      <c r="A129" s="2" t="s">
        <v>120</v>
      </c>
      <c r="B129" s="8">
        <f t="shared" si="11"/>
        <v>0</v>
      </c>
      <c r="C129" s="7">
        <f>+USD!C129*MN!$C$1</f>
        <v>0</v>
      </c>
      <c r="D129" s="8">
        <f>+USD!D129*MN!$C$1</f>
        <v>0</v>
      </c>
      <c r="E129" s="7">
        <f>+USD!E129*MN!$C$1</f>
        <v>0</v>
      </c>
      <c r="F129" s="8">
        <f>+USD!F129*MN!$C$1</f>
        <v>0</v>
      </c>
      <c r="G129" s="7">
        <f>+USD!G129*MN!$C$1</f>
        <v>0</v>
      </c>
      <c r="H129" s="8">
        <f>+USD!H129*MN!$C$1</f>
        <v>0</v>
      </c>
      <c r="I129" s="7">
        <f>+USD!I129*MN!$C$1</f>
        <v>0</v>
      </c>
      <c r="J129" s="8">
        <f>+USD!J129*MN!$C$1</f>
        <v>0</v>
      </c>
      <c r="K129" s="7">
        <f>+USD!K129*MN!$C$1</f>
        <v>0</v>
      </c>
      <c r="L129" s="8">
        <f>+USD!L129*MN!$C$1</f>
        <v>0</v>
      </c>
      <c r="M129" s="7">
        <f>+USD!M129*MN!$C$1</f>
        <v>0</v>
      </c>
      <c r="N129" s="8">
        <f>+USD!N129*MN!$C$1</f>
        <v>0</v>
      </c>
    </row>
    <row r="130" spans="1:16" outlineLevel="1" x14ac:dyDescent="0.25">
      <c r="A130" s="9" t="s">
        <v>148</v>
      </c>
      <c r="B130" s="10">
        <f t="shared" si="11"/>
        <v>0</v>
      </c>
      <c r="C130" s="10">
        <f>+USD!C130*MN!$C$1</f>
        <v>0</v>
      </c>
      <c r="D130" s="10">
        <f>+USD!D130*MN!$C$1</f>
        <v>0</v>
      </c>
      <c r="E130" s="10">
        <f>+USD!E130*MN!$C$1</f>
        <v>0</v>
      </c>
      <c r="F130" s="10">
        <f>+USD!F130*MN!$C$1</f>
        <v>0</v>
      </c>
      <c r="G130" s="10">
        <f>+USD!G130*MN!$C$1</f>
        <v>0</v>
      </c>
      <c r="H130" s="10">
        <f>+USD!H130*MN!$C$1</f>
        <v>0</v>
      </c>
      <c r="I130" s="10">
        <f>+USD!I130*MN!$C$1</f>
        <v>0</v>
      </c>
      <c r="J130" s="10">
        <f>+USD!J130*MN!$C$1</f>
        <v>0</v>
      </c>
      <c r="K130" s="10">
        <f>+USD!K130*MN!$C$1</f>
        <v>0</v>
      </c>
      <c r="L130" s="10">
        <f>+USD!L130*MN!$C$1</f>
        <v>0</v>
      </c>
      <c r="M130" s="10">
        <f>+USD!M130*MN!$C$1</f>
        <v>0</v>
      </c>
      <c r="N130" s="10">
        <f>+USD!N130*MN!$C$1</f>
        <v>0</v>
      </c>
    </row>
    <row r="131" spans="1:16" outlineLevel="1" x14ac:dyDescent="0.25">
      <c r="A131" s="2" t="s">
        <v>149</v>
      </c>
      <c r="B131" s="8">
        <f t="shared" si="11"/>
        <v>0</v>
      </c>
      <c r="C131" s="7">
        <f>+USD!C131*MN!$C$1</f>
        <v>0</v>
      </c>
      <c r="D131" s="8">
        <f>+USD!D131*MN!$C$1</f>
        <v>0</v>
      </c>
      <c r="E131" s="7">
        <f>+USD!E131*MN!$C$1</f>
        <v>0</v>
      </c>
      <c r="F131" s="8">
        <f>+USD!F131*MN!$C$1</f>
        <v>0</v>
      </c>
      <c r="G131" s="7">
        <f>+USD!G131*MN!$C$1</f>
        <v>0</v>
      </c>
      <c r="H131" s="8">
        <f>+USD!H131*MN!$C$1</f>
        <v>0</v>
      </c>
      <c r="I131" s="7">
        <f>+USD!I131*MN!$C$1</f>
        <v>0</v>
      </c>
      <c r="J131" s="8">
        <f>+USD!J131*MN!$C$1</f>
        <v>0</v>
      </c>
      <c r="K131" s="7">
        <f>+USD!K131*MN!$C$1</f>
        <v>0</v>
      </c>
      <c r="L131" s="8">
        <f>+USD!L131*MN!$C$1</f>
        <v>0</v>
      </c>
      <c r="M131" s="7">
        <f>+USD!M131*MN!$C$1</f>
        <v>0</v>
      </c>
      <c r="N131" s="8">
        <f>+USD!N131*MN!$C$1</f>
        <v>0</v>
      </c>
    </row>
    <row r="132" spans="1:16" outlineLevel="1" x14ac:dyDescent="0.25">
      <c r="A132" s="9" t="s">
        <v>150</v>
      </c>
      <c r="B132" s="10">
        <f t="shared" si="11"/>
        <v>0</v>
      </c>
      <c r="C132" s="10">
        <f>+USD!C132*MN!$C$1</f>
        <v>0</v>
      </c>
      <c r="D132" s="10">
        <f>+USD!D132*MN!$C$1</f>
        <v>0</v>
      </c>
      <c r="E132" s="10">
        <f>+USD!E132*MN!$C$1</f>
        <v>0</v>
      </c>
      <c r="F132" s="10">
        <f>+USD!F132*MN!$C$1</f>
        <v>0</v>
      </c>
      <c r="G132" s="10">
        <f>+USD!G132*MN!$C$1</f>
        <v>0</v>
      </c>
      <c r="H132" s="10">
        <f>+USD!H132*MN!$C$1</f>
        <v>0</v>
      </c>
      <c r="I132" s="10">
        <f>+USD!I132*MN!$C$1</f>
        <v>0</v>
      </c>
      <c r="J132" s="10">
        <f>+USD!J132*MN!$C$1</f>
        <v>0</v>
      </c>
      <c r="K132" s="10">
        <f>+USD!K132*MN!$C$1</f>
        <v>0</v>
      </c>
      <c r="L132" s="10">
        <f>+USD!L132*MN!$C$1</f>
        <v>0</v>
      </c>
      <c r="M132" s="10">
        <f>+USD!M132*MN!$C$1</f>
        <v>0</v>
      </c>
      <c r="N132" s="10">
        <f>+USD!N132*MN!$C$1</f>
        <v>0</v>
      </c>
    </row>
    <row r="133" spans="1:16" outlineLevel="1" x14ac:dyDescent="0.25">
      <c r="A133" s="2" t="s">
        <v>121</v>
      </c>
      <c r="B133" s="8">
        <f t="shared" si="11"/>
        <v>0</v>
      </c>
      <c r="C133" s="7">
        <f>+USD!C133*MN!$C$1</f>
        <v>0</v>
      </c>
      <c r="D133" s="7">
        <f>+USD!D133*MN!$C$1</f>
        <v>0</v>
      </c>
      <c r="E133" s="7">
        <f>+USD!E133*MN!$C$1</f>
        <v>0</v>
      </c>
      <c r="F133" s="7">
        <f>+USD!F133*MN!$C$1</f>
        <v>0</v>
      </c>
      <c r="G133" s="7">
        <f>+USD!G133*MN!$C$1</f>
        <v>0</v>
      </c>
      <c r="H133" s="7">
        <f>+USD!H133*MN!$C$1</f>
        <v>0</v>
      </c>
      <c r="I133" s="7">
        <f>+USD!I133*MN!$C$1</f>
        <v>0</v>
      </c>
      <c r="J133" s="7">
        <f>+USD!J133*MN!$C$1</f>
        <v>0</v>
      </c>
      <c r="K133" s="7">
        <f>+USD!K133*MN!$C$1</f>
        <v>0</v>
      </c>
      <c r="L133" s="7">
        <f>+USD!L133*MN!$C$1</f>
        <v>0</v>
      </c>
      <c r="M133" s="7">
        <f>+USD!M133*MN!$C$1</f>
        <v>0</v>
      </c>
      <c r="N133" s="7">
        <f>+USD!N133*MN!$C$1</f>
        <v>0</v>
      </c>
      <c r="P133" s="11" t="s">
        <v>171</v>
      </c>
    </row>
    <row r="134" spans="1:16" outlineLevel="1" x14ac:dyDescent="0.25">
      <c r="A134" s="9" t="s">
        <v>122</v>
      </c>
      <c r="B134" s="10">
        <f t="shared" si="11"/>
        <v>0</v>
      </c>
      <c r="C134" s="10">
        <f>+USD!C134*MN!$C$1</f>
        <v>0</v>
      </c>
      <c r="D134" s="10">
        <f>+USD!D134*MN!$C$1</f>
        <v>0</v>
      </c>
      <c r="E134" s="10">
        <f>+USD!E134*MN!$C$1</f>
        <v>0</v>
      </c>
      <c r="F134" s="10">
        <f>+USD!F134*MN!$C$1</f>
        <v>0</v>
      </c>
      <c r="G134" s="10">
        <f>+USD!G134*MN!$C$1</f>
        <v>0</v>
      </c>
      <c r="H134" s="10">
        <f>+USD!H134*MN!$C$1</f>
        <v>0</v>
      </c>
      <c r="I134" s="10">
        <f>+USD!I134*MN!$C$1</f>
        <v>0</v>
      </c>
      <c r="J134" s="10">
        <f>+USD!J134*MN!$C$1</f>
        <v>0</v>
      </c>
      <c r="K134" s="10">
        <f>+USD!K134*MN!$C$1</f>
        <v>0</v>
      </c>
      <c r="L134" s="10">
        <f>+USD!L134*MN!$C$1</f>
        <v>0</v>
      </c>
      <c r="M134" s="10">
        <f>+USD!M134*MN!$C$1</f>
        <v>0</v>
      </c>
      <c r="N134" s="10">
        <f>+USD!N134*MN!$C$1</f>
        <v>0</v>
      </c>
    </row>
    <row r="135" spans="1:16" outlineLevel="1" x14ac:dyDescent="0.25">
      <c r="A135" s="2" t="s">
        <v>151</v>
      </c>
      <c r="B135" s="8">
        <f t="shared" si="11"/>
        <v>240000</v>
      </c>
      <c r="C135" s="7">
        <f>+USD!C135*MN!$C$1</f>
        <v>20000</v>
      </c>
      <c r="D135" s="8">
        <f>+USD!D135*MN!$C$1</f>
        <v>20000</v>
      </c>
      <c r="E135" s="7">
        <f>+USD!E135*MN!$C$1</f>
        <v>20000</v>
      </c>
      <c r="F135" s="8">
        <f>+USD!F135*MN!$C$1</f>
        <v>20000</v>
      </c>
      <c r="G135" s="7">
        <f>+USD!G135*MN!$C$1</f>
        <v>20000</v>
      </c>
      <c r="H135" s="8">
        <f>+USD!H135*MN!$C$1</f>
        <v>20000</v>
      </c>
      <c r="I135" s="7">
        <f>+USD!I135*MN!$C$1</f>
        <v>20000</v>
      </c>
      <c r="J135" s="8">
        <f>+USD!J135*MN!$C$1</f>
        <v>20000</v>
      </c>
      <c r="K135" s="7">
        <f>+USD!K135*MN!$C$1</f>
        <v>20000</v>
      </c>
      <c r="L135" s="8">
        <f>+USD!L135*MN!$C$1</f>
        <v>20000</v>
      </c>
      <c r="M135" s="7">
        <f>+USD!M135*MN!$C$1</f>
        <v>20000</v>
      </c>
      <c r="N135" s="8">
        <f>+USD!N135*MN!$C$1</f>
        <v>20000</v>
      </c>
    </row>
    <row r="136" spans="1:16" outlineLevel="1" x14ac:dyDescent="0.25">
      <c r="A136" s="9" t="s">
        <v>152</v>
      </c>
      <c r="B136" s="10">
        <f t="shared" si="11"/>
        <v>0</v>
      </c>
      <c r="C136" s="10">
        <f>+USD!C136*MN!$C$1</f>
        <v>0</v>
      </c>
      <c r="D136" s="10">
        <f>+USD!D136*MN!$C$1</f>
        <v>0</v>
      </c>
      <c r="E136" s="10">
        <f>+USD!E136*MN!$C$1</f>
        <v>0</v>
      </c>
      <c r="F136" s="10">
        <f>+USD!F136*MN!$C$1</f>
        <v>0</v>
      </c>
      <c r="G136" s="10">
        <f>+USD!G136*MN!$C$1</f>
        <v>0</v>
      </c>
      <c r="H136" s="10">
        <f>+USD!H136*MN!$C$1</f>
        <v>0</v>
      </c>
      <c r="I136" s="10">
        <f>+USD!I136*MN!$C$1</f>
        <v>0</v>
      </c>
      <c r="J136" s="10">
        <f>+USD!J136*MN!$C$1</f>
        <v>0</v>
      </c>
      <c r="K136" s="10">
        <f>+USD!K136*MN!$C$1</f>
        <v>0</v>
      </c>
      <c r="L136" s="10">
        <f>+USD!L136*MN!$C$1</f>
        <v>0</v>
      </c>
      <c r="M136" s="10">
        <f>+USD!M136*MN!$C$1</f>
        <v>0</v>
      </c>
      <c r="N136" s="10">
        <f>+USD!N136*MN!$C$1</f>
        <v>0</v>
      </c>
    </row>
    <row r="137" spans="1:16" outlineLevel="1" x14ac:dyDescent="0.25">
      <c r="A137" s="2" t="s">
        <v>123</v>
      </c>
      <c r="B137" s="8">
        <f t="shared" si="11"/>
        <v>0</v>
      </c>
      <c r="C137" s="7">
        <f>+USD!C137*MN!$C$1</f>
        <v>0</v>
      </c>
      <c r="D137" s="8">
        <f>+USD!D137*MN!$C$1</f>
        <v>0</v>
      </c>
      <c r="E137" s="7">
        <f>+USD!E137*MN!$C$1</f>
        <v>0</v>
      </c>
      <c r="F137" s="8">
        <f>+USD!F137*MN!$C$1</f>
        <v>0</v>
      </c>
      <c r="G137" s="7">
        <f>+USD!G137*MN!$C$1</f>
        <v>0</v>
      </c>
      <c r="H137" s="8">
        <f>+USD!H137*MN!$C$1</f>
        <v>0</v>
      </c>
      <c r="I137" s="7">
        <f>+USD!I137*MN!$C$1</f>
        <v>0</v>
      </c>
      <c r="J137" s="8">
        <f>+USD!J137*MN!$C$1</f>
        <v>0</v>
      </c>
      <c r="K137" s="7">
        <f>+USD!K137*MN!$C$1</f>
        <v>0</v>
      </c>
      <c r="L137" s="8">
        <f>+USD!L137*MN!$C$1</f>
        <v>0</v>
      </c>
      <c r="M137" s="7">
        <f>+USD!M137*MN!$C$1</f>
        <v>0</v>
      </c>
      <c r="N137" s="8">
        <f>+USD!N137*MN!$C$1</f>
        <v>0</v>
      </c>
    </row>
    <row r="138" spans="1:16" outlineLevel="1" x14ac:dyDescent="0.25">
      <c r="A138" s="9" t="s">
        <v>124</v>
      </c>
      <c r="B138" s="10">
        <f t="shared" si="11"/>
        <v>0</v>
      </c>
      <c r="C138" s="10">
        <f>+USD!C138*MN!$C$1</f>
        <v>0</v>
      </c>
      <c r="D138" s="10">
        <f>+USD!D138*MN!$C$1</f>
        <v>0</v>
      </c>
      <c r="E138" s="10">
        <f>+USD!E138*MN!$C$1</f>
        <v>0</v>
      </c>
      <c r="F138" s="10">
        <f>+USD!F138*MN!$C$1</f>
        <v>0</v>
      </c>
      <c r="G138" s="10">
        <f>+USD!G138*MN!$C$1</f>
        <v>0</v>
      </c>
      <c r="H138" s="10">
        <f>+USD!H138*MN!$C$1</f>
        <v>0</v>
      </c>
      <c r="I138" s="10">
        <f>+USD!I138*MN!$C$1</f>
        <v>0</v>
      </c>
      <c r="J138" s="10">
        <f>+USD!J138*MN!$C$1</f>
        <v>0</v>
      </c>
      <c r="K138" s="10">
        <f>+USD!K138*MN!$C$1</f>
        <v>0</v>
      </c>
      <c r="L138" s="10">
        <f>+USD!L138*MN!$C$1</f>
        <v>0</v>
      </c>
      <c r="M138" s="10">
        <f>+USD!M138*MN!$C$1</f>
        <v>0</v>
      </c>
      <c r="N138" s="10">
        <f>+USD!N138*MN!$C$1</f>
        <v>0</v>
      </c>
    </row>
    <row r="139" spans="1:16" outlineLevel="1" x14ac:dyDescent="0.25">
      <c r="A139" s="2" t="s">
        <v>125</v>
      </c>
      <c r="B139" s="8">
        <f t="shared" si="11"/>
        <v>0</v>
      </c>
      <c r="C139" s="7">
        <f>+USD!C139*MN!$C$1</f>
        <v>0</v>
      </c>
      <c r="D139" s="8">
        <f>+USD!D139*MN!$C$1</f>
        <v>0</v>
      </c>
      <c r="E139" s="7">
        <f>+USD!E139*MN!$C$1</f>
        <v>0</v>
      </c>
      <c r="F139" s="8">
        <f>+USD!F139*MN!$C$1</f>
        <v>0</v>
      </c>
      <c r="G139" s="7">
        <f>+USD!G139*MN!$C$1</f>
        <v>0</v>
      </c>
      <c r="H139" s="8">
        <f>+USD!H139*MN!$C$1</f>
        <v>0</v>
      </c>
      <c r="I139" s="7">
        <f>+USD!I139*MN!$C$1</f>
        <v>0</v>
      </c>
      <c r="J139" s="8">
        <f>+USD!J139*MN!$C$1</f>
        <v>0</v>
      </c>
      <c r="K139" s="7">
        <f>+USD!K139*MN!$C$1</f>
        <v>0</v>
      </c>
      <c r="L139" s="8">
        <f>+USD!L139*MN!$C$1</f>
        <v>0</v>
      </c>
      <c r="M139" s="7">
        <f>+USD!M139*MN!$C$1</f>
        <v>0</v>
      </c>
      <c r="N139" s="8">
        <f>+USD!N139*MN!$C$1</f>
        <v>0</v>
      </c>
    </row>
    <row r="140" spans="1:16" outlineLevel="1" x14ac:dyDescent="0.25">
      <c r="A140" s="9" t="s">
        <v>153</v>
      </c>
      <c r="B140" s="10">
        <f t="shared" si="11"/>
        <v>1200000</v>
      </c>
      <c r="C140" s="10">
        <f>+USD!C140*MN!$C$1</f>
        <v>100000</v>
      </c>
      <c r="D140" s="10">
        <f>+USD!D140*MN!$C$1</f>
        <v>100000</v>
      </c>
      <c r="E140" s="10">
        <f>+USD!E140*MN!$C$1</f>
        <v>100000</v>
      </c>
      <c r="F140" s="10">
        <f>+USD!F140*MN!$C$1</f>
        <v>100000</v>
      </c>
      <c r="G140" s="10">
        <f>+USD!G140*MN!$C$1</f>
        <v>100000</v>
      </c>
      <c r="H140" s="10">
        <f>+USD!H140*MN!$C$1</f>
        <v>100000</v>
      </c>
      <c r="I140" s="10">
        <f>+USD!I140*MN!$C$1</f>
        <v>100000</v>
      </c>
      <c r="J140" s="10">
        <f>+USD!J140*MN!$C$1</f>
        <v>100000</v>
      </c>
      <c r="K140" s="10">
        <f>+USD!K140*MN!$C$1</f>
        <v>100000</v>
      </c>
      <c r="L140" s="10">
        <f>+USD!L140*MN!$C$1</f>
        <v>100000</v>
      </c>
      <c r="M140" s="10">
        <f>+USD!M140*MN!$C$1</f>
        <v>100000</v>
      </c>
      <c r="N140" s="10">
        <f>+USD!N140*MN!$C$1</f>
        <v>100000</v>
      </c>
    </row>
    <row r="141" spans="1:16" outlineLevel="1" x14ac:dyDescent="0.25">
      <c r="A141" s="2" t="s">
        <v>154</v>
      </c>
      <c r="B141" s="8">
        <f t="shared" si="11"/>
        <v>11510700</v>
      </c>
      <c r="C141" s="7">
        <f>+USD!C141*MN!$C$1</f>
        <v>1409100</v>
      </c>
      <c r="D141" s="7">
        <f>+USD!D141*MN!$C$1</f>
        <v>402600</v>
      </c>
      <c r="E141" s="7">
        <f>+USD!E141*MN!$C$1</f>
        <v>1409100</v>
      </c>
      <c r="F141" s="7">
        <f>+USD!F141*MN!$C$1</f>
        <v>402600</v>
      </c>
      <c r="G141" s="7">
        <f>+USD!G141*MN!$C$1</f>
        <v>1409100</v>
      </c>
      <c r="H141" s="7">
        <f>+USD!H141*MN!$C$1</f>
        <v>402600</v>
      </c>
      <c r="I141" s="7">
        <f>+USD!I141*MN!$C$1</f>
        <v>1409100</v>
      </c>
      <c r="J141" s="7">
        <f>+USD!J141*MN!$C$1</f>
        <v>402600</v>
      </c>
      <c r="K141" s="7">
        <f>+USD!K141*MN!$C$1</f>
        <v>1409100</v>
      </c>
      <c r="L141" s="7">
        <f>+USD!L141*MN!$C$1</f>
        <v>402600</v>
      </c>
      <c r="M141" s="7">
        <f>+USD!M141*MN!$C$1</f>
        <v>1409100</v>
      </c>
      <c r="N141" s="7">
        <f>+USD!N141*MN!$C$1</f>
        <v>1043100</v>
      </c>
    </row>
    <row r="142" spans="1:16" outlineLevel="1" x14ac:dyDescent="0.25">
      <c r="A142" s="9" t="s">
        <v>155</v>
      </c>
      <c r="B142" s="10">
        <f t="shared" si="11"/>
        <v>0</v>
      </c>
      <c r="C142" s="10">
        <f>+USD!C142*MN!$C$1</f>
        <v>0</v>
      </c>
      <c r="D142" s="10">
        <f>+USD!D142*MN!$C$1</f>
        <v>0</v>
      </c>
      <c r="E142" s="10">
        <f>+USD!E142*MN!$C$1</f>
        <v>0</v>
      </c>
      <c r="F142" s="10">
        <f>+USD!F142*MN!$C$1</f>
        <v>0</v>
      </c>
      <c r="G142" s="10">
        <f>+USD!G142*MN!$C$1</f>
        <v>0</v>
      </c>
      <c r="H142" s="10">
        <f>+USD!H142*MN!$C$1</f>
        <v>0</v>
      </c>
      <c r="I142" s="10">
        <f>+USD!I142*MN!$C$1</f>
        <v>0</v>
      </c>
      <c r="J142" s="10">
        <f>+USD!J142*MN!$C$1</f>
        <v>0</v>
      </c>
      <c r="K142" s="10">
        <f>+USD!K142*MN!$C$1</f>
        <v>0</v>
      </c>
      <c r="L142" s="10">
        <f>+USD!L142*MN!$C$1</f>
        <v>0</v>
      </c>
      <c r="M142" s="10">
        <f>+USD!M142*MN!$C$1</f>
        <v>0</v>
      </c>
      <c r="N142" s="10">
        <f>+USD!N142*MN!$C$1</f>
        <v>0</v>
      </c>
    </row>
    <row r="143" spans="1:16" outlineLevel="1" x14ac:dyDescent="0.25">
      <c r="A143" s="2" t="s">
        <v>126</v>
      </c>
      <c r="B143" s="8">
        <f t="shared" si="11"/>
        <v>0</v>
      </c>
      <c r="C143" s="7">
        <f>+USD!C143*MN!$C$1</f>
        <v>0</v>
      </c>
      <c r="D143" s="8">
        <f>+USD!D143*MN!$C$1</f>
        <v>0</v>
      </c>
      <c r="E143" s="7">
        <f>+USD!E143*MN!$C$1</f>
        <v>0</v>
      </c>
      <c r="F143" s="8">
        <f>+USD!F143*MN!$C$1</f>
        <v>0</v>
      </c>
      <c r="G143" s="7">
        <f>+USD!G143*MN!$C$1</f>
        <v>0</v>
      </c>
      <c r="H143" s="8">
        <f>+USD!H143*MN!$C$1</f>
        <v>0</v>
      </c>
      <c r="I143" s="7">
        <f>+USD!I143*MN!$C$1</f>
        <v>0</v>
      </c>
      <c r="J143" s="8">
        <f>+USD!J143*MN!$C$1</f>
        <v>0</v>
      </c>
      <c r="K143" s="7">
        <f>+USD!K143*MN!$C$1</f>
        <v>0</v>
      </c>
      <c r="L143" s="8">
        <f>+USD!L143*MN!$C$1</f>
        <v>0</v>
      </c>
      <c r="M143" s="7">
        <f>+USD!M143*MN!$C$1</f>
        <v>0</v>
      </c>
      <c r="N143" s="8">
        <f>+USD!N143*MN!$C$1</f>
        <v>0</v>
      </c>
    </row>
    <row r="144" spans="1:16" outlineLevel="1" x14ac:dyDescent="0.25">
      <c r="A144" s="9" t="s">
        <v>106</v>
      </c>
      <c r="B144" s="10">
        <f>SUM(C144:N144)</f>
        <v>0</v>
      </c>
      <c r="C144" s="10">
        <f>+USD!C144*MN!$C$1</f>
        <v>0</v>
      </c>
      <c r="D144" s="10">
        <f>+USD!D144*MN!$C$1</f>
        <v>0</v>
      </c>
      <c r="E144" s="10">
        <f>+USD!E144*MN!$C$1</f>
        <v>0</v>
      </c>
      <c r="F144" s="10">
        <f>+USD!F144*MN!$C$1</f>
        <v>0</v>
      </c>
      <c r="G144" s="10">
        <f>+USD!G144*MN!$C$1</f>
        <v>0</v>
      </c>
      <c r="H144" s="10">
        <f>+USD!H144*MN!$C$1</f>
        <v>0</v>
      </c>
      <c r="I144" s="10">
        <f>+USD!I144*MN!$C$1</f>
        <v>0</v>
      </c>
      <c r="J144" s="10">
        <f>+USD!J144*MN!$C$1</f>
        <v>0</v>
      </c>
      <c r="K144" s="10">
        <f>+USD!K144*MN!$C$1</f>
        <v>0</v>
      </c>
      <c r="L144" s="10">
        <f>+USD!L144*MN!$C$1</f>
        <v>0</v>
      </c>
      <c r="M144" s="10">
        <f>+USD!M144*MN!$C$1</f>
        <v>0</v>
      </c>
      <c r="N144" s="10">
        <f>+USD!N144*MN!$C$1</f>
        <v>0</v>
      </c>
    </row>
    <row r="145" spans="1:16" outlineLevel="1" x14ac:dyDescent="0.25">
      <c r="A145" s="2" t="s">
        <v>156</v>
      </c>
      <c r="B145" s="8">
        <f>SUM(C145:N145)</f>
        <v>0</v>
      </c>
      <c r="C145" s="7">
        <f>+USD!C145*MN!$C$1</f>
        <v>0</v>
      </c>
      <c r="D145" s="8">
        <f>+USD!D145*MN!$C$1</f>
        <v>0</v>
      </c>
      <c r="E145" s="7">
        <f>+USD!E145*MN!$C$1</f>
        <v>0</v>
      </c>
      <c r="F145" s="8">
        <f>+USD!F145*MN!$C$1</f>
        <v>0</v>
      </c>
      <c r="G145" s="7">
        <f>+USD!G145*MN!$C$1</f>
        <v>0</v>
      </c>
      <c r="H145" s="8">
        <f>+USD!H145*MN!$C$1</f>
        <v>0</v>
      </c>
      <c r="I145" s="7">
        <f>+USD!I145*MN!$C$1</f>
        <v>0</v>
      </c>
      <c r="J145" s="8">
        <f>+USD!J145*MN!$C$1</f>
        <v>0</v>
      </c>
      <c r="K145" s="7">
        <f>+USD!K145*MN!$C$1</f>
        <v>0</v>
      </c>
      <c r="L145" s="8">
        <f>+USD!L145*MN!$C$1</f>
        <v>0</v>
      </c>
      <c r="M145" s="7">
        <f>+USD!M145*MN!$C$1</f>
        <v>0</v>
      </c>
      <c r="N145" s="8">
        <f>+USD!N145*MN!$C$1</f>
        <v>0</v>
      </c>
    </row>
    <row r="146" spans="1:16" outlineLevel="1" x14ac:dyDescent="0.25">
      <c r="A146" s="9" t="s">
        <v>127</v>
      </c>
      <c r="B146" s="10">
        <f>SUM(C146:N146)</f>
        <v>0</v>
      </c>
      <c r="C146" s="10">
        <f>+USD!C146*MN!$C$1</f>
        <v>0</v>
      </c>
      <c r="D146" s="10">
        <f>+USD!D146*MN!$C$1</f>
        <v>0</v>
      </c>
      <c r="E146" s="10">
        <f>+USD!E146*MN!$C$1</f>
        <v>0</v>
      </c>
      <c r="F146" s="10">
        <f>+USD!F146*MN!$C$1</f>
        <v>0</v>
      </c>
      <c r="G146" s="10">
        <f>+USD!G146*MN!$C$1</f>
        <v>0</v>
      </c>
      <c r="H146" s="10">
        <f>+USD!H146*MN!$C$1</f>
        <v>0</v>
      </c>
      <c r="I146" s="10">
        <f>+USD!I146*MN!$C$1</f>
        <v>0</v>
      </c>
      <c r="J146" s="10">
        <f>+USD!J146*MN!$C$1</f>
        <v>0</v>
      </c>
      <c r="K146" s="10">
        <f>+USD!K146*MN!$C$1</f>
        <v>0</v>
      </c>
      <c r="L146" s="10">
        <f>+USD!L146*MN!$C$1</f>
        <v>0</v>
      </c>
      <c r="M146" s="10">
        <f>+USD!M146*MN!$C$1</f>
        <v>0</v>
      </c>
      <c r="N146" s="10">
        <f>+USD!N146*MN!$C$1</f>
        <v>0</v>
      </c>
    </row>
    <row r="147" spans="1:16" s="5" customFormat="1" x14ac:dyDescent="0.25">
      <c r="A147" s="13" t="s">
        <v>27</v>
      </c>
      <c r="B147" s="14">
        <f>SUM(B84:B146)</f>
        <v>237555740.29382366</v>
      </c>
      <c r="C147" s="14">
        <f t="shared" ref="C147:N147" si="13">SUM(C84:C146)</f>
        <v>21643566.666666664</v>
      </c>
      <c r="D147" s="14">
        <f t="shared" si="13"/>
        <v>25528656.666666668</v>
      </c>
      <c r="E147" s="14">
        <f t="shared" si="13"/>
        <v>21643566.666666664</v>
      </c>
      <c r="F147" s="14">
        <f t="shared" si="13"/>
        <v>21369066.666666664</v>
      </c>
      <c r="G147" s="14">
        <f t="shared" si="13"/>
        <v>20874966.666666664</v>
      </c>
      <c r="H147" s="14">
        <f t="shared" si="13"/>
        <v>19868466.666666664</v>
      </c>
      <c r="I147" s="14">
        <f t="shared" si="13"/>
        <v>20874966.666666664</v>
      </c>
      <c r="J147" s="14">
        <f t="shared" si="13"/>
        <v>20234466.666666664</v>
      </c>
      <c r="K147" s="14">
        <f t="shared" si="13"/>
        <v>20874966.666666664</v>
      </c>
      <c r="L147" s="14">
        <f t="shared" si="13"/>
        <v>19502466.666666664</v>
      </c>
      <c r="M147" s="14">
        <f t="shared" si="13"/>
        <v>14458716.960490325</v>
      </c>
      <c r="N147" s="14">
        <f t="shared" si="13"/>
        <v>10681866.666666666</v>
      </c>
      <c r="P147" s="12"/>
    </row>
    <row r="148" spans="1:16" s="5" customFormat="1" x14ac:dyDescent="0.25">
      <c r="A148" s="13" t="s">
        <v>28</v>
      </c>
      <c r="B148" s="14">
        <f>SUM(C148:N148)</f>
        <v>3460852.9411764718</v>
      </c>
      <c r="C148" s="14">
        <f>+USD!C148*MN!$C$1</f>
        <v>277729.4117647059</v>
      </c>
      <c r="D148" s="14">
        <f>+USD!D148*MN!$C$1</f>
        <v>405829.4117647059</v>
      </c>
      <c r="E148" s="14">
        <f>+USD!E148*MN!$C$1</f>
        <v>277729.4117647059</v>
      </c>
      <c r="F148" s="14">
        <f>+USD!F148*MN!$C$1</f>
        <v>277729.4117647059</v>
      </c>
      <c r="G148" s="14">
        <f>+USD!G148*MN!$C$1</f>
        <v>277729.4117647059</v>
      </c>
      <c r="H148" s="14">
        <f>+USD!H148*MN!$C$1</f>
        <v>277729.4117647059</v>
      </c>
      <c r="I148" s="14">
        <f>+USD!I148*MN!$C$1</f>
        <v>277729.4117647059</v>
      </c>
      <c r="J148" s="14">
        <f>+USD!J148*MN!$C$1</f>
        <v>277729.4117647059</v>
      </c>
      <c r="K148" s="14">
        <f>+USD!K148*MN!$C$1</f>
        <v>277729.4117647059</v>
      </c>
      <c r="L148" s="14">
        <f>+USD!L148*MN!$C$1</f>
        <v>277729.4117647059</v>
      </c>
      <c r="M148" s="14">
        <f>+USD!M148*MN!$C$1</f>
        <v>277729.4117647059</v>
      </c>
      <c r="N148" s="14">
        <f>+USD!N148*MN!$C$1</f>
        <v>277729.4117647059</v>
      </c>
      <c r="P148" s="12" t="s">
        <v>172</v>
      </c>
    </row>
    <row r="149" spans="1:16" outlineLevel="1" x14ac:dyDescent="0.25">
      <c r="A149" s="2" t="s">
        <v>157</v>
      </c>
      <c r="B149" s="8">
        <f>SUM(C149:N149)</f>
        <v>360000</v>
      </c>
      <c r="C149" s="7">
        <v>30000</v>
      </c>
      <c r="D149" s="7">
        <v>30000</v>
      </c>
      <c r="E149" s="7">
        <v>30000</v>
      </c>
      <c r="F149" s="7">
        <v>30000</v>
      </c>
      <c r="G149" s="7">
        <v>30000</v>
      </c>
      <c r="H149" s="7">
        <v>30000</v>
      </c>
      <c r="I149" s="7">
        <v>30000</v>
      </c>
      <c r="J149" s="7">
        <v>30000</v>
      </c>
      <c r="K149" s="7">
        <v>30000</v>
      </c>
      <c r="L149" s="7">
        <v>30000</v>
      </c>
      <c r="M149" s="7">
        <v>30000</v>
      </c>
      <c r="N149" s="7">
        <v>30000</v>
      </c>
    </row>
    <row r="150" spans="1:16" s="5" customFormat="1" x14ac:dyDescent="0.25">
      <c r="A150" s="13" t="s">
        <v>29</v>
      </c>
      <c r="B150" s="14">
        <f>B149</f>
        <v>360000</v>
      </c>
      <c r="C150" s="14">
        <f>C149</f>
        <v>30000</v>
      </c>
      <c r="D150" s="14">
        <f t="shared" ref="D150:N150" si="14">D149</f>
        <v>30000</v>
      </c>
      <c r="E150" s="14">
        <f t="shared" si="14"/>
        <v>30000</v>
      </c>
      <c r="F150" s="14">
        <f t="shared" si="14"/>
        <v>30000</v>
      </c>
      <c r="G150" s="14">
        <f t="shared" si="14"/>
        <v>30000</v>
      </c>
      <c r="H150" s="14">
        <f t="shared" si="14"/>
        <v>30000</v>
      </c>
      <c r="I150" s="14">
        <f t="shared" si="14"/>
        <v>30000</v>
      </c>
      <c r="J150" s="14">
        <f t="shared" si="14"/>
        <v>30000</v>
      </c>
      <c r="K150" s="14">
        <f t="shared" si="14"/>
        <v>30000</v>
      </c>
      <c r="L150" s="14">
        <f t="shared" si="14"/>
        <v>30000</v>
      </c>
      <c r="M150" s="14">
        <f t="shared" si="14"/>
        <v>30000</v>
      </c>
      <c r="N150" s="14">
        <f t="shared" si="14"/>
        <v>30000</v>
      </c>
      <c r="P150" s="12" t="s">
        <v>180</v>
      </c>
    </row>
    <row r="151" spans="1:16" s="5" customFormat="1" x14ac:dyDescent="0.25">
      <c r="A151" s="13" t="s">
        <v>30</v>
      </c>
      <c r="B151" s="14">
        <f>SUM(C151:N151)</f>
        <v>0</v>
      </c>
      <c r="C151" s="14"/>
      <c r="D151" s="14"/>
      <c r="E151" s="14"/>
      <c r="F151" s="14"/>
      <c r="G151" s="14"/>
      <c r="H151" s="14"/>
      <c r="I151" s="14"/>
      <c r="J151" s="14"/>
      <c r="K151" s="14"/>
      <c r="L151" s="14"/>
      <c r="M151" s="14"/>
      <c r="N151" s="14"/>
      <c r="P151" s="12"/>
    </row>
    <row r="152" spans="1:16" outlineLevel="1" x14ac:dyDescent="0.25">
      <c r="A152" s="2" t="s">
        <v>158</v>
      </c>
      <c r="B152" s="8">
        <f t="shared" ref="B152:B159" si="15">SUM(C152:N152)</f>
        <v>0</v>
      </c>
      <c r="C152" s="7">
        <f>+USD!C152*MN!$C$1</f>
        <v>0</v>
      </c>
      <c r="D152" s="7"/>
      <c r="E152" s="7"/>
      <c r="F152" s="7"/>
      <c r="G152" s="7"/>
      <c r="H152" s="7"/>
      <c r="I152" s="7"/>
      <c r="J152" s="7"/>
      <c r="K152" s="7"/>
      <c r="L152" s="7"/>
      <c r="M152" s="7"/>
      <c r="N152" s="7"/>
    </row>
    <row r="153" spans="1:16" outlineLevel="1" x14ac:dyDescent="0.25">
      <c r="A153" s="9" t="s">
        <v>159</v>
      </c>
      <c r="B153" s="10">
        <f t="shared" si="15"/>
        <v>900288</v>
      </c>
      <c r="C153" s="10">
        <f>+USD!C153*MN!$C$1</f>
        <v>75024</v>
      </c>
      <c r="D153" s="10">
        <f>+USD!D153*MN!$C$1</f>
        <v>75024</v>
      </c>
      <c r="E153" s="10">
        <f>+USD!E153*MN!$C$1</f>
        <v>75024</v>
      </c>
      <c r="F153" s="10">
        <f>+USD!F153*MN!$C$1</f>
        <v>75024</v>
      </c>
      <c r="G153" s="10">
        <f>+USD!G153*MN!$C$1</f>
        <v>75024</v>
      </c>
      <c r="H153" s="10">
        <f>+USD!H153*MN!$C$1</f>
        <v>75024</v>
      </c>
      <c r="I153" s="10">
        <f>+USD!I153*MN!$C$1</f>
        <v>75024</v>
      </c>
      <c r="J153" s="10">
        <f>+USD!J153*MN!$C$1</f>
        <v>75024</v>
      </c>
      <c r="K153" s="10">
        <f>+USD!K153*MN!$C$1</f>
        <v>75024</v>
      </c>
      <c r="L153" s="10">
        <f>+USD!L153*MN!$C$1</f>
        <v>75024</v>
      </c>
      <c r="M153" s="10">
        <f>+USD!M153*MN!$C$1</f>
        <v>75024</v>
      </c>
      <c r="N153" s="10">
        <f>+USD!N153*MN!$C$1</f>
        <v>75024</v>
      </c>
    </row>
    <row r="154" spans="1:16" s="5" customFormat="1" x14ac:dyDescent="0.25">
      <c r="A154" s="13" t="s">
        <v>31</v>
      </c>
      <c r="B154" s="14">
        <f>SUM(B152:B153)</f>
        <v>900288</v>
      </c>
      <c r="C154" s="14">
        <f t="shared" ref="C154:N154" si="16">SUM(C152:C153)</f>
        <v>75024</v>
      </c>
      <c r="D154" s="14">
        <f t="shared" si="16"/>
        <v>75024</v>
      </c>
      <c r="E154" s="14">
        <f t="shared" si="16"/>
        <v>75024</v>
      </c>
      <c r="F154" s="14">
        <f t="shared" si="16"/>
        <v>75024</v>
      </c>
      <c r="G154" s="14">
        <f t="shared" si="16"/>
        <v>75024</v>
      </c>
      <c r="H154" s="14">
        <f t="shared" si="16"/>
        <v>75024</v>
      </c>
      <c r="I154" s="14">
        <f t="shared" si="16"/>
        <v>75024</v>
      </c>
      <c r="J154" s="14">
        <f t="shared" si="16"/>
        <v>75024</v>
      </c>
      <c r="K154" s="14">
        <f t="shared" si="16"/>
        <v>75024</v>
      </c>
      <c r="L154" s="14">
        <f t="shared" si="16"/>
        <v>75024</v>
      </c>
      <c r="M154" s="14">
        <f t="shared" si="16"/>
        <v>75024</v>
      </c>
      <c r="N154" s="14">
        <f t="shared" si="16"/>
        <v>75024</v>
      </c>
      <c r="P154" s="12"/>
    </row>
    <row r="155" spans="1:16" outlineLevel="1" x14ac:dyDescent="0.25">
      <c r="A155" s="2" t="s">
        <v>160</v>
      </c>
      <c r="B155" s="8">
        <f t="shared" si="15"/>
        <v>66000</v>
      </c>
      <c r="C155" s="7">
        <v>5500</v>
      </c>
      <c r="D155" s="7">
        <v>5500</v>
      </c>
      <c r="E155" s="7">
        <v>5500</v>
      </c>
      <c r="F155" s="7">
        <v>5500</v>
      </c>
      <c r="G155" s="7">
        <v>5500</v>
      </c>
      <c r="H155" s="7">
        <v>5500</v>
      </c>
      <c r="I155" s="7">
        <v>5500</v>
      </c>
      <c r="J155" s="7">
        <v>5500</v>
      </c>
      <c r="K155" s="7">
        <v>5500</v>
      </c>
      <c r="L155" s="7">
        <v>5500</v>
      </c>
      <c r="M155" s="7">
        <v>5500</v>
      </c>
      <c r="N155" s="7">
        <v>5500</v>
      </c>
    </row>
    <row r="156" spans="1:16" outlineLevel="1" x14ac:dyDescent="0.25">
      <c r="A156" s="9" t="s">
        <v>164</v>
      </c>
      <c r="B156" s="10">
        <f t="shared" si="15"/>
        <v>13440</v>
      </c>
      <c r="C156" s="10">
        <v>1120</v>
      </c>
      <c r="D156" s="10">
        <v>1120</v>
      </c>
      <c r="E156" s="10">
        <v>1120</v>
      </c>
      <c r="F156" s="10">
        <v>1120</v>
      </c>
      <c r="G156" s="10">
        <v>1120</v>
      </c>
      <c r="H156" s="10">
        <v>1120</v>
      </c>
      <c r="I156" s="10">
        <v>1120</v>
      </c>
      <c r="J156" s="10">
        <v>1120</v>
      </c>
      <c r="K156" s="10">
        <v>1120</v>
      </c>
      <c r="L156" s="10">
        <v>1120</v>
      </c>
      <c r="M156" s="10">
        <v>1120</v>
      </c>
      <c r="N156" s="10">
        <v>1120</v>
      </c>
    </row>
    <row r="157" spans="1:16" outlineLevel="1" x14ac:dyDescent="0.25">
      <c r="A157" s="2" t="s">
        <v>163</v>
      </c>
      <c r="B157" s="8">
        <f t="shared" si="15"/>
        <v>126000</v>
      </c>
      <c r="C157" s="7">
        <v>10500</v>
      </c>
      <c r="D157" s="7">
        <v>10500</v>
      </c>
      <c r="E157" s="7">
        <v>10500</v>
      </c>
      <c r="F157" s="7">
        <v>10500</v>
      </c>
      <c r="G157" s="7">
        <v>10500</v>
      </c>
      <c r="H157" s="7">
        <v>10500</v>
      </c>
      <c r="I157" s="7">
        <v>10500</v>
      </c>
      <c r="J157" s="7">
        <v>10500</v>
      </c>
      <c r="K157" s="7">
        <v>10500</v>
      </c>
      <c r="L157" s="7">
        <v>10500</v>
      </c>
      <c r="M157" s="7">
        <v>10500</v>
      </c>
      <c r="N157" s="7">
        <v>10500</v>
      </c>
    </row>
    <row r="158" spans="1:16" outlineLevel="1" x14ac:dyDescent="0.25">
      <c r="A158" s="9" t="s">
        <v>162</v>
      </c>
      <c r="B158" s="10">
        <f t="shared" si="15"/>
        <v>12000</v>
      </c>
      <c r="C158" s="10">
        <v>1000</v>
      </c>
      <c r="D158" s="10">
        <v>1000</v>
      </c>
      <c r="E158" s="10">
        <v>1000</v>
      </c>
      <c r="F158" s="10">
        <v>1000</v>
      </c>
      <c r="G158" s="10">
        <v>1000</v>
      </c>
      <c r="H158" s="10">
        <v>1000</v>
      </c>
      <c r="I158" s="10">
        <v>1000</v>
      </c>
      <c r="J158" s="10">
        <v>1000</v>
      </c>
      <c r="K158" s="10">
        <v>1000</v>
      </c>
      <c r="L158" s="10">
        <v>1000</v>
      </c>
      <c r="M158" s="10">
        <v>1000</v>
      </c>
      <c r="N158" s="10">
        <v>1000</v>
      </c>
    </row>
    <row r="159" spans="1:16" outlineLevel="1" x14ac:dyDescent="0.25">
      <c r="A159" s="2" t="s">
        <v>161</v>
      </c>
      <c r="B159" s="8">
        <f t="shared" si="15"/>
        <v>180000</v>
      </c>
      <c r="C159" s="7">
        <v>15000</v>
      </c>
      <c r="D159" s="7">
        <v>15000</v>
      </c>
      <c r="E159" s="7">
        <v>15000</v>
      </c>
      <c r="F159" s="7">
        <v>15000</v>
      </c>
      <c r="G159" s="7">
        <v>15000</v>
      </c>
      <c r="H159" s="7">
        <v>15000</v>
      </c>
      <c r="I159" s="7">
        <v>15000</v>
      </c>
      <c r="J159" s="7">
        <v>15000</v>
      </c>
      <c r="K159" s="7">
        <v>15000</v>
      </c>
      <c r="L159" s="7">
        <v>15000</v>
      </c>
      <c r="M159" s="7">
        <v>15000</v>
      </c>
      <c r="N159" s="7">
        <v>15000</v>
      </c>
    </row>
    <row r="160" spans="1:16" s="5" customFormat="1" x14ac:dyDescent="0.25">
      <c r="A160" s="13" t="s">
        <v>32</v>
      </c>
      <c r="B160" s="14">
        <f>SUM(B155:B159)</f>
        <v>397440</v>
      </c>
      <c r="C160" s="14">
        <f t="shared" ref="C160:N160" si="17">SUM(C155:C159)</f>
        <v>33120</v>
      </c>
      <c r="D160" s="14">
        <f t="shared" si="17"/>
        <v>33120</v>
      </c>
      <c r="E160" s="14">
        <f t="shared" si="17"/>
        <v>33120</v>
      </c>
      <c r="F160" s="14">
        <f t="shared" si="17"/>
        <v>33120</v>
      </c>
      <c r="G160" s="14">
        <f t="shared" si="17"/>
        <v>33120</v>
      </c>
      <c r="H160" s="14">
        <f t="shared" si="17"/>
        <v>33120</v>
      </c>
      <c r="I160" s="14">
        <f t="shared" si="17"/>
        <v>33120</v>
      </c>
      <c r="J160" s="14">
        <f t="shared" si="17"/>
        <v>33120</v>
      </c>
      <c r="K160" s="14">
        <f t="shared" si="17"/>
        <v>33120</v>
      </c>
      <c r="L160" s="14">
        <f t="shared" si="17"/>
        <v>33120</v>
      </c>
      <c r="M160" s="14">
        <f t="shared" si="17"/>
        <v>33120</v>
      </c>
      <c r="N160" s="14">
        <f t="shared" si="17"/>
        <v>33120</v>
      </c>
      <c r="P160" s="12"/>
    </row>
    <row r="161" spans="1:16" x14ac:dyDescent="0.25">
      <c r="A161" s="15" t="s">
        <v>33</v>
      </c>
      <c r="B161" s="16">
        <f>B14+B24+B26+B29+B31+B32+B37+B40+B76+B78+B79+B83+B147+B148+B150+B151+B154+B160</f>
        <v>475064672.00000006</v>
      </c>
      <c r="C161" s="16">
        <f t="shared" ref="C161:N161" si="18">C14+C24+C26+C29+C31+C32+C37+C40+C76+C78+C79+C83+C147+C148+C150+C151+C154+C160</f>
        <v>58453930.841764696</v>
      </c>
      <c r="D161" s="16">
        <f t="shared" si="18"/>
        <v>69647720.530098036</v>
      </c>
      <c r="E161" s="16">
        <f t="shared" si="18"/>
        <v>58024986.033431359</v>
      </c>
      <c r="F161" s="16">
        <f t="shared" si="18"/>
        <v>51826776.033431359</v>
      </c>
      <c r="G161" s="16">
        <f t="shared" si="18"/>
        <v>39327876.033431359</v>
      </c>
      <c r="H161" s="16">
        <f t="shared" si="18"/>
        <v>37497876.033431359</v>
      </c>
      <c r="I161" s="16">
        <f t="shared" si="18"/>
        <v>30342576.033431362</v>
      </c>
      <c r="J161" s="16">
        <f t="shared" si="18"/>
        <v>28439376.033431362</v>
      </c>
      <c r="K161" s="16">
        <f t="shared" si="18"/>
        <v>30068076.033431362</v>
      </c>
      <c r="L161" s="16">
        <f t="shared" si="18"/>
        <v>28530876.033431362</v>
      </c>
      <c r="M161" s="16">
        <f t="shared" si="18"/>
        <v>24017826.327255022</v>
      </c>
      <c r="N161" s="16">
        <f t="shared" si="18"/>
        <v>18886776.033431362</v>
      </c>
    </row>
    <row r="162" spans="1:16" s="5" customFormat="1" x14ac:dyDescent="0.25">
      <c r="A162" s="4" t="s">
        <v>167</v>
      </c>
      <c r="B162" s="3"/>
      <c r="C162" s="6">
        <f>C5-C161</f>
        <v>16823219.80823531</v>
      </c>
      <c r="D162" s="6">
        <f>C162+D5-D161</f>
        <v>17434173.218137279</v>
      </c>
      <c r="E162" s="6">
        <f>D162+E5-E161</f>
        <v>34686337.834705926</v>
      </c>
      <c r="F162" s="6">
        <f>E162+F5-F161</f>
        <v>55708417.192274563</v>
      </c>
      <c r="G162" s="6">
        <f>F162+G5-G161</f>
        <v>91657691.808843225</v>
      </c>
      <c r="H162" s="6">
        <f>G162+H5-H161</f>
        <v>127008671.16641188</v>
      </c>
      <c r="I162" s="6">
        <f t="shared" ref="I162:N162" si="19">H162+I5-I161</f>
        <v>171943245.78298053</v>
      </c>
      <c r="J162" s="6">
        <f t="shared" si="19"/>
        <v>218781020.39954919</v>
      </c>
      <c r="K162" s="6">
        <f t="shared" si="19"/>
        <v>261561799.75711781</v>
      </c>
      <c r="L162" s="6">
        <f t="shared" si="19"/>
        <v>308308074.37368649</v>
      </c>
      <c r="M162" s="6">
        <f t="shared" si="19"/>
        <v>342181490.38343149</v>
      </c>
      <c r="N162" s="6">
        <f t="shared" si="19"/>
        <v>372951865.00000012</v>
      </c>
      <c r="P162" s="12"/>
    </row>
  </sheetData>
  <mergeCells count="4">
    <mergeCell ref="A1:B1"/>
    <mergeCell ref="A2:B2"/>
    <mergeCell ref="A3:N3"/>
    <mergeCell ref="A7:N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USD</vt:lpstr>
      <vt:lpstr>MN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Anel Ivette Muñoz</dc:creator>
  <cp:lastModifiedBy>Staff Geolis</cp:lastModifiedBy>
  <dcterms:created xsi:type="dcterms:W3CDTF">2020-12-09T16:23:16Z</dcterms:created>
  <dcterms:modified xsi:type="dcterms:W3CDTF">2026-09-01T19:58:36Z</dcterms:modified>
</cp:coreProperties>
</file>