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SUMEN EJECUTIVO" sheetId="1" state="visible" r:id="rId3"/>
    <sheet name="F01 EQUIPO COMPUTO" sheetId="2" state="visible" r:id="rId4"/>
    <sheet name="F02 ACCESORIOS" sheetId="3" state="visible" r:id="rId5"/>
    <sheet name="F03 LICENCIAS MXN" sheetId="4" state="visible" r:id="rId6"/>
    <sheet name="F05 INFRAESTRUCTURA RED" sheetId="5" state="visible" r:id="rId7"/>
    <sheet name="F06 TELECOMUNICA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<sst xmlns="http://schemas.openxmlformats.org/spreadsheetml/2006/main" count="281" uniqueCount="120">
  <si>
    <t xml:space="preserve">GEOLIS SA DE CV  ·  Área de Tecnología de la Información</t>
  </si>
  <si>
    <t xml:space="preserve">PRESUPUESTO DE EGRESOS — PRIMER SEMESTRE 2026  |  Enero – Junio</t>
  </si>
  <si>
    <t xml:space="preserve">Período:</t>
  </si>
  <si>
    <t xml:space="preserve">Enero – Junio 2026</t>
  </si>
  <si>
    <t xml:space="preserve">Elaboró:</t>
  </si>
  <si>
    <t xml:space="preserve">Coordinación de TI — Geolis SA de CV</t>
  </si>
  <si>
    <t xml:space="preserve">TC de referencia USD/MXN:</t>
  </si>
  <si>
    <t xml:space="preserve">EGRESOS POR RUBRO — DISTRIBUCIÓN MENSUAL  |  Importes en Pesos Mexicanos (MXN)</t>
  </si>
  <si>
    <t xml:space="preserve">RUBRO</t>
  </si>
  <si>
    <t xml:space="preserve">TIPO</t>
  </si>
  <si>
    <t xml:space="preserve">TOTAL SEMESTRAL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</si>
  <si>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</si>
  <si>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</si>
  <si>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</si>
  <si>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</si>
  <si>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</si>
  <si>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</si>
  <si>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% DEL TOTAL</t>
  </si>
  <si>
    <t xml:space="preserve">EQUIPO DE CÓMPUTO</t>
  </si>
  <si>
    <t xml:space="preserve">CAPEX</t>
  </si>
  <si>
    <t xml:space="preserve">ACCESORIOS Y PERIFÉRICOS</t>
  </si>
  <si>
    <t xml:space="preserve">INFRAESTRUCTURA DE RED</t>
  </si>
  <si>
    <t xml:space="preserve">LICENCIAMIENTO MXN</t>
  </si>
  <si>
    <t xml:space="preserve">OPEX</t>
  </si>
  <si>
    <t xml:space="preserve">LICENCIAMIENTO USD (MXN)</t>
  </si>
  <si>
    <t xml:space="preserve">INTERNET — 7 SITIOS</t>
  </si>
  <si>
    <t xml:space="preserve">STARLINK — 43 UNIDADES</t>
  </si>
  <si>
    <t xml:space="preserve">TOTAL CAPEX</t>
  </si>
  <si>
    <t xml:space="preserve">TOTAL OPEX</t>
  </si>
  <si>
    <t xml:space="preserve">TOTAL GENERAL  —  PESOS MEXICANOS</t>
  </si>
  <si>
    <t xml:space="preserve">100%</t>
  </si>
  <si>
    <t xml:space="preserve">F01 EQUIPO COMPUTO  —  Laptops y Equipos de Cómputo — Geolis y Cuervito</t>
  </si>
  <si>
    <t xml:space="preserve">Mes</t>
  </si>
  <si>
    <t xml:space="preserve">Modelo / Concepto</t>
  </si>
  <si>
    <t xml:space="preserve">CAPEX / OPEX</t>
  </si>
  <si>
    <t xml:space="preserve">Cantidad</t>
  </si>
  <si>
    <t xml:space="preserve">Costo Unitario (MXN)</t>
  </si>
  <si>
    <t xml:space="preserve">Monto Presupuestado (MXN)</t>
  </si>
  <si>
    <t xml:space="preserve">Enero</t>
  </si>
  <si>
    <t xml:space="preserve">Laptop Dell Pro — Geolis</t>
  </si>
  <si>
    <t xml:space="preserve">Laptop Dell Pro Plus — Geolis</t>
  </si>
  <si>
    <t xml:space="preserve">Laptop Dell Pro Max — Geolis</t>
  </si>
  <si>
    <t xml:space="preserve">Marzo</t>
  </si>
  <si>
    <t xml:space="preserve">Laptop Dell Pro — Cuervito</t>
  </si>
  <si>
    <t xml:space="preserve">Abril</t>
  </si>
  <si>
    <t xml:space="preserve">Mayo</t>
  </si>
  <si>
    <t xml:space="preserve">TOTAL DEL RUBRO</t>
  </si>
  <si>
    <t xml:space="preserve">F02 ACCESORIOS  —  Monitores, Teclados, Docking Stations y Periféricos</t>
  </si>
  <si>
    <t xml:space="preserve">Kit Teclado/Mouse Dell KM3322W</t>
  </si>
  <si>
    <t xml:space="preserve">Monitor Dell SE2425HM</t>
  </si>
  <si>
    <t xml:space="preserve">Monitor Dell SE2725HM</t>
  </si>
  <si>
    <t xml:space="preserve">Monitor Dell P2725H</t>
  </si>
  <si>
    <t xml:space="preserve">Docking Station WD25</t>
  </si>
  <si>
    <t xml:space="preserve">Monitor Dell S3225QS</t>
  </si>
  <si>
    <t xml:space="preserve">Junio</t>
  </si>
  <si>
    <t xml:space="preserve">Monitor Dell P2725H (adicional)</t>
  </si>
  <si>
    <t xml:space="preserve">Kit Teclado/Mouse KM3322W (adic.)</t>
  </si>
  <si>
    <t xml:space="preserve">Docking Station DA305</t>
  </si>
  <si>
    <t xml:space="preserve">Plaud — Grabador IA</t>
  </si>
  <si>
    <t xml:space="preserve">F03 LICENCIAS MXN  —  Licenciamiento de Software — Pesos Mexicanos</t>
  </si>
  <si>
    <t xml:space="preserve">Software / Servicio</t>
  </si>
  <si>
    <t xml:space="preserve">Modalidad</t>
  </si>
  <si>
    <t xml:space="preserve">CAPEX/OPEX</t>
  </si>
  <si>
    <t xml:space="preserve">Licencias</t>
  </si>
  <si>
    <t xml:space="preserve">MS Office 365 — Negocios</t>
  </si>
  <si>
    <t xml:space="preserve">Mensual</t>
  </si>
  <si>
    <t xml:space="preserve">MS Office 365 — Exchange geolis</t>
  </si>
  <si>
    <t xml:space="preserve">Febrero</t>
  </si>
  <si>
    <t xml:space="preserve">MS Office 365 — Exchange geolisener</t>
  </si>
  <si>
    <t xml:space="preserve">MS Office 365 — Teams</t>
  </si>
  <si>
    <t xml:space="preserve">MS Office 365 — Project</t>
  </si>
  <si>
    <t xml:space="preserve">MS Office 365 — OneDrive</t>
  </si>
  <si>
    <t xml:space="preserve">Adobe — Acrobat Standard</t>
  </si>
  <si>
    <t xml:space="preserve">Adobe — Acrobat Pro</t>
  </si>
  <si>
    <t xml:space="preserve">Adobe — Creative Cloud</t>
  </si>
  <si>
    <t xml:space="preserve">Correos .mx — POP</t>
  </si>
  <si>
    <t xml:space="preserve">Antivirus — Cortex</t>
  </si>
  <si>
    <t xml:space="preserve">LinkedIn — SalesNavigator Core</t>
  </si>
  <si>
    <t xml:space="preserve">Zoom — Workplace Pro</t>
  </si>
  <si>
    <t xml:space="preserve">Autodesk — AutoCAD</t>
  </si>
  <si>
    <t xml:space="preserve">Anual</t>
  </si>
  <si>
    <t xml:space="preserve">Autodesk — AutoCAD LT</t>
  </si>
  <si>
    <t xml:space="preserve">LICENCIAMIENTO USD — Convertido a Pesos Mexicanos (TC = 19.50)</t>
  </si>
  <si>
    <t xml:space="preserve">ChatGPT — Business</t>
  </si>
  <si>
    <t xml:space="preserve">Claude — Pro Team</t>
  </si>
  <si>
    <t xml:space="preserve">Office TimeLine — Plus</t>
  </si>
  <si>
    <t xml:space="preserve">ClickUp — Business</t>
  </si>
  <si>
    <t xml:space="preserve">Solidworks</t>
  </si>
  <si>
    <t xml:space="preserve">F05 INFRAESTRUCTURA RED  —  Equipos de Red e Infraestructura — Starlinks y Switches</t>
  </si>
  <si>
    <t xml:space="preserve">Concepto</t>
  </si>
  <si>
    <t xml:space="preserve">Starlink Residencial</t>
  </si>
  <si>
    <t xml:space="preserve">Starlink Mini</t>
  </si>
  <si>
    <t xml:space="preserve">Starlink Marítimo</t>
  </si>
  <si>
    <t xml:space="preserve">UPS Industronic IND RP 1101</t>
  </si>
  <si>
    <t xml:space="preserve">Switch Cisco Business 220</t>
  </si>
  <si>
    <t xml:space="preserve">INSTALACIONES DE RED EJECUTADAS Y PROGRAMADAS</t>
  </si>
  <si>
    <t xml:space="preserve">Veracruz — Plaza Sol</t>
  </si>
  <si>
    <t xml:space="preserve">Firewall Fortinet 70G</t>
  </si>
  <si>
    <t xml:space="preserve">Ejecutada Jun 2026</t>
  </si>
  <si>
    <t xml:space="preserve">Pendiente cotización</t>
  </si>
  <si>
    <t xml:space="preserve">—</t>
  </si>
  <si>
    <t xml:space="preserve">F06 TELECOMUNICACIONES  —  Internet, Starlink OPEX y Servicio Satelital</t>
  </si>
  <si>
    <t xml:space="preserve">Zona / Sitio</t>
  </si>
  <si>
    <t xml:space="preserve">ISP / Proveedor</t>
  </si>
  <si>
    <t xml:space="preserve">Plan</t>
  </si>
  <si>
    <t xml:space="preserve">Mensual (MXN)</t>
  </si>
  <si>
    <t xml:space="preserve">Semestral (MXN)</t>
  </si>
  <si>
    <t xml:space="preserve">Villahermosa — Los Mangos</t>
  </si>
  <si>
    <t xml:space="preserve">Totalplay</t>
  </si>
  <si>
    <t xml:space="preserve">Infinitum</t>
  </si>
  <si>
    <t xml:space="preserve">Telmex</t>
  </si>
  <si>
    <t xml:space="preserve">Villahermosa — Paraíso</t>
  </si>
  <si>
    <t xml:space="preserve">Megacable</t>
  </si>
  <si>
    <t xml:space="preserve">Ciudad del Carmen</t>
  </si>
  <si>
    <t xml:space="preserve">STARLINK — OPEX MENSUAL (43 UNIDADES ACTIVAS)</t>
  </si>
  <si>
    <t xml:space="preserve">43 unidades activas (cuentas 1-4)</t>
  </si>
  <si>
    <t xml:space="preserve">Starlink Business</t>
  </si>
  <si>
    <t xml:space="preserve">Mensual / campo operativo</t>
  </si>
  <si>
    <t xml:space="preserve">2 unidades pendientes (KUA, ZCH)</t>
  </si>
  <si>
    <t xml:space="preserve">Pendiente activación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</si>
</sst>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$#,##0.00"/>
    <numFmt numFmtId="167" formatCode="0.0%"/>
    <numFmt numFmtId="168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i val="true"/>
      <sz val="9"/>
      <color rgb="FF1111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595959"/>
        <bgColor rgb="FF404040"/>
      </patternFill>
    </fill>
    <fill>
      <patternFill patternType="solid">
        <fgColor rgb="FFF5F5F5"/>
        <bgColor rgb="FFEFEFEF"/>
      </patternFill>
    </fill>
    <fill>
      <patternFill patternType="solid">
        <fgColor rgb="FFFFFFFF"/>
        <bgColor rgb="FFF5F5F5"/>
      </patternFill>
    </fill>
    <fill>
      <patternFill patternType="solid">
        <fgColor rgb="FFFFF5CC"/>
        <bgColor rgb="FFF5F5F5"/>
      </patternFill>
    </fill>
    <fill>
      <patternFill patternType="solid">
        <fgColor rgb="FFD6D6D6"/>
        <bgColor rgb="FFCCCCCC"/>
      </patternFill>
    </fill>
    <fill>
      <patternFill patternType="solid">
        <fgColor rgb="FFEFEFEF"/>
        <bgColor rgb="FFF5F5F5"/>
      </patternFill>
    </fill>
    <fill>
      <patternFill patternType="solid">
        <fgColor rgb="FFFFD7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595959"/>
      </left>
      <right style="thick">
        <color rgb="FF595959"/>
      </right>
      <top style="thick">
        <color rgb="FF595959"/>
      </top>
      <bottom style="thick">
        <color rgb="FF595959"/>
      </bottom>
      <diagonal/>
    </border>
    <border diagonalUp="false" diagonalDown="false"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 diagonalUp="false" diagonalDown="false"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 diagonalUp="false" diagonalDown="false">
      <left style="thin">
        <color rgb="FFCCCCAA"/>
      </left>
      <right style="thin">
        <color rgb="FFCCCCAA"/>
      </right>
      <top style="thin">
        <color rgb="FFCCCCAA"/>
      </top>
      <bottom style="thin">
        <color rgb="FFCCCCAA"/>
      </bottom>
      <diagonal/>
    </border>
    <border diagonalUp="false" diagonalDown="false">
      <left style="medium">
        <color rgb="FF595959"/>
      </left>
      <right style="thin">
        <color rgb="FFCCCCCC"/>
      </right>
      <top style="medium">
        <color rgb="FF595959"/>
      </top>
      <bottom style="medium">
        <color rgb="FF595959"/>
      </bottom>
      <diagonal/>
    </border>
    <border diagonalUp="false" diagonalDown="false">
      <left/>
      <right/>
      <top style="medium">
        <color rgb="FF595959"/>
      </top>
      <bottom style="medium">
        <color rgb="FF595959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5" fillId="8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5" fillId="8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7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7" fillId="9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1" fillId="9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7" fillId="4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7" fillId="5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9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9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8" fillId="9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7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5CC"/>
      <rgbColor rgb="FFEFEFE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CCCCAA"/>
      <rgbColor rgb="FF3366FF"/>
      <rgbColor rgb="FF33CCCC"/>
      <rgbColor rgb="FF99CC00"/>
      <rgbColor rgb="FFFFD700"/>
      <rgbColor rgb="FFFF9900"/>
      <rgbColor rgb="FFFF6600"/>
      <rgbColor rgb="FF59595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pane xSplit="0" ySplit="13" topLeftCell="A14" activePane="bottomLeft" state="frozen"/>
      <selection pane="topLeft" activeCell="A1" activeCellId="0" sqref="A1"/>
      <selection pane="bottomLeft" activeCell="F7" activeCellId="0" sqref="F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5.85"/>
    <col collapsed="false" customWidth="true" hidden="false" outlineLevel="0" max="9" min="5" style="1" width="12"/>
    <col collapsed="false" customWidth="true" hidden="false" outlineLevel="0" max="10" min="10" style="1" width="9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42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2"/>
    </row>
    <row r="3" customFormat="false" ht="21.7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.75" hidden="false" customHeight="true" outlineLevel="0" collapsed="false">
      <c r="A5" s="5" t="s">
        <v>2</v>
      </c>
      <c r="B5" s="6" t="s">
        <v>3</v>
      </c>
      <c r="C5" s="6"/>
      <c r="D5" s="6"/>
      <c r="E5" s="6"/>
      <c r="F5" s="2"/>
      <c r="G5" s="2"/>
      <c r="H5" s="2"/>
      <c r="I5" s="2"/>
      <c r="J5" s="2"/>
    </row>
    <row r="6" customFormat="false" ht="15.75" hidden="false" customHeight="true" outlineLevel="0" collapsed="false">
      <c r="A6" s="5" t="s">
        <v>4</v>
      </c>
      <c r="B6" s="6" t="s">
        <v>5</v>
      </c>
      <c r="C6" s="6"/>
      <c r="D6" s="6"/>
      <c r="E6" s="6"/>
      <c r="F6" s="2"/>
      <c r="G6" s="2"/>
      <c r="H6" s="2"/>
      <c r="I6" s="2"/>
      <c r="J6" s="2"/>
    </row>
    <row r="7" customFormat="false" ht="15.75" hidden="false" customHeight="true" outlineLevel="0" collapsed="false">
      <c r="A7" s="5"/>
      <c r="B7" s="6"/>
      <c r="C7" s="6"/>
      <c r="D7" s="6"/>
      <c r="E7" s="6"/>
      <c r="F7" s="2"/>
      <c r="G7" s="2"/>
      <c r="H7" s="2"/>
      <c r="I7" s="2"/>
      <c r="J7" s="2"/>
    </row>
    <row r="8" customFormat="false" ht="15.75" hidden="false" customHeight="true" outlineLevel="0" collapsed="false">
      <c r="A8" s="5"/>
      <c r="B8" s="6"/>
      <c r="C8" s="6"/>
      <c r="D8" s="6"/>
      <c r="E8" s="6"/>
      <c r="F8" s="2"/>
      <c r="G8" s="2"/>
      <c r="H8" s="2"/>
      <c r="I8" s="2"/>
      <c r="J8" s="2"/>
    </row>
    <row r="9" customFormat="false" ht="21.75" hidden="false" customHeight="true" outlineLevel="0" collapsed="false">
      <c r="A9" s="7" t="s">
        <v>6</v>
      </c>
      <c r="B9" s="7"/>
      <c r="C9" s="8" t="n">
        <v>19.5</v>
      </c>
      <c r="D9" s="9"/>
      <c r="E9" s="9"/>
      <c r="F9" s="9"/>
      <c r="G9" s="9"/>
      <c r="H9" s="9"/>
      <c r="I9" s="9"/>
      <c r="J9" s="2"/>
    </row>
    <row r="10" customFormat="false" ht="6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9.5" hidden="false" customHeight="true" outlineLevel="0" collapsed="false">
      <c r="A11" s="10" t="s">
        <v>7</v>
      </c>
      <c r="B11" s="10"/>
      <c r="C11" s="10"/>
      <c r="D11" s="10"/>
      <c r="E11" s="10"/>
      <c r="F11" s="10"/>
      <c r="G11" s="10"/>
      <c r="H11" s="10"/>
      <c r="I11" s="10"/>
      <c r="J11" s="2"/>
    </row>
    <row r="12" customFormat="false" ht="24" hidden="false" customHeight="true" outlineLevel="0" collapsed="false">
      <c r="A12" s="11" t="s">
        <v>8</v>
      </c>
      <c r="B12" s="11" t="s">
        <v>9</v>
      </c>
      <c r="C12" s="11" t="s">
        <v>10</v>
      </c>
      <c r="D12" s="11" t="s">
        <v>11</v>
      </c>
      <c r="E12" s="11" t="s">
        <v>12</v>
      </c>
      <c r="F12" s="11" t="s">
        <v>13</v>
      </c>
      <c r="G12" s="11" t="s">
        <v>14</v>
      </c>
      <c r="H12" s="11" t="s">
        <v>15</v>
      </c>
      <c r="I12" s="11" t="s">
        <v>16</v>
      </c>
      <c r="J12" s="11" t="s">
        <v>17</v>
      </c>
    </row>
    <row r="13" customFormat="false" ht="18" hidden="false" customHeight="true" outlineLevel="0" collapsed="false">
      <c r="A13" s="12" t="s">
        <v>18</v>
      </c>
      <c r="B13" s="13" t="s">
        <v>19</v>
      </c>
      <c r="C13" s="14" t="n">
        <f aca="false">D13+E13+F13+G13+H13+I13</f>
        <v>3374235</v>
      </c>
      <c r="D13" s="15" t="n">
        <v>2053968</v>
      </c>
      <c r="E13" s="15" t="n">
        <v>0</v>
      </c>
      <c r="F13" s="15" t="n">
        <v>403344</v>
      </c>
      <c r="G13" s="15" t="n">
        <v>538788</v>
      </c>
      <c r="H13" s="15" t="n">
        <v>378135</v>
      </c>
      <c r="I13" s="15" t="n">
        <v>0</v>
      </c>
      <c r="J13" s="16" t="n">
        <f aca="false">C13/C22</f>
        <v>0.697392792610984</v>
      </c>
    </row>
    <row r="14" customFormat="false" ht="18" hidden="false" customHeight="true" outlineLevel="0" collapsed="false">
      <c r="A14" s="17" t="s">
        <v>20</v>
      </c>
      <c r="B14" s="13" t="s">
        <v>19</v>
      </c>
      <c r="C14" s="18" t="n">
        <f aca="false">D14+E14+F14+G14+H14+I14</f>
        <v>339384</v>
      </c>
      <c r="D14" s="19" t="n">
        <v>0</v>
      </c>
      <c r="E14" s="19" t="n">
        <v>0</v>
      </c>
      <c r="F14" s="19" t="n">
        <v>113828</v>
      </c>
      <c r="G14" s="19" t="n">
        <v>170120</v>
      </c>
      <c r="H14" s="19" t="n">
        <v>36000</v>
      </c>
      <c r="I14" s="19" t="n">
        <v>19436</v>
      </c>
      <c r="J14" s="20" t="n">
        <f aca="false">C14/C22</f>
        <v>0.0701444788307531</v>
      </c>
    </row>
    <row r="15" customFormat="false" ht="18" hidden="false" customHeight="true" outlineLevel="0" collapsed="false">
      <c r="A15" s="12" t="s">
        <v>21</v>
      </c>
      <c r="B15" s="13" t="s">
        <v>19</v>
      </c>
      <c r="C15" s="14" t="n">
        <f aca="false">D15+E15+F15+G15+H15+I15</f>
        <v>108793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108793</v>
      </c>
      <c r="J15" s="16" t="n">
        <f aca="false">C15/C22</f>
        <v>0.0224855275600326</v>
      </c>
    </row>
    <row r="16" customFormat="false" ht="18" hidden="false" customHeight="true" outlineLevel="0" collapsed="false">
      <c r="A16" s="17" t="s">
        <v>22</v>
      </c>
      <c r="B16" s="13" t="s">
        <v>23</v>
      </c>
      <c r="C16" s="18" t="n">
        <f aca="false">D16+E16+F16+G16+H16+I16</f>
        <v>200724.99</v>
      </c>
      <c r="D16" s="19" t="n">
        <v>58120</v>
      </c>
      <c r="E16" s="19" t="n">
        <v>142205.99</v>
      </c>
      <c r="F16" s="19" t="n">
        <v>0</v>
      </c>
      <c r="G16" s="19" t="n">
        <v>0</v>
      </c>
      <c r="H16" s="19" t="n">
        <v>0</v>
      </c>
      <c r="I16" s="19" t="n">
        <v>399</v>
      </c>
      <c r="J16" s="20" t="n">
        <f aca="false">C16/C22</f>
        <v>0.0414861920769928</v>
      </c>
    </row>
    <row r="17" customFormat="false" ht="18" hidden="false" customHeight="true" outlineLevel="0" collapsed="false">
      <c r="A17" s="12" t="s">
        <v>24</v>
      </c>
      <c r="B17" s="13" t="s">
        <v>23</v>
      </c>
      <c r="C17" s="14" t="n">
        <f aca="false">D17+E17+F17+G17+H17+I17</f>
        <v>358489.56</v>
      </c>
      <c r="D17" s="15" t="n">
        <v>43699.5</v>
      </c>
      <c r="E17" s="15" t="n">
        <v>19656</v>
      </c>
      <c r="F17" s="15" t="n">
        <v>0</v>
      </c>
      <c r="G17" s="15" t="n">
        <v>0</v>
      </c>
      <c r="H17" s="15" t="n">
        <v>295134.06</v>
      </c>
      <c r="I17" s="15" t="n">
        <v>0</v>
      </c>
      <c r="J17" s="16" t="n">
        <f aca="false">C17/C22</f>
        <v>0.074093249394391</v>
      </c>
    </row>
    <row r="18" customFormat="false" ht="18" hidden="false" customHeight="true" outlineLevel="0" collapsed="false">
      <c r="A18" s="17" t="s">
        <v>25</v>
      </c>
      <c r="B18" s="13" t="s">
        <v>23</v>
      </c>
      <c r="C18" s="18" t="n">
        <f aca="false">D18+E18+F18+G18+H18+I18</f>
        <v>50380.02</v>
      </c>
      <c r="D18" s="19" t="n">
        <v>8396.67</v>
      </c>
      <c r="E18" s="19" t="n">
        <v>8396.67</v>
      </c>
      <c r="F18" s="19" t="n">
        <v>8396.67</v>
      </c>
      <c r="G18" s="19" t="n">
        <v>8396.67</v>
      </c>
      <c r="H18" s="19" t="n">
        <v>8396.67</v>
      </c>
      <c r="I18" s="19" t="n">
        <v>8396.67</v>
      </c>
      <c r="J18" s="20" t="n">
        <f aca="false">C18/C22</f>
        <v>0.0104126306672763</v>
      </c>
    </row>
    <row r="19" customFormat="false" ht="18" hidden="false" customHeight="true" outlineLevel="0" collapsed="false">
      <c r="A19" s="12" t="s">
        <v>26</v>
      </c>
      <c r="B19" s="13" t="s">
        <v>23</v>
      </c>
      <c r="C19" s="14" t="n">
        <f aca="false">D19+E19+F19+G19+H19+I19</f>
        <v>406350</v>
      </c>
      <c r="D19" s="15" t="n">
        <v>67725</v>
      </c>
      <c r="E19" s="15" t="n">
        <v>67725</v>
      </c>
      <c r="F19" s="15" t="n">
        <v>67725</v>
      </c>
      <c r="G19" s="15" t="n">
        <v>67725</v>
      </c>
      <c r="H19" s="15" t="n">
        <v>67725</v>
      </c>
      <c r="I19" s="15" t="n">
        <v>67725</v>
      </c>
      <c r="J19" s="16" t="n">
        <f aca="false">C19/C22</f>
        <v>0.0839851288595706</v>
      </c>
    </row>
    <row r="20" customFormat="false" ht="19.5" hidden="false" customHeight="true" outlineLevel="0" collapsed="false">
      <c r="A20" s="21" t="s">
        <v>27</v>
      </c>
      <c r="B20" s="22"/>
      <c r="C20" s="23" t="n">
        <f aca="false">C13+C14+C15</f>
        <v>3822412</v>
      </c>
      <c r="D20" s="23" t="n">
        <f aca="false">D13+D14+D15</f>
        <v>2053968</v>
      </c>
      <c r="E20" s="23" t="n">
        <f aca="false">E13+E14+E15</f>
        <v>0</v>
      </c>
      <c r="F20" s="23" t="n">
        <f aca="false">F13+F14+F15</f>
        <v>517172</v>
      </c>
      <c r="G20" s="23" t="n">
        <f aca="false">G13+G14+G15</f>
        <v>708908</v>
      </c>
      <c r="H20" s="23" t="n">
        <f aca="false">H13+H14+H15</f>
        <v>414135</v>
      </c>
      <c r="I20" s="23" t="n">
        <f aca="false">I13+I14+I15</f>
        <v>128229</v>
      </c>
      <c r="J20" s="24" t="n">
        <f aca="false">C20/C22</f>
        <v>0.790022799001769</v>
      </c>
    </row>
    <row r="21" customFormat="false" ht="19.5" hidden="false" customHeight="true" outlineLevel="0" collapsed="false">
      <c r="A21" s="21" t="s">
        <v>28</v>
      </c>
      <c r="B21" s="22"/>
      <c r="C21" s="23" t="n">
        <f aca="false">C16+C17+C18+C19</f>
        <v>1015944.57</v>
      </c>
      <c r="D21" s="23" t="n">
        <f aca="false">D16+D17+D18+D19</f>
        <v>177941.17</v>
      </c>
      <c r="E21" s="23" t="n">
        <f aca="false">E16+E17+E18+E19</f>
        <v>237983.66</v>
      </c>
      <c r="F21" s="23" t="n">
        <f aca="false">F16+F17+F18+F19</f>
        <v>76121.67</v>
      </c>
      <c r="G21" s="23" t="n">
        <f aca="false">G16+G17+G18+G19</f>
        <v>76121.67</v>
      </c>
      <c r="H21" s="23" t="n">
        <f aca="false">H16+H17+H18+H19</f>
        <v>371255.73</v>
      </c>
      <c r="I21" s="23" t="n">
        <f aca="false">I16+I17+I18+I19</f>
        <v>76520.67</v>
      </c>
      <c r="J21" s="24" t="n">
        <f aca="false">C21/C22</f>
        <v>0.209977200998231</v>
      </c>
    </row>
    <row r="22" customFormat="false" ht="30" hidden="false" customHeight="true" outlineLevel="0" collapsed="false">
      <c r="A22" s="25" t="s">
        <v>29</v>
      </c>
      <c r="B22" s="26"/>
      <c r="C22" s="27" t="n">
        <f aca="false">C20+C21</f>
        <v>4838356.57</v>
      </c>
      <c r="D22" s="28" t="n">
        <f aca="false">D20+D21</f>
        <v>2231909.17</v>
      </c>
      <c r="E22" s="28" t="n">
        <f aca="false">E20+E21</f>
        <v>237983.66</v>
      </c>
      <c r="F22" s="28" t="n">
        <f aca="false">F20+F21</f>
        <v>593293.67</v>
      </c>
      <c r="G22" s="28" t="n">
        <f aca="false">G20+G21</f>
        <v>785029.67</v>
      </c>
      <c r="H22" s="28" t="n">
        <f aca="false">H20+H21</f>
        <v>785390.73</v>
      </c>
      <c r="I22" s="28" t="n">
        <f aca="false">I20+I21</f>
        <v>204749.67</v>
      </c>
      <c r="J22" s="29" t="s">
        <v>30</v>
      </c>
    </row>
    <row r="23" customFormat="false" ht="27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2"/>
    </row>
    <row r="1048576" customFormat="false" ht="12.75" hidden="false" customHeight="true" outlineLevel="0" collapsed="false"/>
  </sheetData>
  <mergeCells count="10">
    <mergeCell ref="A2:I2"/>
    <mergeCell ref="A3:I3"/>
    <mergeCell ref="B5:E5"/>
    <mergeCell ref="B6:E6"/>
    <mergeCell ref="B7:E7"/>
    <mergeCell ref="B8:E8"/>
    <mergeCell ref="A9:B9"/>
    <mergeCell ref="D9:I9"/>
    <mergeCell ref="A11:I11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30" hidden="false" customHeight="true" outlineLevel="0" collapsed="false">
      <c r="A1" s="31" t="s">
        <v>31</v>
      </c>
      <c r="B1" s="31"/>
      <c r="C1" s="31"/>
      <c r="D1" s="31"/>
      <c r="E1" s="31"/>
      <c r="F1" s="31"/>
    </row>
    <row r="2" customFormat="false" ht="15.75" hidden="false" customHeight="true" outlineLevel="0" collapsed="false">
      <c r="A2" s="32"/>
      <c r="B2" s="32"/>
      <c r="C2" s="32"/>
      <c r="D2" s="32"/>
      <c r="E2" s="32"/>
      <c r="F2" s="3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0.75" hidden="false" customHeight="true" outlineLevel="0" collapsed="false">
      <c r="A4" s="11" t="s">
        <v>32</v>
      </c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</row>
    <row r="5" customFormat="false" ht="15.75" hidden="false" customHeight="true" outlineLevel="0" collapsed="false">
      <c r="A5" s="33" t="s">
        <v>38</v>
      </c>
      <c r="B5" s="33" t="s">
        <v>39</v>
      </c>
      <c r="C5" s="34" t="s">
        <v>19</v>
      </c>
      <c r="D5" s="35" t="n">
        <v>52</v>
      </c>
      <c r="E5" s="15" t="n">
        <v>25209</v>
      </c>
      <c r="F5" s="36" t="n">
        <f aca="false">D5*E5</f>
        <v>1310868</v>
      </c>
    </row>
    <row r="6" customFormat="false" ht="15.75" hidden="false" customHeight="true" outlineLevel="0" collapsed="false">
      <c r="A6" s="37" t="s">
        <v>38</v>
      </c>
      <c r="B6" s="37" t="s">
        <v>40</v>
      </c>
      <c r="C6" s="38" t="s">
        <v>19</v>
      </c>
      <c r="D6" s="39" t="n">
        <v>16</v>
      </c>
      <c r="E6" s="19" t="n">
        <v>33861</v>
      </c>
      <c r="F6" s="40" t="n">
        <f aca="false">D6*E6</f>
        <v>541776</v>
      </c>
    </row>
    <row r="7" customFormat="false" ht="15.75" hidden="false" customHeight="true" outlineLevel="0" collapsed="false">
      <c r="A7" s="33" t="s">
        <v>38</v>
      </c>
      <c r="B7" s="33" t="s">
        <v>41</v>
      </c>
      <c r="C7" s="34" t="s">
        <v>19</v>
      </c>
      <c r="D7" s="35" t="n">
        <v>4</v>
      </c>
      <c r="E7" s="15" t="n">
        <v>50331</v>
      </c>
      <c r="F7" s="36" t="n">
        <f aca="false">D7*E7</f>
        <v>201324</v>
      </c>
    </row>
    <row r="8" customFormat="false" ht="15.75" hidden="false" customHeight="true" outlineLevel="0" collapsed="false">
      <c r="A8" s="37" t="s">
        <v>42</v>
      </c>
      <c r="B8" s="37" t="s">
        <v>43</v>
      </c>
      <c r="C8" s="38" t="s">
        <v>19</v>
      </c>
      <c r="D8" s="39" t="n">
        <v>16</v>
      </c>
      <c r="E8" s="19" t="n">
        <v>25209</v>
      </c>
      <c r="F8" s="40" t="n">
        <f aca="false">D8*E8</f>
        <v>403344</v>
      </c>
    </row>
    <row r="9" customFormat="false" ht="15.75" hidden="false" customHeight="true" outlineLevel="0" collapsed="false">
      <c r="A9" s="33" t="s">
        <v>44</v>
      </c>
      <c r="B9" s="33" t="s">
        <v>39</v>
      </c>
      <c r="C9" s="34" t="s">
        <v>19</v>
      </c>
      <c r="D9" s="35" t="n">
        <v>16</v>
      </c>
      <c r="E9" s="15" t="n">
        <v>25209</v>
      </c>
      <c r="F9" s="36" t="n">
        <f aca="false">D9*E9</f>
        <v>403344</v>
      </c>
    </row>
    <row r="10" customFormat="false" ht="15.75" hidden="false" customHeight="true" outlineLevel="0" collapsed="false">
      <c r="A10" s="37" t="s">
        <v>44</v>
      </c>
      <c r="B10" s="37" t="s">
        <v>40</v>
      </c>
      <c r="C10" s="38" t="s">
        <v>19</v>
      </c>
      <c r="D10" s="39" t="n">
        <v>4</v>
      </c>
      <c r="E10" s="19" t="n">
        <v>33861</v>
      </c>
      <c r="F10" s="40" t="n">
        <f aca="false">D10*E10</f>
        <v>135444</v>
      </c>
    </row>
    <row r="11" customFormat="false" ht="15.75" hidden="false" customHeight="true" outlineLevel="0" collapsed="false">
      <c r="A11" s="33" t="s">
        <v>45</v>
      </c>
      <c r="B11" s="33" t="s">
        <v>39</v>
      </c>
      <c r="C11" s="34" t="s">
        <v>19</v>
      </c>
      <c r="D11" s="35" t="n">
        <v>8</v>
      </c>
      <c r="E11" s="15" t="n">
        <v>25209</v>
      </c>
      <c r="F11" s="36" t="n">
        <f aca="false">D11*E11</f>
        <v>201672</v>
      </c>
    </row>
    <row r="12" customFormat="false" ht="15.75" hidden="false" customHeight="true" outlineLevel="0" collapsed="false">
      <c r="A12" s="37" t="s">
        <v>45</v>
      </c>
      <c r="B12" s="37" t="s">
        <v>43</v>
      </c>
      <c r="C12" s="38" t="s">
        <v>19</v>
      </c>
      <c r="D12" s="39" t="n">
        <v>7</v>
      </c>
      <c r="E12" s="19" t="n">
        <v>25209</v>
      </c>
      <c r="F12" s="40" t="n">
        <f aca="false">D12*E12</f>
        <v>176463</v>
      </c>
    </row>
    <row r="13" customFormat="false" ht="21.75" hidden="false" customHeight="true" outlineLevel="0" collapsed="false">
      <c r="A13" s="41" t="s">
        <v>46</v>
      </c>
      <c r="B13" s="41"/>
      <c r="C13" s="41"/>
      <c r="D13" s="42" t="n">
        <f aca="false">SUM(D5:D12)</f>
        <v>123</v>
      </c>
      <c r="E13" s="43" t="n">
        <f aca="false">SUM(E5:E12)</f>
        <v>244098</v>
      </c>
      <c r="F13" s="43" t="n">
        <f aca="false">SUM(F5:F12)</f>
        <v>3374235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27.75" hidden="false" customHeight="true" outlineLevel="0" collapsed="false">
      <c r="A15" s="32"/>
      <c r="B15" s="32"/>
      <c r="C15" s="32"/>
      <c r="D15" s="32"/>
      <c r="E15" s="32"/>
      <c r="F15" s="32"/>
    </row>
  </sheetData>
  <mergeCells count="4">
    <mergeCell ref="A1:F1"/>
    <mergeCell ref="A2:F2"/>
    <mergeCell ref="A13:C1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E22" activeCellId="0" sqref="E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30" hidden="false" customHeight="true" outlineLevel="0" collapsed="false">
      <c r="A1" s="31" t="s">
        <v>47</v>
      </c>
      <c r="B1" s="31"/>
      <c r="C1" s="31"/>
      <c r="D1" s="31"/>
      <c r="E1" s="31"/>
      <c r="F1" s="31"/>
    </row>
    <row r="2" customFormat="false" ht="15.75" hidden="false" customHeight="true" outlineLevel="0" collapsed="false">
      <c r="A2" s="32"/>
      <c r="B2" s="32"/>
      <c r="C2" s="32"/>
      <c r="D2" s="32"/>
      <c r="E2" s="32"/>
      <c r="F2" s="3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11" t="s">
        <v>32</v>
      </c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</row>
    <row r="5" customFormat="false" ht="15.75" hidden="false" customHeight="true" outlineLevel="0" collapsed="false">
      <c r="A5" s="33" t="s">
        <v>42</v>
      </c>
      <c r="B5" s="33" t="s">
        <v>48</v>
      </c>
      <c r="C5" s="34" t="s">
        <v>19</v>
      </c>
      <c r="D5" s="35" t="n">
        <v>56</v>
      </c>
      <c r="E5" s="15" t="n">
        <v>408</v>
      </c>
      <c r="F5" s="36" t="n">
        <f aca="false">D5*E5</f>
        <v>22848</v>
      </c>
    </row>
    <row r="6" customFormat="false" ht="15.75" hidden="false" customHeight="true" outlineLevel="0" collapsed="false">
      <c r="A6" s="37" t="s">
        <v>42</v>
      </c>
      <c r="B6" s="37" t="s">
        <v>49</v>
      </c>
      <c r="C6" s="38" t="s">
        <v>19</v>
      </c>
      <c r="D6" s="39" t="n">
        <v>20</v>
      </c>
      <c r="E6" s="19" t="n">
        <v>2000</v>
      </c>
      <c r="F6" s="40" t="n">
        <f aca="false">D6*E6</f>
        <v>40000</v>
      </c>
    </row>
    <row r="7" customFormat="false" ht="15.75" hidden="false" customHeight="true" outlineLevel="0" collapsed="false">
      <c r="A7" s="33" t="s">
        <v>42</v>
      </c>
      <c r="B7" s="33" t="s">
        <v>50</v>
      </c>
      <c r="C7" s="34" t="s">
        <v>19</v>
      </c>
      <c r="D7" s="35" t="n">
        <v>20</v>
      </c>
      <c r="E7" s="15" t="n">
        <v>2549</v>
      </c>
      <c r="F7" s="36" t="n">
        <f aca="false">D7*E7</f>
        <v>50980</v>
      </c>
    </row>
    <row r="8" customFormat="false" ht="15.75" hidden="false" customHeight="true" outlineLevel="0" collapsed="false">
      <c r="A8" s="37" t="s">
        <v>44</v>
      </c>
      <c r="B8" s="37" t="s">
        <v>48</v>
      </c>
      <c r="C8" s="38" t="s">
        <v>19</v>
      </c>
      <c r="D8" s="39" t="n">
        <v>20</v>
      </c>
      <c r="E8" s="19" t="n">
        <v>408</v>
      </c>
      <c r="F8" s="40" t="n">
        <f aca="false">D8*E8</f>
        <v>8160</v>
      </c>
    </row>
    <row r="9" customFormat="false" ht="15.75" hidden="false" customHeight="true" outlineLevel="0" collapsed="false">
      <c r="A9" s="33" t="s">
        <v>44</v>
      </c>
      <c r="B9" s="33" t="s">
        <v>51</v>
      </c>
      <c r="C9" s="34" t="s">
        <v>19</v>
      </c>
      <c r="D9" s="35" t="n">
        <v>20</v>
      </c>
      <c r="E9" s="15" t="n">
        <v>4859</v>
      </c>
      <c r="F9" s="36" t="n">
        <f aca="false">D9*E9</f>
        <v>97180</v>
      </c>
    </row>
    <row r="10" customFormat="false" ht="15.75" hidden="false" customHeight="true" outlineLevel="0" collapsed="false">
      <c r="A10" s="37" t="s">
        <v>44</v>
      </c>
      <c r="B10" s="37" t="s">
        <v>52</v>
      </c>
      <c r="C10" s="38" t="s">
        <v>19</v>
      </c>
      <c r="D10" s="39" t="n">
        <v>20</v>
      </c>
      <c r="E10" s="19" t="n">
        <v>3239</v>
      </c>
      <c r="F10" s="40" t="n">
        <f aca="false">D10*E10</f>
        <v>64780</v>
      </c>
    </row>
    <row r="11" customFormat="false" ht="15.75" hidden="false" customHeight="true" outlineLevel="0" collapsed="false">
      <c r="A11" s="33" t="s">
        <v>45</v>
      </c>
      <c r="B11" s="33" t="s">
        <v>53</v>
      </c>
      <c r="C11" s="34" t="s">
        <v>19</v>
      </c>
      <c r="D11" s="35" t="n">
        <v>4</v>
      </c>
      <c r="E11" s="15" t="n">
        <v>9000</v>
      </c>
      <c r="F11" s="36" t="n">
        <f aca="false">D11*E11</f>
        <v>36000</v>
      </c>
    </row>
    <row r="12" customFormat="false" ht="15.75" hidden="false" customHeight="true" outlineLevel="0" collapsed="false">
      <c r="A12" s="37" t="s">
        <v>54</v>
      </c>
      <c r="B12" s="37" t="s">
        <v>55</v>
      </c>
      <c r="C12" s="38" t="s">
        <v>19</v>
      </c>
      <c r="D12" s="39" t="n">
        <v>3</v>
      </c>
      <c r="E12" s="19" t="n">
        <v>4589</v>
      </c>
      <c r="F12" s="40" t="n">
        <f aca="false">D12*E12</f>
        <v>13767</v>
      </c>
    </row>
    <row r="13" customFormat="false" ht="15.75" hidden="false" customHeight="true" outlineLevel="0" collapsed="false">
      <c r="A13" s="33" t="s">
        <v>54</v>
      </c>
      <c r="B13" s="33" t="s">
        <v>56</v>
      </c>
      <c r="C13" s="34" t="s">
        <v>19</v>
      </c>
      <c r="D13" s="35" t="n">
        <v>2</v>
      </c>
      <c r="E13" s="15" t="n">
        <v>430</v>
      </c>
      <c r="F13" s="36" t="n">
        <f aca="false">D13*E13</f>
        <v>860</v>
      </c>
    </row>
    <row r="14" customFormat="false" ht="15.75" hidden="false" customHeight="true" outlineLevel="0" collapsed="false">
      <c r="A14" s="37" t="s">
        <v>54</v>
      </c>
      <c r="B14" s="37" t="s">
        <v>57</v>
      </c>
      <c r="C14" s="38" t="s">
        <v>19</v>
      </c>
      <c r="D14" s="39" t="n">
        <v>1</v>
      </c>
      <c r="E14" s="19" t="n">
        <v>1009</v>
      </c>
      <c r="F14" s="40" t="n">
        <f aca="false">D14*E14</f>
        <v>1009</v>
      </c>
    </row>
    <row r="15" customFormat="false" ht="15.75" hidden="false" customHeight="true" outlineLevel="0" collapsed="false">
      <c r="A15" s="33" t="s">
        <v>54</v>
      </c>
      <c r="B15" s="33" t="s">
        <v>58</v>
      </c>
      <c r="C15" s="34" t="s">
        <v>19</v>
      </c>
      <c r="D15" s="35" t="n">
        <v>1</v>
      </c>
      <c r="E15" s="15" t="n">
        <v>3800</v>
      </c>
      <c r="F15" s="36" t="n">
        <f aca="false">D15*E15</f>
        <v>3800</v>
      </c>
    </row>
    <row r="16" customFormat="false" ht="21.75" hidden="false" customHeight="true" outlineLevel="0" collapsed="false">
      <c r="A16" s="41" t="s">
        <v>46</v>
      </c>
      <c r="B16" s="41"/>
      <c r="C16" s="41"/>
      <c r="D16" s="42" t="n">
        <f aca="false">SUM(D5:D15)</f>
        <v>167</v>
      </c>
      <c r="E16" s="43" t="n">
        <f aca="false">SUM(E5:E15)</f>
        <v>32291</v>
      </c>
      <c r="F16" s="43" t="n">
        <f aca="false">SUM(F5:F15)</f>
        <v>339384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27.75" hidden="false" customHeight="true" outlineLevel="0" collapsed="false">
      <c r="A18" s="32"/>
      <c r="B18" s="32"/>
      <c r="C18" s="32"/>
      <c r="D18" s="32"/>
      <c r="E18" s="32"/>
      <c r="F18" s="32"/>
    </row>
  </sheetData>
  <mergeCells count="4">
    <mergeCell ref="A1:F1"/>
    <mergeCell ref="A2:F2"/>
    <mergeCell ref="A16:C16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0" colorId="64" zoomScale="156" zoomScaleNormal="156" zoomScalePageLayoutView="100" workbookViewId="0">
      <selection pane="topLeft" activeCell="E28" activeCellId="0" sqref="E2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44" width="10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30" hidden="false" customHeight="true" outlineLevel="0" collapsed="false">
      <c r="A1" s="31" t="s">
        <v>59</v>
      </c>
      <c r="B1" s="31"/>
      <c r="C1" s="31"/>
      <c r="D1" s="31"/>
      <c r="E1" s="31"/>
      <c r="F1" s="31"/>
      <c r="G1" s="31"/>
    </row>
    <row r="2" customFormat="false" ht="15.75" hidden="false" customHeight="true" outlineLevel="0" collapsed="false">
      <c r="A2" s="32"/>
      <c r="B2" s="32"/>
      <c r="C2" s="32"/>
      <c r="D2" s="32"/>
      <c r="E2" s="32"/>
      <c r="F2" s="32"/>
      <c r="G2" s="3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11" t="s">
        <v>32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36</v>
      </c>
      <c r="G4" s="11" t="s">
        <v>37</v>
      </c>
    </row>
    <row r="5" customFormat="false" ht="15.75" hidden="false" customHeight="true" outlineLevel="0" collapsed="false">
      <c r="A5" s="33" t="s">
        <v>38</v>
      </c>
      <c r="B5" s="33" t="s">
        <v>64</v>
      </c>
      <c r="C5" s="34" t="s">
        <v>65</v>
      </c>
      <c r="D5" s="34" t="s">
        <v>23</v>
      </c>
      <c r="E5" s="35" t="n">
        <v>25</v>
      </c>
      <c r="F5" s="15" t="n">
        <v>183</v>
      </c>
      <c r="G5" s="36" t="n">
        <f aca="false">E5*F5</f>
        <v>4575</v>
      </c>
    </row>
    <row r="6" customFormat="false" ht="15.75" hidden="false" customHeight="true" outlineLevel="0" collapsed="false">
      <c r="A6" s="37" t="s">
        <v>38</v>
      </c>
      <c r="B6" s="37" t="s">
        <v>66</v>
      </c>
      <c r="C6" s="38" t="s">
        <v>65</v>
      </c>
      <c r="D6" s="38" t="s">
        <v>23</v>
      </c>
      <c r="E6" s="39" t="n">
        <v>2</v>
      </c>
      <c r="F6" s="19" t="n">
        <v>89</v>
      </c>
      <c r="G6" s="40" t="n">
        <f aca="false">E6*F6</f>
        <v>178</v>
      </c>
    </row>
    <row r="7" customFormat="false" ht="15.75" hidden="false" customHeight="true" outlineLevel="0" collapsed="false">
      <c r="A7" s="37"/>
      <c r="B7" s="37"/>
      <c r="C7" s="38"/>
      <c r="D7" s="38"/>
      <c r="E7" s="39"/>
      <c r="F7" s="19"/>
      <c r="G7" s="40"/>
    </row>
    <row r="8" customFormat="false" ht="15.75" hidden="false" customHeight="true" outlineLevel="0" collapsed="false">
      <c r="A8" s="33" t="s">
        <v>67</v>
      </c>
      <c r="B8" s="33" t="s">
        <v>68</v>
      </c>
      <c r="C8" s="34" t="s">
        <v>65</v>
      </c>
      <c r="D8" s="34" t="s">
        <v>23</v>
      </c>
      <c r="E8" s="35" t="n">
        <v>13</v>
      </c>
      <c r="F8" s="15" t="n">
        <v>89</v>
      </c>
      <c r="G8" s="36" t="n">
        <f aca="false">E8*F8</f>
        <v>1157</v>
      </c>
    </row>
    <row r="9" customFormat="false" ht="15.75" hidden="false" customHeight="true" outlineLevel="0" collapsed="false">
      <c r="A9" s="37" t="s">
        <v>38</v>
      </c>
      <c r="B9" s="37" t="s">
        <v>69</v>
      </c>
      <c r="C9" s="38" t="s">
        <v>65</v>
      </c>
      <c r="D9" s="38" t="s">
        <v>23</v>
      </c>
      <c r="E9" s="39" t="n">
        <v>25</v>
      </c>
      <c r="F9" s="19" t="n">
        <v>75</v>
      </c>
      <c r="G9" s="40" t="n">
        <f aca="false">E9*F9</f>
        <v>1875</v>
      </c>
    </row>
    <row r="10" customFormat="false" ht="15.75" hidden="false" customHeight="true" outlineLevel="0" collapsed="false">
      <c r="A10" s="33" t="s">
        <v>67</v>
      </c>
      <c r="B10" s="33" t="s">
        <v>70</v>
      </c>
      <c r="C10" s="34" t="s">
        <v>65</v>
      </c>
      <c r="D10" s="34" t="s">
        <v>23</v>
      </c>
      <c r="E10" s="35" t="n">
        <v>1</v>
      </c>
      <c r="F10" s="15" t="n">
        <v>678</v>
      </c>
      <c r="G10" s="36" t="n">
        <f aca="false">E10*F10</f>
        <v>678</v>
      </c>
    </row>
    <row r="11" customFormat="false" ht="15.75" hidden="false" customHeight="true" outlineLevel="0" collapsed="false">
      <c r="A11" s="37" t="s">
        <v>67</v>
      </c>
      <c r="B11" s="37" t="s">
        <v>71</v>
      </c>
      <c r="C11" s="38" t="s">
        <v>65</v>
      </c>
      <c r="D11" s="38" t="s">
        <v>23</v>
      </c>
      <c r="E11" s="39" t="n">
        <v>1</v>
      </c>
      <c r="F11" s="19" t="n">
        <v>113</v>
      </c>
      <c r="G11" s="40" t="n">
        <f aca="false">E11*F11</f>
        <v>113</v>
      </c>
    </row>
    <row r="12" customFormat="false" ht="15.75" hidden="false" customHeight="true" outlineLevel="0" collapsed="false">
      <c r="A12" s="33" t="s">
        <v>38</v>
      </c>
      <c r="B12" s="33" t="s">
        <v>72</v>
      </c>
      <c r="C12" s="34" t="s">
        <v>65</v>
      </c>
      <c r="D12" s="34" t="s">
        <v>23</v>
      </c>
      <c r="E12" s="35" t="n">
        <v>16</v>
      </c>
      <c r="F12" s="15" t="n">
        <v>299</v>
      </c>
      <c r="G12" s="36" t="n">
        <f aca="false">E12*F12</f>
        <v>4784</v>
      </c>
    </row>
    <row r="13" customFormat="false" ht="15.75" hidden="false" customHeight="true" outlineLevel="0" collapsed="false">
      <c r="A13" s="37" t="s">
        <v>54</v>
      </c>
      <c r="B13" s="37" t="s">
        <v>73</v>
      </c>
      <c r="C13" s="38" t="s">
        <v>65</v>
      </c>
      <c r="D13" s="38" t="s">
        <v>23</v>
      </c>
      <c r="E13" s="39" t="n">
        <v>1</v>
      </c>
      <c r="F13" s="19" t="n">
        <v>399</v>
      </c>
      <c r="G13" s="40" t="n">
        <f aca="false">E13*F13</f>
        <v>399</v>
      </c>
    </row>
    <row r="14" customFormat="false" ht="15.75" hidden="false" customHeight="true" outlineLevel="0" collapsed="false">
      <c r="A14" s="33" t="s">
        <v>38</v>
      </c>
      <c r="B14" s="33" t="s">
        <v>74</v>
      </c>
      <c r="C14" s="34" t="s">
        <v>65</v>
      </c>
      <c r="D14" s="34" t="s">
        <v>23</v>
      </c>
      <c r="E14" s="35" t="n">
        <v>3</v>
      </c>
      <c r="F14" s="15" t="n">
        <v>1500</v>
      </c>
      <c r="G14" s="36" t="n">
        <f aca="false">E14*F14</f>
        <v>4500</v>
      </c>
    </row>
    <row r="15" customFormat="false" ht="15.75" hidden="false" customHeight="true" outlineLevel="0" collapsed="false">
      <c r="A15" s="37" t="s">
        <v>38</v>
      </c>
      <c r="B15" s="37" t="s">
        <v>75</v>
      </c>
      <c r="C15" s="38" t="s">
        <v>65</v>
      </c>
      <c r="D15" s="38" t="s">
        <v>23</v>
      </c>
      <c r="E15" s="39" t="n">
        <v>324</v>
      </c>
      <c r="F15" s="19" t="n">
        <v>120</v>
      </c>
      <c r="G15" s="40" t="n">
        <f aca="false">E15*F15</f>
        <v>38880</v>
      </c>
    </row>
    <row r="16" customFormat="false" ht="15.75" hidden="false" customHeight="true" outlineLevel="0" collapsed="false">
      <c r="A16" s="33" t="s">
        <v>38</v>
      </c>
      <c r="B16" s="33" t="s">
        <v>76</v>
      </c>
      <c r="C16" s="34" t="s">
        <v>65</v>
      </c>
      <c r="D16" s="34" t="s">
        <v>23</v>
      </c>
      <c r="E16" s="35" t="n">
        <v>26</v>
      </c>
      <c r="F16" s="15" t="n">
        <v>128</v>
      </c>
      <c r="G16" s="36" t="n">
        <f aca="false">E16*F16</f>
        <v>3328</v>
      </c>
    </row>
    <row r="17" customFormat="false" ht="15.75" hidden="false" customHeight="true" outlineLevel="0" collapsed="false">
      <c r="A17" s="37" t="s">
        <v>67</v>
      </c>
      <c r="B17" s="37" t="s">
        <v>77</v>
      </c>
      <c r="C17" s="38" t="s">
        <v>65</v>
      </c>
      <c r="D17" s="38" t="s">
        <v>23</v>
      </c>
      <c r="E17" s="39" t="n">
        <v>1</v>
      </c>
      <c r="F17" s="19" t="n">
        <v>2194.99</v>
      </c>
      <c r="G17" s="40" t="n">
        <f aca="false">E17*F17</f>
        <v>2194.99</v>
      </c>
    </row>
    <row r="18" customFormat="false" ht="15.75" hidden="false" customHeight="true" outlineLevel="0" collapsed="false">
      <c r="A18" s="33" t="s">
        <v>67</v>
      </c>
      <c r="B18" s="33" t="s">
        <v>78</v>
      </c>
      <c r="C18" s="34" t="s">
        <v>65</v>
      </c>
      <c r="D18" s="34" t="s">
        <v>23</v>
      </c>
      <c r="E18" s="35" t="n">
        <v>3</v>
      </c>
      <c r="F18" s="15" t="n">
        <v>326</v>
      </c>
      <c r="G18" s="36" t="n">
        <f aca="false">E18*F18</f>
        <v>978</v>
      </c>
    </row>
    <row r="19" customFormat="false" ht="15.75" hidden="false" customHeight="true" outlineLevel="0" collapsed="false">
      <c r="A19" s="37" t="s">
        <v>67</v>
      </c>
      <c r="B19" s="37" t="s">
        <v>79</v>
      </c>
      <c r="C19" s="38" t="s">
        <v>80</v>
      </c>
      <c r="D19" s="38" t="s">
        <v>23</v>
      </c>
      <c r="E19" s="39" t="n">
        <v>5</v>
      </c>
      <c r="F19" s="19" t="n">
        <v>26150</v>
      </c>
      <c r="G19" s="40" t="n">
        <f aca="false">E19*F19</f>
        <v>130750</v>
      </c>
    </row>
    <row r="20" customFormat="false" ht="15.75" hidden="false" customHeight="true" outlineLevel="0" collapsed="false">
      <c r="A20" s="33" t="s">
        <v>67</v>
      </c>
      <c r="B20" s="33" t="s">
        <v>81</v>
      </c>
      <c r="C20" s="34" t="s">
        <v>80</v>
      </c>
      <c r="D20" s="34" t="s">
        <v>23</v>
      </c>
      <c r="E20" s="35" t="n">
        <v>1</v>
      </c>
      <c r="F20" s="15" t="n">
        <v>6335</v>
      </c>
      <c r="G20" s="36" t="n">
        <f aca="false">E20*F20</f>
        <v>6335</v>
      </c>
    </row>
    <row r="21" customFormat="false" ht="18" hidden="false" customHeight="true" outlineLevel="0" collapsed="false">
      <c r="A21" s="45" t="s">
        <v>82</v>
      </c>
      <c r="B21" s="45"/>
      <c r="C21" s="45"/>
      <c r="D21" s="45"/>
      <c r="E21" s="45"/>
      <c r="F21" s="45"/>
      <c r="G21" s="45"/>
    </row>
    <row r="22" customFormat="false" ht="15.75" hidden="false" customHeight="true" outlineLevel="0" collapsed="false">
      <c r="A22" s="33" t="s">
        <v>38</v>
      </c>
      <c r="B22" s="33" t="s">
        <v>83</v>
      </c>
      <c r="C22" s="34" t="s">
        <v>65</v>
      </c>
      <c r="D22" s="46" t="s">
        <v>23</v>
      </c>
      <c r="E22" s="47" t="n">
        <v>15</v>
      </c>
      <c r="F22" s="14" t="n">
        <v>585</v>
      </c>
      <c r="G22" s="14" t="n">
        <f aca="false">E22*F22</f>
        <v>8775</v>
      </c>
    </row>
    <row r="23" customFormat="false" ht="15.75" hidden="false" customHeight="true" outlineLevel="0" collapsed="false">
      <c r="A23" s="37" t="s">
        <v>45</v>
      </c>
      <c r="B23" s="37" t="s">
        <v>84</v>
      </c>
      <c r="C23" s="38" t="s">
        <v>65</v>
      </c>
      <c r="D23" s="46" t="s">
        <v>23</v>
      </c>
      <c r="E23" s="48" t="n">
        <v>4</v>
      </c>
      <c r="F23" s="18" t="n">
        <v>487.5</v>
      </c>
      <c r="G23" s="18" t="n">
        <f aca="false">E23*F23</f>
        <v>1950</v>
      </c>
    </row>
    <row r="24" customFormat="false" ht="15.75" hidden="false" customHeight="true" outlineLevel="0" collapsed="false">
      <c r="A24" s="33" t="s">
        <v>38</v>
      </c>
      <c r="B24" s="33" t="s">
        <v>85</v>
      </c>
      <c r="C24" s="34" t="s">
        <v>80</v>
      </c>
      <c r="D24" s="46" t="s">
        <v>23</v>
      </c>
      <c r="E24" s="47" t="n">
        <v>3</v>
      </c>
      <c r="F24" s="47" t="n">
        <v>11641.5</v>
      </c>
      <c r="G24" s="47" t="n">
        <f aca="false">E24*F24</f>
        <v>34924.5</v>
      </c>
    </row>
    <row r="25" customFormat="false" ht="15.75" hidden="false" customHeight="true" outlineLevel="0" collapsed="false">
      <c r="A25" s="37" t="s">
        <v>67</v>
      </c>
      <c r="B25" s="37" t="s">
        <v>86</v>
      </c>
      <c r="C25" s="38" t="s">
        <v>80</v>
      </c>
      <c r="D25" s="46" t="s">
        <v>23</v>
      </c>
      <c r="E25" s="48" t="n">
        <v>7</v>
      </c>
      <c r="F25" s="18" t="n">
        <v>2808</v>
      </c>
      <c r="G25" s="18" t="n">
        <f aca="false">E25*F25</f>
        <v>19656</v>
      </c>
    </row>
    <row r="26" customFormat="false" ht="15.75" hidden="false" customHeight="true" outlineLevel="0" collapsed="false">
      <c r="A26" s="33" t="s">
        <v>45</v>
      </c>
      <c r="B26" s="33" t="s">
        <v>87</v>
      </c>
      <c r="C26" s="34" t="s">
        <v>80</v>
      </c>
      <c r="D26" s="46" t="s">
        <v>23</v>
      </c>
      <c r="E26" s="47" t="n">
        <v>1</v>
      </c>
      <c r="F26" s="14" t="n">
        <v>293184.06</v>
      </c>
      <c r="G26" s="14" t="n">
        <f aca="false">E26*F26</f>
        <v>293184.06</v>
      </c>
    </row>
    <row r="27" customFormat="false" ht="34.5" hidden="false" customHeight="true" outlineLevel="0" collapsed="false">
      <c r="A27" s="41" t="s">
        <v>46</v>
      </c>
      <c r="B27" s="49"/>
      <c r="C27" s="50"/>
      <c r="D27" s="51"/>
      <c r="E27" s="42" t="n">
        <f aca="false">SUM(E5:E20)</f>
        <v>447</v>
      </c>
      <c r="F27" s="43" t="n">
        <f aca="false">SUM(F5:F20)</f>
        <v>38678.99</v>
      </c>
      <c r="G27" s="43" t="n">
        <f aca="false">SUM(G5:G20)</f>
        <v>200724.99</v>
      </c>
    </row>
    <row r="28" customFormat="false" ht="21.75" hidden="false" customHeight="true" outlineLevel="0" collapsed="false">
      <c r="A28" s="52" t="s">
        <v>46</v>
      </c>
      <c r="B28" s="52"/>
      <c r="C28" s="52"/>
      <c r="D28" s="52"/>
      <c r="E28" s="2"/>
      <c r="F28" s="2"/>
      <c r="G28" s="43" t="n">
        <f aca="false">SUM(G5:G27)</f>
        <v>759939.54</v>
      </c>
    </row>
    <row r="29" customFormat="false" ht="27.75" hidden="false" customHeight="true" outlineLevel="0" collapsed="false">
      <c r="A29" s="32"/>
      <c r="B29" s="32"/>
      <c r="C29" s="32"/>
      <c r="D29" s="32"/>
      <c r="E29" s="32"/>
      <c r="F29" s="32"/>
      <c r="G29" s="32"/>
    </row>
  </sheetData>
  <mergeCells count="5">
    <mergeCell ref="A1:G1"/>
    <mergeCell ref="A2:G2"/>
    <mergeCell ref="A21:G21"/>
    <mergeCell ref="A28:D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B18" activeCellId="0" sqref="B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30" hidden="false" customHeight="true" outlineLevel="0" collapsed="false">
      <c r="A1" s="31" t="s">
        <v>88</v>
      </c>
      <c r="B1" s="31"/>
      <c r="C1" s="31"/>
      <c r="D1" s="31"/>
      <c r="E1" s="31"/>
      <c r="F1" s="31"/>
    </row>
    <row r="2" customFormat="false" ht="15.75" hidden="false" customHeight="true" outlineLevel="0" collapsed="false">
      <c r="A2" s="32"/>
      <c r="B2" s="32"/>
      <c r="C2" s="32"/>
      <c r="D2" s="32"/>
      <c r="E2" s="32"/>
      <c r="F2" s="3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1.75" hidden="false" customHeight="true" outlineLevel="0" collapsed="false">
      <c r="A4" s="11" t="s">
        <v>32</v>
      </c>
      <c r="B4" s="11" t="s">
        <v>89</v>
      </c>
      <c r="C4" s="11" t="s">
        <v>62</v>
      </c>
      <c r="D4" s="11" t="s">
        <v>35</v>
      </c>
      <c r="E4" s="11" t="s">
        <v>36</v>
      </c>
      <c r="F4" s="11" t="s">
        <v>37</v>
      </c>
    </row>
    <row r="5" customFormat="false" ht="15.75" hidden="false" customHeight="true" outlineLevel="0" collapsed="false">
      <c r="A5" s="33" t="s">
        <v>54</v>
      </c>
      <c r="B5" s="33" t="s">
        <v>90</v>
      </c>
      <c r="C5" s="34" t="s">
        <v>19</v>
      </c>
      <c r="D5" s="35" t="n">
        <v>1</v>
      </c>
      <c r="E5" s="15" t="n">
        <v>10500</v>
      </c>
      <c r="F5" s="36" t="n">
        <f aca="false">D5*E5</f>
        <v>10500</v>
      </c>
    </row>
    <row r="6" customFormat="false" ht="15.75" hidden="false" customHeight="true" outlineLevel="0" collapsed="false">
      <c r="A6" s="37" t="s">
        <v>54</v>
      </c>
      <c r="B6" s="37" t="s">
        <v>91</v>
      </c>
      <c r="C6" s="38" t="s">
        <v>19</v>
      </c>
      <c r="D6" s="39" t="n">
        <v>1</v>
      </c>
      <c r="E6" s="19" t="n">
        <v>7000</v>
      </c>
      <c r="F6" s="40" t="n">
        <f aca="false">D6*E6</f>
        <v>7000</v>
      </c>
    </row>
    <row r="7" customFormat="false" ht="15.75" hidden="false" customHeight="true" outlineLevel="0" collapsed="false">
      <c r="A7" s="33" t="s">
        <v>54</v>
      </c>
      <c r="B7" s="33" t="s">
        <v>90</v>
      </c>
      <c r="C7" s="34" t="s">
        <v>19</v>
      </c>
      <c r="D7" s="35" t="n">
        <v>1</v>
      </c>
      <c r="E7" s="15" t="n">
        <v>8074</v>
      </c>
      <c r="F7" s="36" t="n">
        <f aca="false">D7*E7</f>
        <v>8074</v>
      </c>
    </row>
    <row r="8" customFormat="false" ht="15.75" hidden="false" customHeight="true" outlineLevel="0" collapsed="false">
      <c r="A8" s="37" t="s">
        <v>54</v>
      </c>
      <c r="B8" s="37" t="s">
        <v>92</v>
      </c>
      <c r="C8" s="38" t="s">
        <v>19</v>
      </c>
      <c r="D8" s="39" t="n">
        <v>2</v>
      </c>
      <c r="E8" s="19" t="n">
        <v>32189</v>
      </c>
      <c r="F8" s="40" t="n">
        <f aca="false">D8*E8</f>
        <v>64378</v>
      </c>
    </row>
    <row r="9" customFormat="false" ht="15.75" hidden="false" customHeight="true" outlineLevel="0" collapsed="false">
      <c r="A9" s="33" t="s">
        <v>54</v>
      </c>
      <c r="B9" s="33" t="s">
        <v>91</v>
      </c>
      <c r="C9" s="34" t="s">
        <v>19</v>
      </c>
      <c r="D9" s="35" t="n">
        <v>1</v>
      </c>
      <c r="E9" s="15" t="n">
        <v>4999</v>
      </c>
      <c r="F9" s="36" t="n">
        <f aca="false">D9*E9</f>
        <v>4999</v>
      </c>
    </row>
    <row r="10" customFormat="false" ht="15.75" hidden="false" customHeight="true" outlineLevel="0" collapsed="false">
      <c r="A10" s="37" t="s">
        <v>54</v>
      </c>
      <c r="B10" s="37" t="s">
        <v>93</v>
      </c>
      <c r="C10" s="38" t="s">
        <v>19</v>
      </c>
      <c r="D10" s="39" t="n">
        <v>1</v>
      </c>
      <c r="E10" s="19" t="n">
        <v>5223</v>
      </c>
      <c r="F10" s="40" t="n">
        <f aca="false">D10*E10</f>
        <v>5223</v>
      </c>
    </row>
    <row r="11" customFormat="false" ht="15.75" hidden="false" customHeight="true" outlineLevel="0" collapsed="false">
      <c r="A11" s="33" t="s">
        <v>54</v>
      </c>
      <c r="B11" s="33" t="s">
        <v>94</v>
      </c>
      <c r="C11" s="34" t="s">
        <v>19</v>
      </c>
      <c r="D11" s="35" t="n">
        <v>1</v>
      </c>
      <c r="E11" s="15" t="n">
        <v>8619</v>
      </c>
      <c r="F11" s="36" t="n">
        <f aca="false">D11*E11</f>
        <v>8619</v>
      </c>
    </row>
    <row r="12" customFormat="false" ht="21.75" hidden="false" customHeight="true" outlineLevel="0" collapsed="false">
      <c r="A12" s="41" t="s">
        <v>46</v>
      </c>
      <c r="B12" s="41"/>
      <c r="C12" s="41"/>
      <c r="D12" s="53" t="n">
        <f aca="false">SUM(D5:D11)</f>
        <v>8</v>
      </c>
      <c r="E12" s="43" t="n">
        <f aca="false">SUM(E5:E11)</f>
        <v>76604</v>
      </c>
      <c r="F12" s="43" t="n">
        <f aca="false">SUM(F5:F11)</f>
        <v>108793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8" hidden="false" customHeight="true" outlineLevel="0" collapsed="false">
      <c r="A14" s="54" t="s">
        <v>95</v>
      </c>
      <c r="B14" s="54"/>
      <c r="C14" s="54"/>
      <c r="D14" s="54"/>
      <c r="E14" s="54"/>
      <c r="F14" s="54"/>
    </row>
    <row r="15" customFormat="false" ht="22.5" hidden="false" customHeight="true" outlineLevel="0" collapsed="false">
      <c r="A15" s="33" t="s">
        <v>96</v>
      </c>
      <c r="B15" s="33" t="s">
        <v>97</v>
      </c>
      <c r="C15" s="34" t="s">
        <v>19</v>
      </c>
      <c r="D15" s="34" t="s">
        <v>98</v>
      </c>
      <c r="E15" s="34" t="s">
        <v>99</v>
      </c>
      <c r="F15" s="34" t="s">
        <v>100</v>
      </c>
    </row>
    <row r="16" customFormat="false" ht="33" hidden="false" customHeight="true" outlineLevel="0" collapsed="false">
      <c r="A16" s="55"/>
      <c r="B16" s="55"/>
      <c r="C16" s="55"/>
      <c r="D16" s="55"/>
      <c r="E16" s="55"/>
      <c r="F16" s="55"/>
    </row>
    <row r="17" customFormat="false" ht="15" hidden="false" customHeight="true" outlineLevel="0" collapsed="false">
      <c r="A17" s="9"/>
      <c r="B17" s="56"/>
      <c r="C17" s="56"/>
      <c r="D17" s="56"/>
      <c r="E17" s="56"/>
      <c r="F17" s="56"/>
    </row>
    <row r="18" customFormat="false" ht="22.5" hidden="false" customHeight="tru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27.75" hidden="false" customHeight="true" outlineLevel="0" collapsed="false">
      <c r="A20" s="2"/>
      <c r="B20" s="2"/>
      <c r="C20" s="2"/>
      <c r="D20" s="2"/>
      <c r="E20" s="2"/>
      <c r="F20" s="2"/>
    </row>
  </sheetData>
  <mergeCells count="6">
    <mergeCell ref="A1:F1"/>
    <mergeCell ref="A2:F2"/>
    <mergeCell ref="A12:C12"/>
    <mergeCell ref="A14:F14"/>
    <mergeCell ref="A16:F16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A18" activeCellId="0" sqref="A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6" min="5" style="1" width="14"/>
  </cols>
  <sheetData>
    <row r="1" customFormat="false" ht="30" hidden="false" customHeight="true" outlineLevel="0" collapsed="false">
      <c r="A1" s="31" t="s">
        <v>101</v>
      </c>
      <c r="B1" s="31"/>
      <c r="C1" s="31"/>
      <c r="D1" s="31"/>
      <c r="E1" s="31"/>
      <c r="F1" s="31"/>
      <c r="G1" s="2"/>
    </row>
    <row r="2" customFormat="false" ht="15.75" hidden="false" customHeight="true" outlineLevel="0" collapsed="false">
      <c r="A2" s="32"/>
      <c r="B2" s="32"/>
      <c r="C2" s="32"/>
      <c r="D2" s="32"/>
      <c r="E2" s="32"/>
      <c r="F2" s="3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1.75" hidden="false" customHeight="true" outlineLevel="0" collapsed="false">
      <c r="A4" s="11" t="s">
        <v>102</v>
      </c>
      <c r="B4" s="11" t="s">
        <v>103</v>
      </c>
      <c r="C4" s="11" t="s">
        <v>104</v>
      </c>
      <c r="D4" s="11" t="s">
        <v>62</v>
      </c>
      <c r="E4" s="11" t="s">
        <v>105</v>
      </c>
      <c r="F4" s="11" t="s">
        <v>106</v>
      </c>
      <c r="G4" s="2"/>
    </row>
    <row r="5" customFormat="false" ht="15.75" hidden="false" customHeight="true" outlineLevel="0" collapsed="false">
      <c r="A5" s="33" t="s">
        <v>107</v>
      </c>
      <c r="B5" s="33" t="s">
        <v>108</v>
      </c>
      <c r="C5" s="33" t="s">
        <v>109</v>
      </c>
      <c r="D5" s="34" t="s">
        <v>23</v>
      </c>
      <c r="E5" s="15" t="n">
        <v>2418</v>
      </c>
      <c r="F5" s="36" t="n">
        <f aca="false">E5*6</f>
        <v>14508</v>
      </c>
      <c r="G5" s="2"/>
    </row>
    <row r="6" customFormat="false" ht="15.75" hidden="false" customHeight="true" outlineLevel="0" collapsed="false">
      <c r="A6" s="37" t="s">
        <v>107</v>
      </c>
      <c r="B6" s="37" t="s">
        <v>110</v>
      </c>
      <c r="C6" s="37" t="s">
        <v>109</v>
      </c>
      <c r="D6" s="38" t="s">
        <v>23</v>
      </c>
      <c r="E6" s="19" t="n">
        <v>640.5</v>
      </c>
      <c r="F6" s="40" t="n">
        <f aca="false">E6*6</f>
        <v>3843</v>
      </c>
      <c r="G6" s="2"/>
    </row>
    <row r="7" customFormat="false" ht="15.75" hidden="false" customHeight="true" outlineLevel="0" collapsed="false">
      <c r="A7" s="33" t="s">
        <v>111</v>
      </c>
      <c r="B7" s="33" t="s">
        <v>110</v>
      </c>
      <c r="C7" s="33" t="s">
        <v>109</v>
      </c>
      <c r="D7" s="34" t="s">
        <v>23</v>
      </c>
      <c r="E7" s="15" t="n">
        <v>932.17</v>
      </c>
      <c r="F7" s="36" t="n">
        <f aca="false">E7*6</f>
        <v>5593.02</v>
      </c>
      <c r="G7" s="2"/>
    </row>
    <row r="8" customFormat="false" ht="15.75" hidden="false" customHeight="true" outlineLevel="0" collapsed="false">
      <c r="A8" s="37" t="s">
        <v>96</v>
      </c>
      <c r="B8" s="37" t="s">
        <v>110</v>
      </c>
      <c r="C8" s="37" t="s">
        <v>109</v>
      </c>
      <c r="D8" s="38" t="s">
        <v>23</v>
      </c>
      <c r="E8" s="19" t="n">
        <v>465.5</v>
      </c>
      <c r="F8" s="40" t="n">
        <f aca="false">E8*6</f>
        <v>2793</v>
      </c>
      <c r="G8" s="2"/>
    </row>
    <row r="9" customFormat="false" ht="15.75" hidden="false" customHeight="true" outlineLevel="0" collapsed="false">
      <c r="A9" s="33" t="s">
        <v>96</v>
      </c>
      <c r="B9" s="33" t="s">
        <v>110</v>
      </c>
      <c r="C9" s="33" t="s">
        <v>109</v>
      </c>
      <c r="D9" s="34" t="s">
        <v>23</v>
      </c>
      <c r="E9" s="15" t="n">
        <v>1108.33</v>
      </c>
      <c r="F9" s="36" t="n">
        <f aca="false">E9*6</f>
        <v>6649.98</v>
      </c>
      <c r="G9" s="2"/>
    </row>
    <row r="10" customFormat="false" ht="15.75" hidden="false" customHeight="true" outlineLevel="0" collapsed="false">
      <c r="A10" s="37" t="s">
        <v>96</v>
      </c>
      <c r="B10" s="37" t="s">
        <v>112</v>
      </c>
      <c r="C10" s="37" t="s">
        <v>112</v>
      </c>
      <c r="D10" s="38" t="s">
        <v>23</v>
      </c>
      <c r="E10" s="19" t="n">
        <v>1900</v>
      </c>
      <c r="F10" s="40" t="n">
        <f aca="false">E10*6</f>
        <v>11400</v>
      </c>
      <c r="G10" s="2"/>
    </row>
    <row r="11" customFormat="false" ht="15.75" hidden="false" customHeight="true" outlineLevel="0" collapsed="false">
      <c r="A11" s="33" t="s">
        <v>113</v>
      </c>
      <c r="B11" s="33" t="s">
        <v>110</v>
      </c>
      <c r="C11" s="33" t="s">
        <v>109</v>
      </c>
      <c r="D11" s="34" t="s">
        <v>23</v>
      </c>
      <c r="E11" s="15" t="n">
        <v>932.17</v>
      </c>
      <c r="F11" s="36" t="n">
        <f aca="false">E11*6</f>
        <v>5593.02</v>
      </c>
      <c r="G11" s="2"/>
    </row>
    <row r="12" customFormat="false" ht="21.75" hidden="false" customHeight="true" outlineLevel="0" collapsed="false">
      <c r="A12" s="57" t="s">
        <v>46</v>
      </c>
      <c r="B12" s="57"/>
      <c r="C12" s="57"/>
      <c r="D12" s="58"/>
      <c r="E12" s="43" t="n">
        <f aca="false">SUM(E5:E11)</f>
        <v>8396.67</v>
      </c>
      <c r="F12" s="43" t="n">
        <f aca="false">SUM(F5:F11)</f>
        <v>50380.02</v>
      </c>
      <c r="G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8" hidden="false" customHeight="true" outlineLevel="0" collapsed="false">
      <c r="A14" s="54" t="s">
        <v>114</v>
      </c>
      <c r="B14" s="54"/>
      <c r="C14" s="54"/>
      <c r="D14" s="54"/>
      <c r="E14" s="54"/>
      <c r="F14" s="54"/>
      <c r="G14" s="2"/>
    </row>
    <row r="15" customFormat="false" ht="21.75" hidden="false" customHeight="true" outlineLevel="0" collapsed="false">
      <c r="A15" s="33" t="s">
        <v>115</v>
      </c>
      <c r="B15" s="33" t="s">
        <v>116</v>
      </c>
      <c r="C15" s="33" t="s">
        <v>117</v>
      </c>
      <c r="D15" s="34" t="s">
        <v>23</v>
      </c>
      <c r="E15" s="14" t="n">
        <v>67725</v>
      </c>
      <c r="F15" s="36" t="n">
        <f aca="false">E15*6</f>
        <v>406350</v>
      </c>
      <c r="G15" s="2"/>
    </row>
    <row r="16" customFormat="false" ht="21.75" hidden="false" customHeight="true" outlineLevel="0" collapsed="false">
      <c r="A16" s="37" t="s">
        <v>118</v>
      </c>
      <c r="B16" s="37" t="s">
        <v>116</v>
      </c>
      <c r="C16" s="37" t="s">
        <v>119</v>
      </c>
      <c r="D16" s="38" t="s">
        <v>23</v>
      </c>
      <c r="E16" s="59" t="n">
        <v>0</v>
      </c>
      <c r="F16" s="59" t="n">
        <v>0</v>
      </c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7.75" hidden="false" customHeight="true" outlineLevel="0" collapsed="false">
      <c r="A18" s="60"/>
      <c r="B18" s="60"/>
      <c r="C18" s="60"/>
      <c r="D18" s="60"/>
      <c r="E18" s="60"/>
      <c r="F18" s="60"/>
      <c r="G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61"/>
    </row>
  </sheetData>
  <mergeCells count="5">
    <mergeCell ref="A1:F1"/>
    <mergeCell ref="A2:F2"/>
    <mergeCell ref="A12:C12"/>
    <mergeCell ref="A14:F14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2026-07-11T06:39:48Z</dcterms:created>
  <dc:creator>openpyxl</dc:creator>
  <dc:description/>
  <dc:language>en-US</dc:language>
  <cp:lastModifiedBy/>
  <dcterms:modified xsi:type="dcterms:W3CDTF">2026-07-25T23:26:55Z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