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VERACRUZ-INFRA" sheetId="1" state="visible" r:id="rId3"/>
    <sheet name="VERACRUZ TAD" sheetId="2" state="visible" r:id="rId4"/>
    <sheet name="CANCELADOS" sheetId="3" state="visible" r:id="rId5"/>
  </sheets>
  <definedNames>
    <definedName function="false" hidden="true" localSheetId="1" name="_xlnm._FilterDatabase" vbProcedure="false">'VERACRUZ TAD'!$A$1:$N$237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CARGADA A JD POR EMMANUEL </t>
        </r>
      </text>
    </comment>
  </commentList>
</comments>
</file>

<file path=xl/sharedStrings.xml><?xml version="1.0" encoding="utf-8"?>
<sst xmlns="http://schemas.openxmlformats.org/spreadsheetml/2006/main" count="4869" uniqueCount="1027">
  <si>
    <t xml:space="preserve">FECHA</t>
  </si>
  <si>
    <t xml:space="preserve">CR</t>
  </si>
  <si>
    <t xml:space="preserve">NOMBRE</t>
  </si>
  <si>
    <t xml:space="preserve">CENTRO COSTO</t>
  </si>
  <si>
    <t xml:space="preserve">CODIGO </t>
  </si>
  <si>
    <t xml:space="preserve">OC</t>
  </si>
  <si>
    <t xml:space="preserve">NO.</t>
  </si>
  <si>
    <t xml:space="preserve">MATERIAL</t>
  </si>
  <si>
    <t xml:space="preserve">CANT</t>
  </si>
  <si>
    <t xml:space="preserve">UM</t>
  </si>
  <si>
    <t xml:space="preserve">C.U</t>
  </si>
  <si>
    <t xml:space="preserve">TOTAL</t>
  </si>
  <si>
    <t xml:space="preserve">ESTATUS</t>
  </si>
  <si>
    <t xml:space="preserve">SOLICITUD CONT-04</t>
  </si>
  <si>
    <t xml:space="preserve">F218376 - VERACRUZ</t>
  </si>
  <si>
    <t xml:space="preserve">9902009</t>
  </si>
  <si>
    <t xml:space="preserve">SERVICIO DE FERRULAR MANGUERA /ARMADO PRENSADO DE CONEXIONES)</t>
  </si>
  <si>
    <t xml:space="preserve">SERV</t>
  </si>
  <si>
    <t xml:space="preserve">ENTREGADO</t>
  </si>
  <si>
    <t xml:space="preserve"> 0604034</t>
  </si>
  <si>
    <t xml:space="preserve">CONEXION PARA MANGUERA, FERRULE, DIAMETRO 1/4", MATERIAL ACERO AL CARBON, MODELO 0562 IC, WESTERN, 1" LARGO MCA</t>
  </si>
  <si>
    <t xml:space="preserve">PZA</t>
  </si>
  <si>
    <t xml:space="preserve">0206052</t>
  </si>
  <si>
    <t xml:space="preserve">NIPLE, ACERO O LATON, DIAMETRO 1/4", X, PARA MANGUERA</t>
  </si>
  <si>
    <t xml:space="preserve">KG</t>
  </si>
  <si>
    <t xml:space="preserve">0216102</t>
  </si>
  <si>
    <t xml:space="preserve">TUERCA PARA MANGUERA DE ACETILENO, DIAMETRO 1/4", LATON</t>
  </si>
  <si>
    <t xml:space="preserve">0216103</t>
  </si>
  <si>
    <t xml:space="preserve">TUERCA PARA MANGUERA DE OXIGENO, DIAMETRO 1/4", LATON</t>
  </si>
  <si>
    <t xml:space="preserve">0602026</t>
  </si>
  <si>
    <t xml:space="preserve">MANGUERA, OXIGENO Y ACETILENO, CAUCHO, DIAMETRO 1/4", LONGITUD ROLLO DE 100 M, 200-300 psi, GRADO R</t>
  </si>
  <si>
    <t xml:space="preserve">M</t>
  </si>
  <si>
    <t xml:space="preserve">SOLICITUD MATERIAL BOMBA PERDIZ</t>
  </si>
  <si>
    <t xml:space="preserve">F218376</t>
  </si>
  <si>
    <t xml:space="preserve">0101023</t>
  </si>
  <si>
    <t xml:space="preserve">TUBO DE ACERO AL CARBON, DIAMETRO 8", CEDULA 40, S/C, ASTM A106 GR.B, EXT BISELADOS, ISO 15156-2 / NACE MR0175, ASME B36.10M</t>
  </si>
  <si>
    <t xml:space="preserve">METROS</t>
  </si>
  <si>
    <t xml:space="preserve">CANCELADO</t>
  </si>
  <si>
    <t xml:space="preserve">0201086</t>
  </si>
  <si>
    <t xml:space="preserve">CODO, 90°, R.L, DE, ACERO AL CARBON, DIAMETRO 8", CEDULA 40, ASTM A234 GR. WPB, EXTREMOS BISELADOS, S/C, NACE MR0175, ASME B16.9</t>
  </si>
  <si>
    <t xml:space="preserve">PZAS</t>
  </si>
  <si>
    <t xml:space="preserve">0202060</t>
  </si>
  <si>
    <t xml:space="preserve">TEE, RECTA, DE, ACERO AL CARBON, DIAMETRO 8", CEDULA 40, ASTM A234 GR., NACE MR0175</t>
  </si>
  <si>
    <t xml:space="preserve">0209048</t>
  </si>
  <si>
    <t xml:space="preserve">141272</t>
  </si>
  <si>
    <t xml:space="preserve">BRIDA, CUELLO SOLDABLE, MATERIAL DE CUERPO ACERO AL CARBON, DIAMETRO 8", CLASE 150#, CEDULA STD, RF, ESPECIFICACION DE MATERIAL ASME B16.5, ISO 15156-2, ESPECIFICACION DE DISEÑO ASME B16.5</t>
  </si>
  <si>
    <t xml:space="preserve">0301057</t>
  </si>
  <si>
    <t xml:space="preserve">EMPAQUE ESPIROMETALICO, CGI, D IAMETRO 8", CLASE #150, ESPESO R 1/8, MATERIAL ANILLO CENTRADOR GRAFITO PURO FLEXIBLE, MATERIAL BOBINADO ACERO INOXIDABLE, RELLENO DEVANADO EN ESPIRAL DE 3.2 MM, MATERIAL ANILLO INTERIOR UNS S31600, ANSI-ASME B16.20</t>
  </si>
  <si>
    <t xml:space="preserve">0212008</t>
  </si>
  <si>
    <t xml:space="preserve">ESPARRAGO, DIAMETRO 3/4", LONGITUD 5", DE ACERO ASTM A-193, ASTM B 766 CLASE 25 TIPO II, No TUERCAS DOS, ROSCA ESTANDAR USS, ASTM A-194, 2HM, RECUBRIMIENTO CADMIO TROPICALIZADO</t>
  </si>
  <si>
    <t xml:space="preserve">0701122</t>
  </si>
  <si>
    <t xml:space="preserve">VALVULA DE COMPUERTA, DIAMETRO 8", CLASE 150#, MATERIAL DE CUERPO ACERO AL CARBON, ASTM A-216 Gr WCB, VASTAGO CUERDA EXTERIOR, TRIM 8, BONNET ATORNILLADO, OPERADA CON VOLANTE Y YUGO, MATERIAL DE OBTURADOR CUÑA SOLIDA, RECAMBIABLES, ISO 10434, ESPECIFICACION DE DISEÑO ASME B16.34</t>
  </si>
  <si>
    <t xml:space="preserve">0214004</t>
  </si>
  <si>
    <t xml:space="preserve">FILTRO TIPO Y STRAINER DE 8"#  150 R.F. DE ACERO AL CARBON ASTM A-234 Gr. WPB, ASME B16.9</t>
  </si>
  <si>
    <t xml:space="preserve">SOLICITUD CONT-05</t>
  </si>
  <si>
    <t xml:space="preserve"> 0209196</t>
  </si>
  <si>
    <t xml:space="preserve">BRIDA, CUELLO SOLDABLE, MATERIAL DE CUERPO ACERO AL CARBON, DIAMETRO 16", CLASE 600#, R.F, ESPECIFICACION DE MATERIAL ASTM A105, ISO 15156-2, ESPECIFICACION DE DISEÑO ASME B16.5</t>
  </si>
  <si>
    <t xml:space="preserve">0301095</t>
  </si>
  <si>
    <t xml:space="preserve">EMPAQUE ESPIROMETALICO, CGI, DIAMETRO 16", CLASE 600#, ESPESOR 1/8", MATERIAL ANILLO CENTRADOR ACERO AL CARBON, MATERIAL BOBINADO ACERO INOXIDABLE 316, RELLENO GRAFITO PURO FLEXIBLE, DEVANADO EN ESPIRAL DE 3.2 MM, MATERIAL ANILLO INTERIOR ACERO INOXIDABLE UNS S31600, ANSI-ASME B16.20</t>
  </si>
  <si>
    <t xml:space="preserve">0212172</t>
  </si>
  <si>
    <t xml:space="preserve">ESPARRAGO, DIAMETRO 1-1/2", LONGITUD 10-3/4", ACERO AL CARBON, ASTM A193 GR.B7, No TUERCAS 2, HEXAGONAL, ASTM A194 GR.2H, UNC, CADMIO TROPICALIZADO, 25 MICRAS, ASTM B766</t>
  </si>
  <si>
    <t xml:space="preserve">1208704</t>
  </si>
  <si>
    <t xml:space="preserve">DADO DE IMPACTO, DIAMETRO 3/4", URREA, MODELO 7538, 6 PUNTAS 2-3/8"</t>
  </si>
  <si>
    <t xml:space="preserve">1208705</t>
  </si>
  <si>
    <t xml:space="preserve">DADO DE IMPACTO, DIAMETRO 3/4", URREA, MODELO 7532, 6 PUNTAS 2"</t>
  </si>
  <si>
    <t xml:space="preserve">SOLICITUD CONT-06 PINTURA</t>
  </si>
  <si>
    <t xml:space="preserve">1301007</t>
  </si>
  <si>
    <t xml:space="preserve">144580</t>
  </si>
  <si>
    <t xml:space="preserve">TIPO PINTURA ACABADO, RA-28, VERDE RESEDA, No RAL 6011, COMEX, CUBETA</t>
  </si>
  <si>
    <t xml:space="preserve">CUB</t>
  </si>
  <si>
    <t xml:space="preserve"> 1301095</t>
  </si>
  <si>
    <t xml:space="preserve">PINTURA RA-28, ACABADO POLIURETANO, BLANCO ARENA, APLICACION ALTAS TEMPERATURAS, SUPERFICIE DE APLICACIÓN ACERO AL CARBON, ACERO INOXIDABLE, TIEMPO DE SECADO TACTO 60 MINUTOS, SHERWIN WILLIAMS</t>
  </si>
  <si>
    <t xml:space="preserve">SOLICITUD CONT-07</t>
  </si>
  <si>
    <t xml:space="preserve">0201108</t>
  </si>
  <si>
    <t xml:space="preserve">SIN OC</t>
  </si>
  <si>
    <t xml:space="preserve">CODO, 45°, R.L, DE, ACERO AL CARBON, DIAMETRO 16", CEDULA 80, ASTM A234 GR. WPB, S/C, EXTREMOS BISELADOS, ISO 15156-2, ASME B16.9</t>
  </si>
  <si>
    <t xml:space="preserve">0202120</t>
  </si>
  <si>
    <t xml:space="preserve">TEE, RECTA, DE, ACERO AL CARBON, DIAMETRO 16", CEDULA 80, S/C, ASTM A234 GR. WPB, EXTREMOS BISELADOS, ISO 15156-2, ASME B16.9</t>
  </si>
  <si>
    <t xml:space="preserve"> 0209199</t>
  </si>
  <si>
    <t xml:space="preserve">BRIDA, CUELLO SOLDABLE, MATERIAL DE CUERPO ACERO AL CARBON, DIAMETRO 16", CLASE 600#, CEDULA 80, R.F, ESPECIFICACION DE MATERIAL ASTM A105, ISO 15156-2, ESPECIFICACION DE DISEÑO ASME B16.5</t>
  </si>
  <si>
    <t xml:space="preserve">0209159</t>
  </si>
  <si>
    <t xml:space="preserve">BRIDA, CIEGA, MATERIAL DE CUERPO ACERO AL CARBON, DIAMETRO 16", CLASE #600, CEDULA 80, R.F, ESPECIFICACION DE MATERIAL ASTM A105, ISO 15156, ESPECIFICACION DE DISEÑO ASME B16.5</t>
  </si>
  <si>
    <t xml:space="preserve">0212174</t>
  </si>
  <si>
    <t xml:space="preserve">ESPARRAGO, DIAMETRO 5/8", LONGITUD 5", ACERO AL CARBON, ASTM A193 GR.B7, No TUERCAS 2, HEXAGONAL, ASTM A194 GR.2H, UNC, CADMIO TROPICALIZADO, 25 MICRAS, ASTM B766</t>
  </si>
  <si>
    <t xml:space="preserve">0301094</t>
  </si>
  <si>
    <t xml:space="preserve">EMPAQUE ESPIROMETALICO, CGI, DIAMETRO 2", CLASE 600#, ESPESOR 1/8", MATERIAL ANILLO CENTRADOR ACERO AL CARBON, MATERIAL BOBINADO ACERO INOXIDABLE 316, RELLENO DEVANADO EN ESPIRAL DE 3.2 MM, MATERIAL ANILLO INTERIOR ACERO INOXIDABLE UNS S31600, ANSI-ASME B16.20</t>
  </si>
  <si>
    <t xml:space="preserve">SOLICITUD CONT-08</t>
  </si>
  <si>
    <t xml:space="preserve">0201124</t>
  </si>
  <si>
    <t xml:space="preserve">CODO, 90°, R.L, DE, ACERO AL CARBON, DIAMETRO 16", CEDULA 80, ASTM A234 GR. WPB, S/C, EXTREMOS BISELADOS, ISO 15156-2, ASME B16.9</t>
  </si>
  <si>
    <t xml:space="preserve">SOLICITUD CONT-09</t>
  </si>
  <si>
    <t xml:space="preserve">0201067</t>
  </si>
  <si>
    <t xml:space="preserve">CODO, 45°, DE, ACERO AL CARBÓN, DIAMETRO 16", CEDULA 80, ASTM A234 GR. WPB, EXTREMOS BISELADOS, ASME B16.9</t>
  </si>
  <si>
    <t xml:space="preserve">SDM-CONT10</t>
  </si>
  <si>
    <t xml:space="preserve">FRESA CILINDRICA, SA-5 D/C, CARBURO DE TUNGSTENO, 25 PIEZAS, FLEXOVIT, MODELO VA20R2</t>
  </si>
  <si>
    <t xml:space="preserve">SDM-CABEZAL HPS-CONT11</t>
  </si>
  <si>
    <t xml:space="preserve">0209148</t>
  </si>
  <si>
    <t xml:space="preserve">BRIDA, CUELLO SOLDABLE, MATERIAL DE CUERPO ACERO AL CARBON, DIAMETRO 8", CLASE #600, CEDULA 80, R.F, ESPECIFICACION DE MATERIAL ASTM A-105, ISO 15156, ESPECIFICACION DE DISEÑO ASME B16.5</t>
  </si>
  <si>
    <t xml:space="preserve">0209202</t>
  </si>
  <si>
    <t xml:space="preserve">BRIDA, CUELLO SOLDABLE, MATERIAL DE CUERPO ACERO AL CARBON, DIAMETRO 8", CLASE 150#, CEDULA 40, R.F, ESPECIFICACION DE MATERIAL ASTM A-105, ISO 15156, ESPECIFICACION DE DISEÑO ASME B16.5</t>
  </si>
  <si>
    <t xml:space="preserve">3</t>
  </si>
  <si>
    <t xml:space="preserve">SDM-CONT12 PINTURA</t>
  </si>
  <si>
    <t xml:space="preserve">	144582</t>
  </si>
  <si>
    <t xml:space="preserve">ACABADO MODIFICADO POLIURETANO RA-28, ACRILICO ALTOS SOLIDOS, ROJO LILA, TIPO DE SOLVENTE BASE Y CATALIZADOR, No RAL 4001, SHERWIN WILLIAMS, LINEA NAPKO, CUMPLE CON LA NORMA ET-053</t>
  </si>
  <si>
    <t xml:space="preserve">1301099</t>
  </si>
  <si>
    <t xml:space="preserve">ACABADO MODIFICADO POLIURETANO RA-28, ACRILICO ALTOS SOLIDOS, AMARILLO ZINC, TIPO DE SOLVENTE BASE Y CATALIZADOR, No RAL 1018, SHERWIN WILLIAMS, LINEA NAPKO, CUMPLE CON LA NORMA ET-053</t>
  </si>
  <si>
    <t xml:space="preserve">RA-28 MODIFICADO POLIURETANO ACRILICO, ALTOS SOLIDOS DOS COMPONENTES BASE Y CATALIZADOR, PARDO OCRE, No RAL 8001, MARCA SHERWIN WILLIAMS / LINEA NAPKO, MODELO 4389B4A705 / 4389C00004, CUMPLE CON LA NORMA ET-053 (NO INCLUYE SOLVENTE ADEGAZADOR, PRESENTACIÓN UNIDAD 17.5 L</t>
  </si>
  <si>
    <t xml:space="preserve">SDM-CONT14 ESPARRAGO</t>
  </si>
  <si>
    <t xml:space="preserve">0212178</t>
  </si>
  <si>
    <t xml:space="preserve">ESPARRAGO, DIAMETRO 1-1/2", LONGITUD 13-1/2", ACERO AL CARBON, ASTM A193 GR.B7, No TUERCAS 2, HEXAGONAL, ASTM A194 GR. 2H, UNC, CADMIO TROPICALIZADO, 25 MICRAS, ASTM B766</t>
  </si>
  <si>
    <t xml:space="preserve">20</t>
  </si>
  <si>
    <t xml:space="preserve">SDM-CONT15</t>
  </si>
  <si>
    <t xml:space="preserve">4009096</t>
  </si>
  <si>
    <t xml:space="preserve">GUANTES LARGOS, SOLDAR, CARNAZA, NARANJA</t>
  </si>
  <si>
    <t xml:space="preserve">4009362</t>
  </si>
  <si>
    <t xml:space="preserve">GUANTES, CORTO, CARNAZA, COLOR NARANJA</t>
  </si>
  <si>
    <t xml:space="preserve">4009296</t>
  </si>
  <si>
    <t xml:space="preserve">MICA, CLARA, ANCHO 15", MODELO MODELO WW-2011C, JYRSA, PARA PROTECTOR FACIAL</t>
  </si>
  <si>
    <t xml:space="preserve">1208275</t>
  </si>
  <si>
    <t xml:space="preserve">MARCADOR LIQUIDO, MARCA METAL, DIAMETRO 1/8", BLANCO</t>
  </si>
  <si>
    <t xml:space="preserve">5</t>
  </si>
  <si>
    <t xml:space="preserve">5006207</t>
  </si>
  <si>
    <t xml:space="preserve">MARCADOR PARA METAL, 1/8", AMARILLO</t>
  </si>
  <si>
    <t xml:space="preserve">1204080</t>
  </si>
  <si>
    <t xml:space="preserve">DISCO DE CORTE, PARA METAL, DIAMETRO 4 1/2" X 1/16", AUSTROMEX, MODELO 2011</t>
  </si>
  <si>
    <t xml:space="preserve">50</t>
  </si>
  <si>
    <t xml:space="preserve">1206005</t>
  </si>
  <si>
    <t xml:space="preserve">CARDA, CIRCULAR ALAMBRE TRENZADO, ALUMINIO, DIAMETRO 4-1/2", LONGITUD EJE 5/8"-11, TENAZIT</t>
  </si>
  <si>
    <t xml:space="preserve">1204152</t>
  </si>
  <si>
    <t xml:space="preserve">DISCO ABRASIVO, DIAMETRO 4-1/2", ESPESOR 5/32", DIAMETRO INTERIOR 7/8", AUSTROMEX, MODELO 3874</t>
  </si>
  <si>
    <t xml:space="preserve">ELECTRODO REVESTIDO CORTO, E6010, DIAMETRO 1/8" (3.2 MM), LINCOLN ELECTRONIC</t>
  </si>
  <si>
    <t xml:space="preserve">100</t>
  </si>
  <si>
    <t xml:space="preserve">ELECTRODO REVESTIDO CORTO, E6010, DIAMETRO 5/32 (2.4 MM), LINCOLN ELECTRONIC</t>
  </si>
  <si>
    <t xml:space="preserve">1204007</t>
  </si>
  <si>
    <t xml:space="preserve">ELECTRODO REVESTIDO CORTO, E7018, DIAMETRO 1/8 (2.4 MM), LINCOLN ELECTRONIC</t>
  </si>
  <si>
    <t xml:space="preserve">1204044</t>
  </si>
  <si>
    <t xml:space="preserve">ELECTRODO, E7018, DIAMETRO 5/32", LINCOLN ELECTRONIC</t>
  </si>
  <si>
    <t xml:space="preserve">1204063</t>
  </si>
  <si>
    <t xml:space="preserve">144193</t>
  </si>
  <si>
    <t xml:space="preserve">CRISTAL OSCURO, 11, LONGITUD 4.25”, ANCHO 2”, WELD500, No PARTE WLD*SV-105-11W</t>
  </si>
  <si>
    <t xml:space="preserve">1204153</t>
  </si>
  <si>
    <t xml:space="preserve">CRISTAL OSCURO 10, WELD500, LONGITUD 4.25", ANCHO 2", MODELO WLD*SV-105-10W</t>
  </si>
  <si>
    <t xml:space="preserve">10</t>
  </si>
  <si>
    <t xml:space="preserve">1208274</t>
  </si>
  <si>
    <t xml:space="preserve">LIMA PLANA BASTARDA, LONGITUD 10", ANCHO 1", MODELO LPB-10, MARCA TRUPER</t>
  </si>
  <si>
    <t xml:space="preserve">1204024</t>
  </si>
  <si>
    <t xml:space="preserve">PINZA, PORTAELECTRODO, 300 AMP</t>
  </si>
  <si>
    <t xml:space="preserve">4009097</t>
  </si>
  <si>
    <t xml:space="preserve">LENTES DE SEGURIDAD, POLICARBONATO, CLAROS</t>
  </si>
  <si>
    <t xml:space="preserve">SDM-CONT17</t>
  </si>
  <si>
    <t xml:space="preserve">141665</t>
  </si>
  <si>
    <t xml:space="preserve">ELECTRODO REVESTIDO E7018, DIAMETRO 5/32", LONGITUD 18", LINCOLN ELECTRONIC</t>
  </si>
  <si>
    <t xml:space="preserve">SDM-CONT19 PAPAN ADICIONAL</t>
  </si>
  <si>
    <t xml:space="preserve">0208066</t>
  </si>
  <si>
    <t xml:space="preserve">WELDOLET, ACERO AL CARBON, DIAMETRO 16", X, 6", EXTREMO SOLDABLE, X, BISELADO, CEDULA 80, CLASE 6000#, ASTM A105, NACE MR 0175, MSS SP-97</t>
  </si>
  <si>
    <t xml:space="preserve">1</t>
  </si>
  <si>
    <t xml:space="preserve">0209146</t>
  </si>
  <si>
    <t xml:space="preserve">BRIDA, CUELLO SOLDABLE, MATERIAL DE CUERPO ACERO AL CARBON, DIAMETRO 6", CLASE #600, CEDULA 80, R.F, ESPECIFICACION DE MATERIAL ASTM A-105, ISO 15156, ESPECIFICACION DE DISEÑO ASME B16.5</t>
  </si>
  <si>
    <t xml:space="preserve"> 0201125</t>
  </si>
  <si>
    <t xml:space="preserve">CODO, 45°, R.L, DE, ACERO AL CARBON, DIAMETRO 6", ASTM A234 GR. WPB, S/C, EXTREMOS BISELADOS, ISO 15156-2, ASME B16.9</t>
  </si>
  <si>
    <t xml:space="preserve">2</t>
  </si>
  <si>
    <t xml:space="preserve">0201011</t>
  </si>
  <si>
    <t xml:space="preserve">CODO, 90°, R.L., DE, ACERO AL CARBON, DIAMETRO 6", CEDULA 80, ASTM A234 GR. WPB, S/C, EXTREMOS BISELADOS, ISO 15156-2, ASME B16.9</t>
  </si>
  <si>
    <t xml:space="preserve">0101057</t>
  </si>
  <si>
    <t xml:space="preserve">TUBO DE ACERO AL CARBON, DIAMETRO 6", CEDULA 80, S/C, ASTM A106 GR.B, EXT BISELADOS, ISO 15156-2, ASME B36.10M</t>
  </si>
  <si>
    <t xml:space="preserve">MTS</t>
  </si>
  <si>
    <t xml:space="preserve">0701118</t>
  </si>
  <si>
    <t xml:space="preserve">VALVULA DE COMPUERTA, DIAMETRO 6", CLASE 600#, R.F, MATERIAL DE CUERPO ACERO AL CARBON, ASTM A-216 Gr. WCB, TRIM 8, OPERADA CON ENGRANES, TIPO OBTURADOR CUÑA SOLIDA, RECAMBIABLES, ISO 10434, ESPECIFICACION DE DISEÑO ASME B16.34</t>
  </si>
  <si>
    <t xml:space="preserve">0301083</t>
  </si>
  <si>
    <t xml:space="preserve">EMPAQUE ESPIROMETALICO, CGI, DIAMETRO 6", CLASE 600#, ESPESOR 1/8, MATERIAL ANILLO CENTRADOR ACERO AL CARBON, MATERIAL BOBINADO ACERO INOXIDABLE 316, RELLENO GRAFITO PURO FLEXIBLE, DEVANADO EN ESPIRAL DE 3.2 MM, MATERIAL ANILLO INTERIOR ACERO INOXIDABLE UNS S31600, ANSI-ASME B16.20</t>
  </si>
  <si>
    <t xml:space="preserve"> 0212180</t>
  </si>
  <si>
    <t xml:space="preserve">ESPARRAGO, DIAMETRO 1", LONGITUD 6-3/4", ACERO INOXIDABLE, ASTM A193 GR.B7, No TUERCAS 2, HEXAGONAL, ASTM A194 GR. 2H, 25 MICRAS, CADMIO TROPICALIZADO, ASTM B766</t>
  </si>
  <si>
    <t xml:space="preserve">1403020</t>
  </si>
  <si>
    <t xml:space="preserve">PLACA DE ACERO, ESPESOR 1/8", ANCHO 4 FT, LONGITUD 10 FT, ASTM A36</t>
  </si>
  <si>
    <t xml:space="preserve">1407042</t>
  </si>
  <si>
    <t xml:space="preserve">PERFIL PTE, PTR, 1-1/2" x 1-1/2", CALIBRE 14</t>
  </si>
  <si>
    <t xml:space="preserve">1407048</t>
  </si>
  <si>
    <t xml:space="preserve">PERFIL PTE, PTR, 1" X 1", CALIBRE 14</t>
  </si>
  <si>
    <t xml:space="preserve">1401027</t>
  </si>
  <si>
    <t xml:space="preserve">ANGULO, 2" X 2" X 1/4"</t>
  </si>
  <si>
    <t xml:space="preserve">1401028</t>
  </si>
  <si>
    <t xml:space="preserve">ANGULO, 1-1/2" X 1-1/2" X 1/4"</t>
  </si>
  <si>
    <t xml:space="preserve">14</t>
  </si>
  <si>
    <t xml:space="preserve">TEE, RECTA, DE, ACERO AL CARBO N, DIAMETRO 16", CEDULA 80, S/C, ASTM A234 GR. WPB, EXTREMOS BISELADOS, ISO 15156-2, ASME B16.9</t>
  </si>
  <si>
    <t xml:space="preserve">15</t>
  </si>
  <si>
    <t xml:space="preserve">BRIDA, CIEGA, MATERIAL DE CUER PO ACERO AL CARBON, DIAMETRO 1METRO 16", CLASE #600, CEDULA 80, R.F, ESPECIFICACION DE MATERIAL ASTM A105, ISO 15156, ESPECIFICACION DE DISEÑO ASME B16.5</t>
  </si>
  <si>
    <t xml:space="preserve">SDM-CONT20</t>
  </si>
  <si>
    <t xml:space="preserve">ENTREGADO PARCIAL</t>
  </si>
  <si>
    <t xml:space="preserve">1204055</t>
  </si>
  <si>
    <t xml:space="preserve">ELECTRODO REVESTIDO CORTO, E7018, DIAMETRO 5/32" (2.4 MM), LINCOLN ELECTRONIC</t>
  </si>
  <si>
    <t xml:space="preserve">1204011</t>
  </si>
  <si>
    <t xml:space="preserve">ELECTRODO REVESTIDO CORTO, E7018, DIAMETRO 3/32 (2.4 MM), LINCOLN ELECTRONIC</t>
  </si>
  <si>
    <t xml:space="preserve">60</t>
  </si>
  <si>
    <t xml:space="preserve">ELECTRODO, E6010, DIAMETRO 1/8", LINCOLN ELECTRONIC</t>
  </si>
  <si>
    <t xml:space="preserve">ELECTRODO REVESTIDO LARGO, E6010, DIAMETRO 5/32 (4.0 MM), LINCOLN ELECTRONIC</t>
  </si>
  <si>
    <t xml:space="preserve">ENVIADO AL PROVEEDOR </t>
  </si>
  <si>
    <t xml:space="preserve">DISCO DE CORTE PARA METAL, ABRASIVO, DIAMETRO 4-1/2", RECUBRIMIENTO OXIDO DE ALUMINIO, ESPESOR 1/8", DIAMETRO INTERIOR 7/8", AUSTROMEX</t>
  </si>
  <si>
    <t xml:space="preserve">DISCO DE CORTE PARA METAL, ABRASIVO, DIAMETRO 7", RECUBRIMIENTO OXIDO FR ALUMINIO, ESPESOR 1/8", DIAMETRO INTERIOR 7/8", AUSTROMEX, MODELO 2018</t>
  </si>
  <si>
    <t xml:space="preserve">DISCO DE DESBASTE, DIAMETRO 4-1/2", ESPESOR 1/4", DIAMETRO INTERIOR 7/8", BOSCH, MODELO G120, No PARTE 2608.619.291</t>
  </si>
  <si>
    <t xml:space="preserve">DISCO DE CORTE PARA METAL, ABRASIVO, DIAMETRO 4-1/2", ESPESOR 1/16", DIAMETRO INTERIOR 7/8", BOSCH, No PARTE 2608.619.383</t>
  </si>
  <si>
    <t xml:space="preserve">DISCO DE CORTE PARA METAL, ABRASIVO, DIAMETRO 7", RECUBRIMIENTO OXIDO DE ALUMINIO, ESPESOR 1/16", DIAMETRO INTERIOR 7/8", AUSTROMEX, MODELO 2018</t>
  </si>
  <si>
    <t xml:space="preserve">CARDA CIRCULAR, ALAMBRE, DIAMETRO 4-1/2", EJE 5/8"</t>
  </si>
  <si>
    <t xml:space="preserve">CARDA CIRCULAR, TRENZADA, ALAMBRE, DIAMETRO 7", EJE 5/8</t>
  </si>
  <si>
    <t xml:space="preserve">SDM-CONT22</t>
  </si>
  <si>
    <t xml:space="preserve">9907002</t>
  </si>
  <si>
    <t xml:space="preserve">INSTALACION DE INSTRUMENTOS A PLACA DE ORIFICIO</t>
  </si>
  <si>
    <t xml:space="preserve">SV</t>
  </si>
  <si>
    <t xml:space="preserve">SDM-CONT23</t>
  </si>
  <si>
    <t xml:space="preserve">141885</t>
  </si>
  <si>
    <t xml:space="preserve">PINTURA RA-26 MASTIC DE ALTO ESPESOR, EPOXICA, GRIS, APLICACION RECUBRIMIENTO ANTICORROSIVO DE ALTA PROTECCION, No RAL 7037, PTC, MODELO ST 150</t>
  </si>
  <si>
    <t xml:space="preserve">LT</t>
  </si>
  <si>
    <t xml:space="preserve">SELLADOR, EPOXICO PARA PISOS, –10 °C a 60 °C, COLOR INCOLORO, USO EN PISOS INDUSTRIALES / CONCRETO / SUPERFICIES CEMENTICIAS, C-FLOOR, MODELO E120</t>
  </si>
  <si>
    <t xml:space="preserve">1304012</t>
  </si>
  <si>
    <t xml:space="preserve">PINTURA EN AEROSOL, ACRILICA, NARANJA, MONTANA</t>
  </si>
  <si>
    <t xml:space="preserve">0101018</t>
  </si>
  <si>
    <t xml:space="preserve">TUBO DE ACERO AL CARBON, DIAME TRO 16", CEDULA 80, S/C, ASTMA106 GR.B, EXT BISELADOS, NACE MR0175, ASME B16.9</t>
  </si>
  <si>
    <t xml:space="preserve">48</t>
  </si>
  <si>
    <t xml:space="preserve">MT</t>
  </si>
  <si>
    <t xml:space="preserve">SE SURTIRA A CREDITO </t>
  </si>
  <si>
    <t xml:space="preserve">SDM-PERDIZ FASE I Y II</t>
  </si>
  <si>
    <t xml:space="preserve">0101058</t>
  </si>
  <si>
    <t xml:space="preserve">TUBO DE ACERO AL CARBON, DIAMETRO 12", CEDULA 80, S/C, ASTM A106 GR.B, EXT BISELADOS, NACE MR0175, ASME B16.9</t>
  </si>
  <si>
    <t xml:space="preserve">66</t>
  </si>
  <si>
    <t xml:space="preserve">CODO, 90°, R.L, DE, ACERO AL C ARBON, DIAMETRO 16", CEDULA 80, ASTM A234 GR. WPB, S/C, EXTREMOS BISELADOS, ISO 15156-2, ASME B16.9</t>
  </si>
  <si>
    <t xml:space="preserve">MATERIAL ENTREGADO </t>
  </si>
  <si>
    <t xml:space="preserve">4</t>
  </si>
  <si>
    <t xml:space="preserve">CODO, 45°, R.L, DE, ACERO AL C ARBON, DIAMETRO 16", CEDULA 80, ASTM A234 GR. WPB, S/C, EXTREMOS BISELADOS, ISO 15156-2, ASME B16.9</t>
  </si>
  <si>
    <t xml:space="preserve">0201017</t>
  </si>
  <si>
    <t xml:space="preserve">CODO, 90°, R.L., DE, ACERO AL  CARBON, DIAMETRO 12", CEDULA 80, ASTM A234 GR. WPB, S/C, EXTREMOS BISELADOS, ISO 15156-2, ASME B16.9</t>
  </si>
  <si>
    <t xml:space="preserve">0202010</t>
  </si>
  <si>
    <t xml:space="preserve">6</t>
  </si>
  <si>
    <t xml:space="preserve">TEE, REDUCIDA, DE, ACERO AL CA RBON, DIAMETRO 16"X12", CEDULA 80, S/C, ASTM A234 GR. WPB, EXTREMOS BISELADOS, ISO 15156-2, ASME B16.9</t>
  </si>
  <si>
    <t xml:space="preserve">0209206</t>
  </si>
  <si>
    <t xml:space="preserve">7</t>
  </si>
  <si>
    <t xml:space="preserve">BRIDA, CUELLO SOLDABLE, MATERIAL DE CUERPO ACERO AL CARBON, DIAMETRO 16", CLASE 600#, CEDULA 80, R.T.J, ESPECIFICACION DE MATERIAL ASTM A105, EXTREMO BRIDADOS, ISO 15156, ESPECIFICACION DE DISEÑO ASME B16.5</t>
  </si>
  <si>
    <t xml:space="preserve">0303026</t>
  </si>
  <si>
    <t xml:space="preserve">8</t>
  </si>
  <si>
    <t xml:space="preserve">ANILLO METALICO RTJ, OCTAGONAL, DIAMETRO 16", CLASE 600#, ACERO AL CARBON, RING No 65, DUREZA 120, ANSI-ASME B16.20</t>
  </si>
  <si>
    <t xml:space="preserve">PENDIENTE PAGO </t>
  </si>
  <si>
    <t xml:space="preserve">0212181</t>
  </si>
  <si>
    <t xml:space="preserve">9</t>
  </si>
  <si>
    <t xml:space="preserve">ESPARRAGO, DIAMETRO 1-1/2", LONGITUD 11", ACERO AL CARBON, ASTM A193 GR.B7, No TUERCAS 2, HEXAGONAL, ASTM A194 GR.2H, UNC, CADMIO TROPICALIZADO, 25 MICRAS, ASTM B766</t>
  </si>
  <si>
    <t xml:space="preserve">0204015</t>
  </si>
  <si>
    <t xml:space="preserve">REDUCCION, CONCENTRICA, ACERO AL CARBON, DIAMETRO 16"X12", CEDULA 80, ASTM A234 GR. WPB, S/C, EXTREMO BISELADOS, ISO 15156-2, ASME B16.9</t>
  </si>
  <si>
    <t xml:space="preserve">0204039</t>
  </si>
  <si>
    <t xml:space="preserve">11</t>
  </si>
  <si>
    <t xml:space="preserve">REDUCCION, CONCENTRICA, ACERO AL CARBON, DIAMETRO 12" X 6", CEDULA 80, ASTM A-234 Gr. WPB, EXTREMO BISELADOS, NACE MR0175, SIN COSTURA</t>
  </si>
  <si>
    <t xml:space="preserve">12</t>
  </si>
  <si>
    <t xml:space="preserve">0101059</t>
  </si>
  <si>
    <t xml:space="preserve">13</t>
  </si>
  <si>
    <t xml:space="preserve">TUBO DE ACERO AL CARBON, DIAMETRO 4", CEDULA 80, S/C, ASTM A106 GR.B, EXT BISELADOS, NACE MR0175, ASME B16.9</t>
  </si>
  <si>
    <t xml:space="preserve">0101060</t>
  </si>
  <si>
    <t xml:space="preserve">TUBO DE ACERO AL CARBON, DIAMETRO 2", CEDULA 80, S/C, ASTM A106 GR.B, EXT BISELADOS, NACE MR0175, ASME B16.9</t>
  </si>
  <si>
    <t xml:space="preserve">0201101</t>
  </si>
  <si>
    <t xml:space="preserve">CODO, 90°, RL, DE, ACERO AL CARBON, DIAMETRO 6", CEDULA 80, ASTM A234 GR. WPB, S/C, EXTREMOS BISELADOS, ISO 15156, ASME B16.9</t>
  </si>
  <si>
    <t xml:space="preserve"> 0201126</t>
  </si>
  <si>
    <t xml:space="preserve">16</t>
  </si>
  <si>
    <t xml:space="preserve">CODO, 45°, R.L, DE, ACERO AL CARBON, DIAMETRO 6", CEDULA 80, ASTM A234 GR. WPB, S/C, EXTREMOS BISELADOS, ISO 15156-2, ASME B16.9</t>
  </si>
  <si>
    <t xml:space="preserve">0201115</t>
  </si>
  <si>
    <t xml:space="preserve">17</t>
  </si>
  <si>
    <t xml:space="preserve">CODO, 90°, R.L, DE, ACERO AL CARBON, DIAMETRO 2", CEDULA 80, ASTM A234 GR. WPB, S/C, EXTREMOS BISELADOS, ISO 15156-2, ASME B16.9</t>
  </si>
  <si>
    <t xml:space="preserve">0202007</t>
  </si>
  <si>
    <t xml:space="preserve">18</t>
  </si>
  <si>
    <t xml:space="preserve">TEE, REDUCIDA, DE, ACERO AL CARBON, DIAMETRO 6" X 4", CEDULA 80, S/C, ASTM A234 GR. WPB, EXTREMOS BISELADOS, ISO 15156-2, ASME B16.9</t>
  </si>
  <si>
    <t xml:space="preserve">0204038</t>
  </si>
  <si>
    <t xml:space="preserve">19</t>
  </si>
  <si>
    <t xml:space="preserve">REDUCCION, CONCENTRICA, ACERO AL CARBON, DIAMETRO 4" X 2", CEDULA 80, ASTM A-234 Gr. WPB, EXTREMO BISELADOS, NACE MR0175, SIN COSTURA</t>
  </si>
  <si>
    <t xml:space="preserve">0209207</t>
  </si>
  <si>
    <t xml:space="preserve">BRIDA, CUELLO SOLDABLE, MATERIAL DE CUERPO ACERO AL CARBON, DIAMETRO 6", CLASE 600#, CEDULA 80, R.F, ESPECIFICACION DE MATERIAL ASTM A105, EXTREMO BRIDADOS, ISO 15156, ESPECIFICACION DE DISEÑO ASME B16.9</t>
  </si>
  <si>
    <t xml:space="preserve">21</t>
  </si>
  <si>
    <t xml:space="preserve">0212182</t>
  </si>
  <si>
    <t xml:space="preserve">22</t>
  </si>
  <si>
    <t xml:space="preserve">ESPARRAGO, DIAMETRO 1", LONGITUD 7-1/2", ACERO AL CARBON, ASTM A193 GR.B7, No TUERCAS 2, HEXAGONAL, ASTM A194 GR.2H, UNC, CADMIO TROPICALIZADO, 25 MICRAS, ASTM B766</t>
  </si>
  <si>
    <t xml:space="preserve">32</t>
  </si>
  <si>
    <t xml:space="preserve">0209208</t>
  </si>
  <si>
    <t xml:space="preserve">23</t>
  </si>
  <si>
    <t xml:space="preserve">BRIDA, CUELLO SOLDABLE, MATERIAL DE CUERPO ACERO AL CARBON, DIAMETRO 4", CLASE 600#, CEDULA 80, R.F, ESPECIFICACION DE MATERIAL ASTM A105, EXTREMO BRIDADOS, ISO 15156, ESPECIFICACION DE DISEÑO ASME B16.9</t>
  </si>
  <si>
    <t xml:space="preserve">0301091</t>
  </si>
  <si>
    <t xml:space="preserve">24</t>
  </si>
  <si>
    <t xml:space="preserve">EMPAQUE ESPIROMETALICO, CGI, DIAMETRO 4", CLASE 600#, TIPO DE CARA R.F, ESPESOR 1/8, MATERIAL ANILLO CENTRADOR ACERO AL CARBON, MATERIAL BOBINADO ACERO INOXIDABLE 316, RELLENO GRAFITO FLEXIBLE, MATERIAL ANILLO INTERIOR ACERO INOXIDABLE 316, ASME B16.20</t>
  </si>
  <si>
    <t xml:space="preserve">0212183</t>
  </si>
  <si>
    <t xml:space="preserve">25</t>
  </si>
  <si>
    <t xml:space="preserve">ESPARRAGO, DIAMETRO 7/8", LONGITUD 6-3/4", ACERO AL CARBON, ASTM A193 GR.B7, No TUERCAS 2, HEXAGONAL, ASTM A194 GR.2H, UNC, CADMIO TROPICALIZADO, 25 MICRAS, ASTM B766</t>
  </si>
  <si>
    <t xml:space="preserve">0703103</t>
  </si>
  <si>
    <t xml:space="preserve">26</t>
  </si>
  <si>
    <t xml:space="preserve">VALVULA DE BOLA, DIAMETRO 6", CLASE 600#, EXTREMOS BRIDADOS, R.F, MATERIAL DE CUERPO ACERO AL CARBON, ASTM A216 GR. WCB, ATORNILLADO, PASO COMPLETO, OBTURADOR BOLA, MONTADA SOBRE MUÑON, MATERIAL DE OBTURADOR CHAPADA CON NIQUEL ELECTROLESS, VASTAGO ACERO INOXIDABLE, MATERIAL DE VASTAGO ACERO INOXIDABLE AISI 410, MATERIAL DE ASIENTO PTFE, CUERDA EXTERIOR, OPERADA CON ENGRANES, NACE MR0175/ISO 15156, ESPECIFICACION DE PRUEBAS API 607, TRIM 16</t>
  </si>
  <si>
    <t xml:space="preserve">0703104</t>
  </si>
  <si>
    <t xml:space="preserve">27</t>
  </si>
  <si>
    <t xml:space="preserve">VALVULA DE BOLA, DIAMETRO 4", CLASE 600#, EXTREMOS BRIDADOS, R.F, MATERIAL DE CUERPO ACERO AL CARBON, ASTM A216 GR.WCB, ATORNILLADO, PASO COMPLETO, OBTURADOR BOLA, MONTADA SOBRE MUÑON, MATERIAL DE OBTURADOR CHAPADA EN NIQUEL ELECTROLESS, VASTAGO ACERO INOXIDABLE, MATERIAL DE VASTAGO ACERO INOXIDABLE AISI 410, MATERIAL DE ASIENTO PTFE, CUERDA EXTERIOR, OPERADA CON ENGRANES, NACE MR0175/ISO 15156, ESPECIFICACION DE PRUEBAS API 607, TRIM 16</t>
  </si>
  <si>
    <t xml:space="preserve">0209209</t>
  </si>
  <si>
    <t xml:space="preserve">28</t>
  </si>
  <si>
    <t xml:space="preserve">BRIDA, CUELLO SOLDABLE, MATERIAL DE CUERPO ACERO AL CARBON, DIAMETRO 2", CLASE 600#, CEDULA 80, R.T.J. ESPECIFICACION DE MATERIAL ASTM A105, EXTREMO BRIDADOS, ISO15156, ESPECIFICACION DE DISEÑO ASME B16.9</t>
  </si>
  <si>
    <t xml:space="preserve">0301096</t>
  </si>
  <si>
    <t xml:space="preserve">29</t>
  </si>
  <si>
    <t xml:space="preserve">ANILLO METALICO RTJ, OCTAGONAL, DIAMETRO 2", CLASE 600#, ACERO AL CARBON, RING No 23, DUREZA 120, ANSI-ASME B16.20</t>
  </si>
  <si>
    <t xml:space="preserve"> 0212184</t>
  </si>
  <si>
    <t xml:space="preserve">30</t>
  </si>
  <si>
    <t xml:space="preserve">ESPARRAGO, DIAMETRO 5/8", LONGITUD 5-1/4", ACERO AL CARBON, ASTM A193 GR.B7, No TUERCAS 2, HEXAGONAL, ASTM A194 GR.2H, UNC, CADMIO TROPICALIZADO, 25 MICRAS, ASTM B766</t>
  </si>
  <si>
    <t xml:space="preserve">31</t>
  </si>
  <si>
    <t xml:space="preserve">CODO, 45°, R.L, DE, ACERO AL CARBON, DIAMETRO 12", CEDULA 80, ASTM A234 GR. WPB, S/C, EXTREMOS BISELADOS, ISO 15156-2, ASME B16.9</t>
  </si>
  <si>
    <t xml:space="preserve">TEE, RECTA, DE, ACERO AL CARBON, DIAMETRO 12", CEDULA 80, S/C, ASTM A403 Gr 316, EXTREMOS BISELADOS, NACE MR0175, ASME B16.9</t>
  </si>
  <si>
    <t xml:space="preserve">0209210</t>
  </si>
  <si>
    <t xml:space="preserve">34</t>
  </si>
  <si>
    <t xml:space="preserve">BRIDA, CUELLO SOLDABLE, MATERIAL DE CUERPO ACERO AL CARBON, DIAMETRO 12", CLASE 600#, CEDULA 80, R.F, ESPECIFICACION DE MATERIAL ASTM A105, EXTREMO BRIDADOS, ISO 15156, ESPECIFICACION DE DISEÑO ASME B16.9</t>
  </si>
  <si>
    <t xml:space="preserve">0301088</t>
  </si>
  <si>
    <t xml:space="preserve">35</t>
  </si>
  <si>
    <t xml:space="preserve">EMPAQUE ESPIROMETALICO, CGI, DIAMETRO 12", CLASE 600#, ESPESOR 1/8, MATERIAL ANILLO CENTRADOR ACERO AL CARBON, MATERIAL BOBINADO ACERO INOXODABLE 316, RELLENO GRAFITO PURO FLEXIBLE, DEVANADO EN ESPIRAL 3.2 MM, MATERIAL ANILLO INTERIOR ACERO INOXIDABLE UNS S31600, ANSI-ASME B16.20</t>
  </si>
  <si>
    <t xml:space="preserve">0212185</t>
  </si>
  <si>
    <t xml:space="preserve">36</t>
  </si>
  <si>
    <t xml:space="preserve">ESPARRAGO, DIAMETRO 1-1/4", LONGITUD 9-3/4", ACERO AL CARBON, ASTM A193 GR.B7, No TUERCAS 2, HEXAGONAL, ASTM A194 GR.2H, UNC, CADMIO TROPICALIZADO, 25 MICRAS, ASTM B766</t>
  </si>
  <si>
    <t xml:space="preserve">0209211</t>
  </si>
  <si>
    <t xml:space="preserve">37</t>
  </si>
  <si>
    <t xml:space="preserve">BRIDA, CUELLO SOLDABLE, MATERIAL DE CUERPO ACERO AL CARBON, DIAMETRO 12", CLASE 600#, CEDULA 80, R.T.J, ESPECIFICACION DE MATERIAL ASTM A105, EXTREMO BRIDADOS, ISO 15156, ESPECIFICACION DE DISEÑO ASME B16.9</t>
  </si>
  <si>
    <t xml:space="preserve">0303027</t>
  </si>
  <si>
    <t xml:space="preserve">38</t>
  </si>
  <si>
    <t xml:space="preserve">ANILLO METALICO RTJ, OCTAGONAL, DIAMETRO 12", CLASE 600#, ACERO AL CARBON, RING No 57, DUREZA 120, ANSI-ASME B16.20</t>
  </si>
  <si>
    <t xml:space="preserve">0212186</t>
  </si>
  <si>
    <t xml:space="preserve">39</t>
  </si>
  <si>
    <t xml:space="preserve">ESPARRAGO, DIAMETRO 1-1/4", LONGITUD 10", ACERO AL CARBON, ASTM A193 GR.B7, No TUERCAS 2, HEXAGONAL, ASTM A194 GR.2H, UNC, CADMIO TROPICALIZADO, 25 MICRAS, ASTM B766</t>
  </si>
  <si>
    <t xml:space="preserve">SDM-CONT24</t>
  </si>
  <si>
    <t xml:space="preserve">CONSUMIBLE</t>
  </si>
  <si>
    <t xml:space="preserve">1108091</t>
  </si>
  <si>
    <t xml:space="preserve">ANCLAJE ACUÑADO KWIK BOLT 3, ACERO INOXIDABLE, DIAMETRO 3/4", LONGITUD 140 MM, SS316, PAQUETE CON 20 UNIDADES</t>
  </si>
  <si>
    <t xml:space="preserve">PAQ</t>
  </si>
  <si>
    <t xml:space="preserve">1108092</t>
  </si>
  <si>
    <t xml:space="preserve">ANCLAJE ACUÑADO KWIK BOLT 3, ACERO INOXIDABLE, DIAMETRO 5/8", LONGITUD 152 MM, SS316, PAQUETE CON 15 UNIDADES</t>
  </si>
  <si>
    <t xml:space="preserve">TIPO</t>
  </si>
  <si>
    <t xml:space="preserve">SDM- TBBM 04-K-200</t>
  </si>
  <si>
    <t xml:space="preserve">OBRA MECANICA</t>
  </si>
  <si>
    <t xml:space="preserve">0101062</t>
  </si>
  <si>
    <t xml:space="preserve">TUBO DE ACERO AL CARBON, DIAMETRO 12", CEDULA 40, S/C, ASTM A106 GR.B, EXT BISELADOS, ISO 15156-2/NACE MR0175, ASME B16.9</t>
  </si>
  <si>
    <t xml:space="preserve">0101063</t>
  </si>
  <si>
    <t xml:space="preserve">TUBO DE ACERO AL CARBON, DIAMETRO 8", CEDULA 40, S/C, ASTM A106 GR.B, EXT BISELADOS, ISO 15156-2/NACE MR0175, ASME B16.9</t>
  </si>
  <si>
    <t xml:space="preserve">0201130</t>
  </si>
  <si>
    <t xml:space="preserve">CODO, 90°, R.L, DE, ACERO AL CARBON, DIAMETRO 12", CEDULA 40, ASTM A234 GR. WPB, S/C, EXTREMOS BISELADOS, ISO 15156/NACE MR 0175, ASME B16.9</t>
  </si>
  <si>
    <t xml:space="preserve">0201013</t>
  </si>
  <si>
    <t xml:space="preserve">CODO, 90°, R.L., DE, ACERO AL CARBON, DIAMETRO 8", CEDULA 40, ASTM A234 GR. WPB, S/C, EXTREMOS BISELADOS, ISO 15156-2, ASME B16.9</t>
  </si>
  <si>
    <t xml:space="preserve">0202127</t>
  </si>
  <si>
    <t xml:space="preserve">TEE, REDUCCION LATERAL 45°, DE, ACERO AL CARBON, DIAMETRO 12" X 6", CEDULA 40, S/C, ASTM A-234 Gr. WPB, EXTREMOS BISELADOS, NACE MR0175, ASME B16.9</t>
  </si>
  <si>
    <t xml:space="preserve">0202096</t>
  </si>
  <si>
    <t xml:space="preserve">TEE, RECTA, DE, ACERO AL CARBÓN, DIAMETRO 12", CEDULA 40, S/C, ASTM A234 GR. WPB, EXTREMOS BISELADOS, ISO 15156-2, ASME B16.9</t>
  </si>
  <si>
    <t xml:space="preserve">0208079</t>
  </si>
  <si>
    <t xml:space="preserve">WELDOLET, ACERO AL CARBON, DIAMETRO 12", X, 6", EXTREMO SOLDADO, X, BISELADO, CEDULA 40, ASTM A105, ISO 15156-2, ASME B16.9</t>
  </si>
  <si>
    <t xml:space="preserve">0204069</t>
  </si>
  <si>
    <t xml:space="preserve">REDUCCION, CONCENTRICA, ACERO AL CARBON, DIAMETRO 16" X 12", CEDULA 40, ASTM A234 GR.WPB, S/C, EXTREMO BISELADOS, ISO 15156, ASME B16</t>
  </si>
  <si>
    <t xml:space="preserve">0204070</t>
  </si>
  <si>
    <t xml:space="preserve">REDUCCION, EXCENTRICA, ACERO AL CARBON, DIAMETRO 12" X 8", CEDULA 40, ASTM A234 GR.WPB, S/C, EXTREMO BISELADOS, ISO 15156, ASME B16.9</t>
  </si>
  <si>
    <t xml:space="preserve">0209017</t>
  </si>
  <si>
    <t xml:space="preserve">BRIDA, CUELLO SOLDABLE, MATERIAL DE CUERPO ACERO AL CARBON, DIAMETRO 16", CLASE 150#, CEDULA 40, R.F, ESPECIFICACION DE MATERIAL ASTM A105, ISO 15156, ESPECIFICACION DE DISEÑO ASME B16.5</t>
  </si>
  <si>
    <t xml:space="preserve">0301104</t>
  </si>
  <si>
    <t xml:space="preserve">EMPAQUE ESPIROMETALICO, CGI, DIAMETRO 16", CLASE 150#, TIPO DE CARA R.F, ESPESOR 1/8", MATERIAL ANILLO CENTRADOR ACERO AL CARBON, MATERIAL BOBINADO ACERO INOXIDABLE 316, RELLENO GRAFITO PURO FLEXIBLE, DEVANADO EN ESPIRAL DE 3.2 MM, MATERIAL ANILLO INTERIOR ACERO INOXIDABLE UNS S31600, ANSI-ASME B16.20</t>
  </si>
  <si>
    <t xml:space="preserve">0212203</t>
  </si>
  <si>
    <t xml:space="preserve">ESPARRAGO, DIAMETRO 1", LONGITUD 6-1/2", ACERO INOXIDABLE, ASTM A193 GR.B7, No TUERCAS 2, HEXAGONAL, ASTM A194 GR.2H, UNC, CADMIO TROPICALIZADO, 25 MICRAS, ASTM B766</t>
  </si>
  <si>
    <t xml:space="preserve">0209219</t>
  </si>
  <si>
    <t xml:space="preserve">BRIDA, CUELLOS SOLDABLE, MATERIAL DE CUERPO ASTM A105, DIAMETRO 12", CLASE 150#, CEDULA 40, R.F, ISO 15156, ESPECIFICACION DE DISEÑO ASME B16.20</t>
  </si>
  <si>
    <t xml:space="preserve">0301085</t>
  </si>
  <si>
    <t xml:space="preserve">EMPAQUE ESPIROMETALICO, CGI, DIAMETRO 12", CLASE 150#, TIPO DE CARA R.F, ESPESOR 1/8, MATERIAL ANILLO CENTRADOR ACERO AL CARBON, MATERIAL BOBINADO ACERO INOXIDABLE 316, RELLENO GRAFITO PURO FLEXIBLE, DEVANADO EN ESPIRAL DE 3.2 MM, MATERIAL ANILLO INTERIOR ACERO INOXIDABLE UNS S31600, ANSI-ASME B16.20</t>
  </si>
  <si>
    <t xml:space="preserve">0212204</t>
  </si>
  <si>
    <t xml:space="preserve">ESPARRAGO, DIAMETRO 7/8", LONGITUD 5-3/4", ACERO INOXIDABLE, ASTM A193 GR. B7, No TUERCAS 2, HEXAGONAL, ASTM A194 GR.2H, UNC, CADMIO TROPICALIZADO, 25 MICRAS, ASTM B766</t>
  </si>
  <si>
    <t xml:space="preserve">0209220</t>
  </si>
  <si>
    <t xml:space="preserve">BRIDA, CUELLO SOLDABLE, MATERIAL DE CUERPO ACERO AL CARBON, DIAMETRO 8", CLASE 150#, CEDULA 40, R.F, ESPECIFICACION DE MATERIAL ASTM A105, ISO 15156, ESPECIFICACION DE DISEÑO ASME B16.20</t>
  </si>
  <si>
    <t xml:space="preserve">0301086</t>
  </si>
  <si>
    <t xml:space="preserve">EMPAQUE ESPIROMETALICO, CGI, DIAMETRO 8", CLASE 150#, ESPESOR 1/8, MATERIAL ANILLO CENTRADOR ACERO AL CARBON, MATERIAL BOBINADO ACERO INOXIDABLE 316, RELLENO GRAFITO PURO FLEXIBLE, DEVANADO EN ESPIRAL DE 3.2 MM, MATERIAL ANILLO INTERIOR ACERO INOXIDABLE UNS S31600, ANSI-ASME B16.20</t>
  </si>
  <si>
    <t xml:space="preserve">0212205</t>
  </si>
  <si>
    <t xml:space="preserve">ESPARRAGO, DIAMETRO 3/4", LONGITUD 5-1/4", ACERO INOXIDABLE, ASTM A193 GR. B7, No TUERCAS 2, HEXAGONAL, ASTM A194 GR. 2H, UNC, CADMIO TROPICALIZADO, 25 MICRAS, ASTM B766</t>
  </si>
  <si>
    <t xml:space="preserve">0701130</t>
  </si>
  <si>
    <t xml:space="preserve">VALVULA DE COMPUERTA, DIAMETRO 12", CLASE 150#, EXTREMOS BRIDADOS, R.F, MATERIAL DE CUERPO ACERO AL CARBON, ASTM A-216 Gr. WCB, VASTAGO TORNILLO EXTERIOR Y YUGO (OS&amp;Y), ACERO INOXIDABLE UNS S41000, TRIM 16, BONNET ATORNILLADO, OPERADA CON ENGRANE, TIPO OBTURADOR CUÑA SOLIDA, MATERIAL DE OBTURADOR ACERO INOXIDABLE UNS S41000, INTERCAMBIABLES, MATERIAL DEL ASIENTO ACERO INOXIDABLE AISI 410, NACE MR0175, ESPECIFICACION DE DISEÑO API 600</t>
  </si>
  <si>
    <t xml:space="preserve">CANCELADA</t>
  </si>
  <si>
    <t xml:space="preserve">0214009</t>
  </si>
  <si>
    <t xml:space="preserve">FILTRO Y, ACERO AL CARBON, DIAMETRO 12", BRIDADA, CLASE 150#, R.F, ASTM A-216 Gr. WCB, ELEMENTO DE FILTRACION CANASTA, DE, ACERO INOXIDABLE AISI 316, NACE MR0175/ISO 15156-1, ASME B16.34</t>
  </si>
  <si>
    <t xml:space="preserve">0701090</t>
  </si>
  <si>
    <t xml:space="preserve">VALVULA DE COMPUERTA, DIAMETRO 3/4", CLASE #800, EXTREMOS CAJA SOLDAR, MATERIAL DE CUERPO ACERO AL CARBON, ASTM A216 GR.WCB, TRIM 16, OPERADA CON VOLANTE, MATERIAL DE OBTURADOR CUÑA SOLIDA, ISO 15156, ESPECIFICACION DE DISEÑO ASME B16.34</t>
  </si>
  <si>
    <t xml:space="preserve">0208080</t>
  </si>
  <si>
    <t xml:space="preserve">NIPOLET, ACERO AL CARBON, DIAMETRO 16", X, 2-3/4", EXTREMO BISELADO, X, PLANO, CLASE 6000#, ASTM A105, ISO 15156, ASME B16.11</t>
  </si>
  <si>
    <t xml:space="preserve">0206057</t>
  </si>
  <si>
    <t xml:space="preserve">NIPLE, ACERO AL CARBON, DIAMETRO 3/4", LONGITUD 4", CEDULA 160, ASTM A-106 Gr.B, EXTREMO PLANO, X, ROSCADO, NACE MR0175, ESPECIFICACION DE DISEÑO ASME B16.11</t>
  </si>
  <si>
    <t xml:space="preserve">0207020</t>
  </si>
  <si>
    <t xml:space="preserve">COPLE, RECTO, DE, ACERO AL CARBON, DIAMETRO 3/4", X, 3/4", ASTM A105, EXTREMO ROSCADO, X, ROSCADO, CLASE 6000#, NACE MR0175, ASME B16.11</t>
  </si>
  <si>
    <t xml:space="preserve">0203052</t>
  </si>
  <si>
    <t xml:space="preserve">TAPON, CACHUCHA HEMBRA, DE, ACERO AL CARBON, DIAMETRO 3/4", CLASE 6000#, ASTM A105, EXTREMOS ROSCADOS, NACE MR0175, ASME B16.11</t>
  </si>
  <si>
    <t xml:space="preserve">SDM-TBBM-04-K-201</t>
  </si>
  <si>
    <t xml:space="preserve">0101064</t>
  </si>
  <si>
    <t xml:space="preserve">TUBO DE ACERO AL CARBON, DIAMETRO 10", CEDULA 80, S/C, ASTM A106 GR. B, EXT BISELADOS, NACE MR0175, ASME B16.9</t>
  </si>
  <si>
    <t xml:space="preserve">0201131</t>
  </si>
  <si>
    <t xml:space="preserve">CODO, 45°, R.L, DE, ACERO AL CARBON, DIAMETRO 10", CEDULA 80, ASTM A234 Gr. WPB, S/C, EXTREMOS BISELADOS, NACE MR0175, ASME B16.9</t>
  </si>
  <si>
    <t xml:space="preserve">0202128</t>
  </si>
  <si>
    <t xml:space="preserve">TEE, REDUCCION, DE, ACERO AL CARBON, DIAMETRO 12" X 6", CEDULA 80, S/C, ASTM A234 Gr. WPB, EXTREMOS BISELADOS, NACE MR0175, ASME B16.9</t>
  </si>
  <si>
    <t xml:space="preserve">0202129</t>
  </si>
  <si>
    <t xml:space="preserve">TEE, RECTA, DE, ACERO AL CARBON, DIAMETRO 10", CEDULA 80, S/C, ASTM A-234 Gr. WPB, EXTREMOS BISELADOS, NACE MR0175, ASME B16.9</t>
  </si>
  <si>
    <t xml:space="preserve">0204103</t>
  </si>
  <si>
    <t xml:space="preserve">REDUCCION, CONCENTRICA, ACERO AL CARBON, DIAMETRO 12" X 10", CEDULA 80, ASTM A-234 Gr. WPB, S/C, EXTREMO BISELADO, NACE MR0175, ASME B16.9</t>
  </si>
  <si>
    <t xml:space="preserve">0204104</t>
  </si>
  <si>
    <t xml:space="preserve">REDUCCION, EXCENTRICA, ACERO AL CARBON, DIAMETRO 10" X 6", CEDULA 80, ASTM A-234 Gr. WPB, S/C, EXTREMO BISELADOS, NACE MR0175, ASME B16.9</t>
  </si>
  <si>
    <t xml:space="preserve">0301105</t>
  </si>
  <si>
    <t xml:space="preserve">EMPAQUE ESPIROMETALICO, CGI, DIAMETRO 12", CLASE 600#, TIPO DE CARA R.F, ESPESOR 1/8", MATERIAL ANILLO CENTRADOR ACERO AL CARBON, MATERIAL BOBINADO ACERO INOXIDABLE 316, RELLENO GRAFITO PURO FLEXIBLE, DEVANADO EN ESPIRAL DE 3.2 MM, MATERIAL ANILLO INTERIOR ACERO INOXIDABLE UNS S31600, ANSI-ASME B16.20</t>
  </si>
  <si>
    <t xml:space="preserve">0209221</t>
  </si>
  <si>
    <t xml:space="preserve">BRIDA, CUELLO SOLDABLE, MATERIAL DE CUERPO ACERO AL CARBON, DIAMETRO 10", CLASE 600#, CEDULA 80, R.F, ESPECIFICACION DE MATERIAL ASTM A105, NACE MR0175, ESPECIFICACION DE DISEÑO ASME B16.5</t>
  </si>
  <si>
    <t xml:space="preserve">0301106</t>
  </si>
  <si>
    <t xml:space="preserve">EMPAQUE ESPIROMETALICO, CGI, DIAMETRO 10", CLASE 600#, ESPESOR 1/8", MATERIAL ANILLO CENTRADOR ACERO AL CARBON, MATERIAL BOBINADO ACERO INOXIDABLE 316, RELLENO GRAFITO PURO FLEXIBLE, DEVANADO EN ESPIRAL DE 3.2 M, MATERIAL ANILLO INTERIOR ACERO INOXIDABLE UNS S31600, ANSI-ASME B16.20</t>
  </si>
  <si>
    <t xml:space="preserve">0212133</t>
  </si>
  <si>
    <t xml:space="preserve">ESPARRAGO, DIAMETRO 1-1/4", LONGITUD 9-1/2", ACERO AL CARBON, ASTM A193 B7, No TUERCAS 2, ROSCA ESTANDAR UNC, ASTM A194 2H, CADMIO TROPICALIZADO, 25 MICRAS, ASTM B766</t>
  </si>
  <si>
    <t xml:space="preserve">0209222</t>
  </si>
  <si>
    <t xml:space="preserve">BRIDA, CUELLO SOLDABLE, MATERIAL DE CUERPO ACERO AL CARBON, DIAMETRO 6", CLASE 600#, CEDULA 80, R.F, ESPECIFICACION DE MATERIAL ASTM A105, NACE MR0175, ESPECIFICACION DE DISEÑO ASME B16.5</t>
  </si>
  <si>
    <t xml:space="preserve">0301107</t>
  </si>
  <si>
    <t xml:space="preserve">EMPAQUE ESPIROMETALICO, CGI, DIAMETRO 6", CLASE 600#, ESPESOR 1/8", MATERIAL ANILLO CENTRADOR ACERO AL CARBON, MATERIAL BOBINADO ACERO INOXIDABLE 316, RELLENO GRAFITO PURO FLEXIBLE, DEVANADO EN ESPIRAL DE 3.2 MM, MATERIAL ANILLO INTERIOR ACERO INOXIDABLE UNS S31600, ANSI-ASME B16.20</t>
  </si>
  <si>
    <t xml:space="preserve">0212206</t>
  </si>
  <si>
    <t xml:space="preserve">ESPARRAGO, DIAMETRO 1", LONGITUD 7-3/4", ACERO INOXIDABLE, ASTM A193 GR.B7, No TUERCAS 2, HEXAGONAL, ASTM A194 GR. 2H, UNC, CADMIO TROPICALIZADO, 25 MICRAS, ASTM B766</t>
  </si>
  <si>
    <t xml:space="preserve">0701131</t>
  </si>
  <si>
    <t xml:space="preserve">VALVULA DE COMPUERTA, DIAMETRO 10", CLASE 600#, R.F, MATERIAL DE CUERPO ACERO AL CARBON, ASTM A-216 Gr. WCB, VASTAGO TORNILLO EXTERIOR Y YUGO (OS&amp;Y), ACERO INOXIDABLE UNS S41000, TRIM 16, BONNET ATORNILLADO, OPERADA CON ENGRANES, TIPO OBTURADOR CUÑA SOLIDA, MATERIAL DE OBTURADOR ACERO INOXIDABLE UNS S41000, INTERCAMBIABLES, NACE MR0175, ESPECIFICACION DE DISEÑO API 600</t>
  </si>
  <si>
    <t xml:space="preserve">0704102</t>
  </si>
  <si>
    <t xml:space="preserve">VALVULA DE RETENCION, TIPO COLUMPIO, DIAMETRO 10", CLASE 600#, EXTREMOS BRIDADOS, R.F, ACERO AL CARBON, ASTM A-216 Gr. WCB, TRIM 16, OBTURADOR DISCO, ACERO INOXIDABLE UNS S31600, MONTAJE DE TAPA ATORNILLADA, TIPO ASIENTO INTERCAMBIABLES, MATERIAL DE ASIENTO ACERO INOXIDABLE UNS S31600, NACE MR0175, ESPECIFICACION DE DISEÑO ASME B16.34</t>
  </si>
  <si>
    <t xml:space="preserve">SDM-CONT25</t>
  </si>
  <si>
    <t xml:space="preserve">5005145</t>
  </si>
  <si>
    <t xml:space="preserve">148753 </t>
  </si>
  <si>
    <t xml:space="preserve">TINTA PARA IMPRESORA, MARCA HP, MODELO OFFICEJET PRO 938</t>
  </si>
  <si>
    <t xml:space="preserve">JGO</t>
  </si>
  <si>
    <t xml:space="preserve">GR</t>
  </si>
  <si>
    <t xml:space="preserve">SDM-TBBM-04-K-202</t>
  </si>
  <si>
    <t xml:space="preserve">0101005</t>
  </si>
  <si>
    <t xml:space="preserve">TUBO DE ACERO AL CARBON, DIAMETRO 6", CEDULA STD, S/C, ASTM A106 GR.B, EXT BISELADOS, ISO 15156-2, ASME B36.10M</t>
  </si>
  <si>
    <t xml:space="preserve"> 0201134</t>
  </si>
  <si>
    <t xml:space="preserve">CODO, 90°, R.L, DE, ACERO AL CARBON, DIAMETRO 4", CEDULA 80, ASTM A234 Gr.WPB, S/C, EXTREMOS BISELADOS, ISO 12156-2, ASME B16.9</t>
  </si>
  <si>
    <t xml:space="preserve">0201089</t>
  </si>
  <si>
    <t xml:space="preserve">CODO, 90°, R.L, DE, ACERO AL CARBON, DIAMETRO 6", CEDULA 40, ASTM A234 GR. WP, S/C, EXTREMOS BISELADOS, NACE MR0175, ASME B16.9</t>
  </si>
  <si>
    <t xml:space="preserve">0202107</t>
  </si>
  <si>
    <t xml:space="preserve">TEE, REDUCCION, DE, ACERO AL CARBON, DIAMETRO 6" X 4", CEDULA 80, S/C, ASTM A234 GR. WPB Y/O WPHY-52, EXTREMOS BISELADOS, NACE MR0175, ASME B16.9</t>
  </si>
  <si>
    <t xml:space="preserve">0202094</t>
  </si>
  <si>
    <t xml:space="preserve">TEE, RECTA, DE, ACERO AL CARBON, DIAMETRO 6", CEDULA 80, S/C, ASTM A234 GR. WPB, EXTREMOS BISELADOS, ISO 15156-2, ASME B16.9</t>
  </si>
  <si>
    <t xml:space="preserve">0204072</t>
  </si>
  <si>
    <t xml:space="preserve">REDUCCION, EXCENTRICA, ACERO AL CARBON, DIAMETRO 6" X 4", CEDULA 80, ASTM A234 GR.WPB, S/C, EXTREMO BISELADOS, ISO 15156, ASME B16.9</t>
  </si>
  <si>
    <t xml:space="preserve">0212208</t>
  </si>
  <si>
    <t xml:space="preserve">ESPARRAGO, DIAMETRO 1", LONGITUD 7-3/4", ACERO AL CARBON, ASTM A193 GR.B7, No TUERCAS 2, HEXAGONAL, ASTM A194 GR.2H, UNC, CADMIO TROPICALIZADO, 25 MICRAS, ASTM B766</t>
  </si>
  <si>
    <t xml:space="preserve">0209149</t>
  </si>
  <si>
    <t xml:space="preserve">BRIDA, CUELLO SOLDABLE, MATERIAL DE CUERPO ACERO AL CARBON, DIAMETRO 4", CLASE #600, CEDULA 80, R.F, ESPECIFICACION DE MATERIAL ASTM A105, ISO 15156, ESPECIFICACION DE DISEÑO ASME B16.5</t>
  </si>
  <si>
    <t xml:space="preserve">0701132</t>
  </si>
  <si>
    <t xml:space="preserve">VALVULA DE COMPUERTA, DIAMETRO 6", CLASE 600#, R.F, MATERIAL DE CUERPO ACERO AL CARBON, ASTM A-216 Gr.WBC, VASTAGO TORNILLO EXTERIOR Y YUGO, TRIM 16, BONNET ATORNILLADO, OPERADA CON ENGRANES, TIPO OBTURADOR CUÑA SOLIDA, INTERCAMBIABLES, NACE MR0175</t>
  </si>
  <si>
    <t xml:space="preserve">0702033</t>
  </si>
  <si>
    <t xml:space="preserve">VALVULA DE GLOBO, DIAMETRO 4", CLASE #600, EXTREMOS BRIDADOS, R.F, MATERIAL DE CUERPO ACERO AL CARBON, ASTM A216 GR.WCB, VASTAGO TORNILLO EXTERIOR Y YUGO, TRIM 16, DISCO Y ASIENTO RECUBIERTO DE ESTELITE, BONNET ATORNILLADO, OPERADA CON VOLANTE, TIPO ASIENTO RECAMBIABLE, DISCO TIPO MACHO, ISO 10434, ESPECIFICACION DE DISEÑO ASME B16.34</t>
  </si>
  <si>
    <t xml:space="preserve">CC</t>
  </si>
  <si>
    <t xml:space="preserve">SDM-CONSUMIBLE PERDIZ 1</t>
  </si>
  <si>
    <t xml:space="preserve">200</t>
  </si>
  <si>
    <t xml:space="preserve">CALCELADA</t>
  </si>
  <si>
    <t xml:space="preserve">1204005</t>
  </si>
  <si>
    <t xml:space="preserve">MICA PARA CARETA DE SOLDAR, LO NGITUD 4 1/4", ANCHO 2", WELD500, MODELO WLD SV-CR39-C</t>
  </si>
  <si>
    <t xml:space="preserve">PC</t>
  </si>
  <si>
    <t xml:space="preserve">1501538</t>
  </si>
  <si>
    <t xml:space="preserve">ADAPTADOR PARA MATRACA, DE CUADRO 1/2" A CUADRO 3/4", ACERO AL CROMO VANADIO, 1/2" HEMBRA A 3/4" MACHO</t>
  </si>
  <si>
    <t xml:space="preserve">2004125</t>
  </si>
  <si>
    <t xml:space="preserve">CONDUCTOR, CABLE DE COBRE USO RUDO, No CONDUCTORES 3, AWG 12, 600 V, AISLAMIENO PVC</t>
  </si>
  <si>
    <t xml:space="preserve">2003028	</t>
  </si>
  <si>
    <t xml:space="preserve">KIT EXTENSION ELECTRICA, DIAMETRO 1/2", POLICARBONATO, INCLUYE: CONTACTO DUPLEX, CAJA FS, CLAVIJA, CONECTOR USO RUDO Y TAPA</t>
  </si>
  <si>
    <t xml:space="preserve">2003030</t>
  </si>
  <si>
    <t xml:space="preserve">CONECTOR DE CABLE, DIAMETRO 1/0 A 3/0, MODELO WLD*2-MBP-A, CORRIENTE 300 AMP</t>
  </si>
  <si>
    <t xml:space="preserve">PAR</t>
  </si>
  <si>
    <t xml:space="preserve">4009213</t>
  </si>
  <si>
    <t xml:space="preserve">MANDIL DE SOLDADOR, INDUSTRIAL, CARNAZA, COLOR CAFE, NOM-117-STPS-2001</t>
  </si>
  <si>
    <t xml:space="preserve">4009094</t>
  </si>
  <si>
    <t xml:space="preserve">MANGAS, CARNAZA, COLOR NARANJA</t>
  </si>
  <si>
    <t xml:space="preserve">1204036</t>
  </si>
  <si>
    <t xml:space="preserve">CARETA, SOLDAR, MODELO SP1010, MATRACA</t>
  </si>
  <si>
    <t xml:space="preserve">1503022</t>
  </si>
  <si>
    <t xml:space="preserve">PINZA DE TIERRA, JACKSON, 500 AMP, MODELO WLD*GC-5, WELD500</t>
  </si>
  <si>
    <t xml:space="preserve">1503023</t>
  </si>
  <si>
    <t xml:space="preserve">PINZA, PORTA ELECTRODOS, 300 AMP, DIAMETRO 3 AWG, MODELO 118003, SURTEK, MATERIAL COBRE</t>
  </si>
  <si>
    <t xml:space="preserve">1208089</t>
  </si>
  <si>
    <t xml:space="preserve">CANDADO DE SEGURIDAD, DIAMETRO 2", CON 2 JUEGOS DE LLAVES</t>
  </si>
  <si>
    <t xml:space="preserve">2003029</t>
  </si>
  <si>
    <t xml:space="preserve">ZAPATA TERMINAL, DIAMETRO 1/2", COBRE, LONGITUD 3.26"</t>
  </si>
  <si>
    <t xml:space="preserve">0212185	</t>
  </si>
  <si>
    <t xml:space="preserve">1108103</t>
  </si>
  <si>
    <t xml:space="preserve">TAQUETE DE EXPANSIÓN PARA CONCRETO, ACERO GALVANIZADO, DIAMETRO 3/8", LONGITUD 3", INCLUYE: TAQUETE, TUERCA Y ARANDELA PLANA		</t>
  </si>
  <si>
    <t xml:space="preserve">0202033</t>
  </si>
  <si>
    <t xml:space="preserve">TEE, REDUCIDA, DE, ACERO AL CARBON, DIAMETRO 10"X6", CEDULA 80, S/C, ASTM A234 GR. WPB, EXTREMOS BISELADOS, ISO 15156-2, ASME B16.9</t>
  </si>
  <si>
    <t xml:space="preserve">OC CANCELADA </t>
  </si>
  <si>
    <t xml:space="preserve">SDM- OBRA MECANICA VERACRUZ</t>
  </si>
  <si>
    <t xml:space="preserve">1408015</t>
  </si>
  <si>
    <t xml:space="preserve">TUBO ESTRUCTURAL, ACERO AL CARBON, DIAMETRO 2" X 2", 1/4", LONGITUD 12.20 M, ASTM A500 GR. B, HSS</t>
  </si>
  <si>
    <t xml:space="preserve">1408016</t>
  </si>
  <si>
    <t xml:space="preserve">TUBO ESTRUCTURAL, ACERO AL CARBON, DIAMETRO 3" X 3", 1/4", LONGITUD 12.20 M, ASTM A500 GR.B, HSS</t>
  </si>
  <si>
    <t xml:space="preserve">1408017</t>
  </si>
  <si>
    <t xml:space="preserve">TUBO ESTRUCTURAL, ACERO AL CARBON, DIAMETRO 4" X 4", 1/4", LONGITUD 12.20 M, ASTM A500 GR.B, HSS</t>
  </si>
  <si>
    <t xml:space="preserve">1403005</t>
  </si>
  <si>
    <t xml:space="preserve">PLACA DE ACERO, ESPESOR 1/4", ANCHO 3', LONGITUD 10', ASTM A36</t>
  </si>
  <si>
    <t xml:space="preserve">1403047</t>
  </si>
  <si>
    <t xml:space="preserve">PLACA DE ACERO, ESPESOR 3/16", ANCHO 1.22 M, LONGITUD 3.05 M</t>
  </si>
  <si>
    <t xml:space="preserve">1403001</t>
  </si>
  <si>
    <t xml:space="preserve">PLACA DE ACERO, ESPESOR 1/2", ANCHO 4FT, LONGITUD 10 FT, A-36</t>
  </si>
  <si>
    <t xml:space="preserve">1403006</t>
  </si>
  <si>
    <t xml:space="preserve">PLACA DE ACERO, ESPESOR 3/8", ANCHO 3', LONGITUD 10', ASTM A36</t>
  </si>
  <si>
    <t xml:space="preserve">1403019</t>
  </si>
  <si>
    <t xml:space="preserve">PLACA DE ACERO, ESPESOR 3/4", ANCHO 1.22", LONGITUD 3.05 M</t>
  </si>
  <si>
    <t xml:space="preserve">1403036</t>
  </si>
  <si>
    <t xml:space="preserve">PLACA DE ACERO, ESPESOR 1", ANCHO 3 FT, LONGITUD 10 FT, ASTM A36</t>
  </si>
  <si>
    <t xml:space="preserve">1402010</t>
  </si>
  <si>
    <t xml:space="preserve">PERFIL I, PERFIL I, VIGA IPR 6” x 6", ACERO, 152MM X 22.3KG/M, 12.20 M, A-36</t>
  </si>
  <si>
    <t xml:space="preserve">1401021</t>
  </si>
  <si>
    <t xml:space="preserve">ANGULO, ACERO AL CARBÓN, 2" X 1/4", 6 MTS, ASTM A36</t>
  </si>
  <si>
    <t xml:space="preserve">CENTRO COSTOS</t>
  </si>
  <si>
    <t xml:space="preserve">CODIGO</t>
  </si>
  <si>
    <t xml:space="preserve">C.U.</t>
  </si>
  <si>
    <t xml:space="preserve">TOTAL </t>
  </si>
  <si>
    <t xml:space="preserve">ESTATUS </t>
  </si>
  <si>
    <t xml:space="preserve">SDM-BROCAS PARA TECHO MALLA DE PROTECCIÓN</t>
  </si>
  <si>
    <t xml:space="preserve">PIJA BROCA, ACERO GALVANIZADO, DIAMETRO 1/4, LONGITUD 1", CON ARANDELA Y GOMA</t>
  </si>
  <si>
    <t xml:space="preserve">ENTREGADO/ PENDIENTE PAGO</t>
  </si>
  <si>
    <t xml:space="preserve">SDM-TBBM-04-K-201 COMPLEMENTO</t>
  </si>
  <si>
    <t xml:space="preserve">SDM-SOMBRILLAS Y DISCOS DE DESBASTE</t>
  </si>
  <si>
    <t xml:space="preserve">F218385 INFRAESTRUCTURA</t>
  </si>
  <si>
    <t xml:space="preserve">1204002</t>
  </si>
  <si>
    <t xml:space="preserve">DISCO ABRASIVO PARA DESBASTE DE METAL, DIAMETRO 4-1/2", RECUBRIMIENTO OXIDO DE ALUMINIO, ESPESOR 1/4", DIAMETRO INTERIOR 7/8", AUSTROMEX, 13,300 RPM</t>
  </si>
  <si>
    <t xml:space="preserve">1501009</t>
  </si>
  <si>
    <t xml:space="preserve">	SOMBRILLA INDUSTRIAL PARA SOLDADOR, DE LONA ANTICHISPA, 1.50 MTS, DIAMETRO 2 MTS</t>
  </si>
  <si>
    <t xml:space="preserve">SDM-LAMINAS DE NO ASBESTO</t>
  </si>
  <si>
    <t xml:space="preserve">0304004</t>
  </si>
  <si>
    <t xml:space="preserve">LAMINADO PARA JUNTA, MARCA GARLOCK, DIAMETRO 1/8, ESPESOR 3.2MM, LARGO 66, ANCHO 1</t>
  </si>
  <si>
    <t xml:space="preserve">SDM-PERDIZ FASE III</t>
  </si>
  <si>
    <t xml:space="preserve">MECANICA</t>
  </si>
  <si>
    <t xml:space="preserve">40</t>
  </si>
  <si>
    <t xml:space="preserve">0209314</t>
  </si>
  <si>
    <t xml:space="preserve">BRIDA, CUELLO SOLDABLE, MATERIAL DE CUERPO ACERO AL CARBON, DIAMETRO 2", CLASE 600#, CEDULA 80, R.T.J., ESPECIFICACION DE MATERIAL ASTM A105, EXTREMO BRIDADO, ISO 15156, ESPECIFICACION DE DISEÑO ASME B16.9</t>
  </si>
  <si>
    <t xml:space="preserve">0303036</t>
  </si>
  <si>
    <t xml:space="preserve">0212184</t>
  </si>
  <si>
    <t xml:space="preserve">0201127</t>
  </si>
  <si>
    <t xml:space="preserve">0202081</t>
  </si>
  <si>
    <t xml:space="preserve">80</t>
  </si>
  <si>
    <t xml:space="preserve">33</t>
  </si>
  <si>
    <t xml:space="preserve">0208152</t>
  </si>
  <si>
    <t xml:space="preserve">WELDOLET, ACERO AL CARBONO, DIAMETRO 12", X, 4", EXTREMO BISELADOS PARA SOLDAR A TUBERIA, X, BISELADOS PARA SOLDAR A TUBERIA, CEDULA 80, CLASE 3000, ASTM A-105 / ASME B16.9, NACE MR0175</t>
  </si>
  <si>
    <t xml:space="preserve">1402042</t>
  </si>
  <si>
    <t xml:space="preserve">PERFIL I, VIGA IPR 8” x 8", ACERO, 203MM X 46.1KG/M, 12.20 M, ASTM A-36</t>
  </si>
  <si>
    <t xml:space="preserve">FLEXOMETRO DE 5 METROS</t>
  </si>
  <si>
    <t xml:space="preserve">FLEXOMETRO DE 8 METROS</t>
  </si>
  <si>
    <t xml:space="preserve">CENTO COSTO</t>
  </si>
  <si>
    <t xml:space="preserve">SDM - VERACRUZ - CONT03 - FASE II BARANDAL Y PLATAFORMA</t>
  </si>
  <si>
    <t xml:space="preserve">F218376 - INFRA</t>
  </si>
  <si>
    <t xml:space="preserve">1204014</t>
  </si>
  <si>
    <t xml:space="preserve">ELECTRODO REVESTIDO CORTO, E6013, DIAMETRO 1/8 (2.4 MM), LINCOLN ELECTRONIC</t>
  </si>
  <si>
    <t xml:space="preserve">1204096</t>
  </si>
  <si>
    <t xml:space="preserve">DISCO DE DESBASTE, DIAMETRO 9", ESPESOR 1/4", DIAMETRO INTERIOR 7/8", BOSCH</t>
  </si>
  <si>
    <t xml:space="preserve">1204001</t>
  </si>
  <si>
    <t xml:space="preserve">DISCO DE CORTE PARA METAL, ABRASIVO, DIAMETRO 4-1/2", RECUBRIMIENTO OXIDO DE ALUMINIO, ESPESOR 1/16", DIAMETRO INTERIOR 7/8", AUSTROMEX, 13,300 RPM</t>
  </si>
  <si>
    <t xml:space="preserve">300</t>
  </si>
  <si>
    <t xml:space="preserve">1204003</t>
  </si>
  <si>
    <t xml:space="preserve">1204094</t>
  </si>
  <si>
    <t xml:space="preserve">DISCO DE DIAMANTE, DE CORTE, DIAMETRO 14", AUSTOMEX</t>
  </si>
  <si>
    <t xml:space="preserve">JUEGO DE ARRESTAFLAMA, PARA REGULADOR, LATON, OXIGENO (VERDE) Y COMSBUTIBLE (ROJO), GRUPO INFRA, MODELO 5209, POR CADA JUEGO.FINO MAQUINADO, VALVULA CHECK INTEGRADA Y MECANISMO AHOGA FLAMAS.</t>
  </si>
  <si>
    <t xml:space="preserve">1204020</t>
  </si>
  <si>
    <t xml:space="preserve">BOQUILLA, CORTE OXIACETILENO, NUM 2</t>
  </si>
  <si>
    <t xml:space="preserve">BOQUILLA, CORTE OXIACETILENO, NUM 4.</t>
  </si>
  <si>
    <t xml:space="preserve">0101070</t>
  </si>
  <si>
    <t xml:space="preserve">TUBO DE ACERO AL CARBON, DIAMETRO 1-1/2", CEDULA 30, S/C, ASTM A106 GR. B, EXT BISELADOS, ISO 15156-2 / NACE MR0175, ASME B36.10M</t>
  </si>
  <si>
    <t xml:space="preserve">120</t>
  </si>
  <si>
    <t xml:space="preserve">1404001</t>
  </si>
  <si>
    <t xml:space="preserve">SOLERA DE ACERO, ESPESOR 1/4, ANCHO 4", LONGITUD 6 M, ACERO ASTM A-36</t>
  </si>
  <si>
    <t xml:space="preserve">1404002</t>
  </si>
  <si>
    <t xml:space="preserve">SOLERA DE ACERO, ESPESOR 1/4, ANCHO 2", LONGITUD 6 M, ACERO ASTM A-36</t>
  </si>
  <si>
    <t xml:space="preserve">1108118</t>
  </si>
  <si>
    <t xml:space="preserve">TORNILLO HEXAGONAL, ACERO, DIAMETRO 1/2", LONGITUD 1-1/2", INCLUYE: TUERCA, RONDANA PLANA Y DE PRESION</t>
  </si>
  <si>
    <t xml:space="preserve">TAQUETE DE EXPANSIÓN PARA CONCRETO, ACERO GALVANIZADO, DIAMETRO 5/8", LONGITUD 4", INCLUYE: TAQUETE, TUERCA Y ARANDELA PLANA</t>
  </si>
  <si>
    <t xml:space="preserve">1405012</t>
  </si>
  <si>
    <t xml:space="preserve">CANAL, TIPO C, PERALTE 4", ESPESOR DEL ALMA 0.075, LONGITUD 6M, CAL.14</t>
  </si>
  <si>
    <t xml:space="preserve">1410001</t>
  </si>
  <si>
    <t xml:space="preserve">REJILLA TIPO IRVING, GALVANIZADA ANTIDERRAPANTE, PERALTE 1", ANCHO 1 MTS., LARGO 6 MTS., ESPESOR DE SOLERA 1/8", ESPACIO ENTRE SOLERA 30 MM, ESPACIO ENTRE VARILLAS 100 MM, ASTM A36</t>
  </si>
  <si>
    <t xml:space="preserve">PERFIL I, VIGA IPR, ACERO, 4" X 4", 19 KG/M, ASTM A572</t>
  </si>
  <si>
    <t xml:space="preserve">SDM-PINTURA PERDIZ FASE III</t>
  </si>
  <si>
    <t xml:space="preserve">PINTURA</t>
  </si>
  <si>
    <t xml:space="preserve">RECUBRIMIENTO ACABADO EPOXICO ALTOS SOLIDOS, DOS COMPONENTES BASE Y CATALIZADOR, BLANCO, DURABILIDAD ALTA, SHERWIN WILLIAMS / LINEA NAPKO, MODELO PEMEX RA-26 MODIFICADO</t>
  </si>
  <si>
    <t xml:space="preserve">LTS</t>
  </si>
  <si>
    <t xml:space="preserve">RECUBRIMIENTO POLIURETANO ACRILICO ALTOS SOLIDOS, DOS COMPONENTES BASE Y CATALIZADOR, BLANCO, DURABILIDAD ALTA, EPS CUMPLE CON LA NORMA ET-053, SHERWIN WILLIAMS / LINEA NAPKO, MODELO RA-28 MODIFICADO</t>
  </si>
  <si>
    <t xml:space="preserve">SDM- BROCAS PARA TALADRO MAGENTICO VERACRUZ</t>
  </si>
  <si>
    <t xml:space="preserve">BROCA, CORTADOR ANULAR, DIAMETRO 3/8", LONGITUD 1", PARA TALADRO MAGNÉTICO</t>
  </si>
  <si>
    <t xml:space="preserve">AUTORIZADO</t>
  </si>
  <si>
    <t xml:space="preserve">BROCA, CORTADOR ANULAR, DIAMETRO 1/4", LONGITUD 1", PARA TALADRO MAGNETICO</t>
  </si>
  <si>
    <t xml:space="preserve">BROCA, CORTADOR ANULAR, DIAMETRO 1/2", LONGITUD 1", PARA TALADRO MAGNETICO</t>
  </si>
  <si>
    <t xml:space="preserve">BROCA, CORTADOR ANULAR, DIAMETRO 5/8", LONGITUD 1", PARA TALADRO MAGNETICO</t>
  </si>
  <si>
    <t xml:space="preserve">BROCA, CORTADOR ANULAR, DIAMETRO 3/4", LONGITUD 1", PARA TALADRO MAGNETICO</t>
  </si>
  <si>
    <t xml:space="preserve">0209214</t>
  </si>
  <si>
    <t xml:space="preserve">BRIDA, CIEGA, MATERIAL DE CUERPO ACERO AL CARBON, DIAMETRO 12", CLASE 150#, RF, ESPECIFICACION DE MATERIAL ASTM A105, ISO 15156/NACE MR 0175, ESPECIFICACION DE DISEÑO ASME B16.5</t>
  </si>
  <si>
    <t xml:space="preserve">PRIMARIO EPOXICO RP-06, GRIS, APLICACION ALTAS TEMERATURAS, SUPERFICIE DE APLICACIÓN ACERO AL CARBON, ACERO INOXIDABLE, TIEMPO DE SECADO TACTO 60 MINUTOS</t>
  </si>
  <si>
    <t xml:space="preserve">ACABADO POLIURETANO RA-28, DOS COMPONENTES BASE ENTINTABLE Y CATALIZADOR, OCRE PARDO, SUPERFICIE DE APLICACIÓN ACERO AL CARBON, ACERO INOXIDABLE, No RAL 8001, SHERWIN WILLIAMS, MODELO B65T604-16/B65V600-14, LINEA ACROLON 218 HS / CUMPLE CON LA NORMA ET-053.</t>
  </si>
  <si>
    <t xml:space="preserve">	$10,801.00</t>
  </si>
  <si>
    <t xml:space="preserve">CK</t>
  </si>
  <si>
    <t xml:space="preserve">THINNER, THINNER, GRADO PUREZA N/A, 0.778 – 0.843 a 20 °C, E ESTÁNDAR</t>
  </si>
  <si>
    <t xml:space="preserve">FUE POR CK</t>
  </si>
  <si>
    <t xml:space="preserve">Z</t>
  </si>
  <si>
    <t xml:space="preserve">SDM - VERACRUZ - CONT03 - FASE III PAPAN</t>
  </si>
  <si>
    <t xml:space="preserve">0208154</t>
  </si>
  <si>
    <t xml:space="preserve">NIPOLET, ACERO AL CARBONO FORJADO, DIAMETRO 2", X, 3/4", EXTREMO PLANO PARA SOLDAR, X, ROSCADO, CEDULA 80, CLASE 3000#, LONGITUD 6", ASTM A105, ISO 15156 /NACE MR0175, ASME B16.11</t>
  </si>
  <si>
    <t xml:space="preserve">0701144</t>
  </si>
  <si>
    <t xml:space="preserve">VALVULA DE COMPUERTA INSERTO SOLDABLE (S.W.) DIAM DE 3/4" CLASE 800 API STD 602, CUERPO ASTM A-105, INTERIORES DE ACERO INOXIDABLE UNS S31600 VASTAGO, DISCO Y ASIENTOS RECUBIERTOS CON SFA 5.13 RCoCr-3, TORNILLO EXTERIOR Y YUGO, BONETE ATORNILLADO, DISCO TIPO CUÑA SOLIDA Y ASIENTOS INTERCAMBIABLES, OPERADA CON VOLANTE, NACE MR0175/ISO 15156-1.</t>
  </si>
  <si>
    <t xml:space="preserve">SDM-PINTURA FASE III</t>
  </si>
  <si>
    <t xml:space="preserve">0402009</t>
  </si>
  <si>
    <t xml:space="preserve">SELLADOR, CURADOR, COLOR BLANCO, USO EN CONCRETO Y MORTERO, SIKA, MODELO E, CUBETA DE 19 LITROS</t>
  </si>
  <si>
    <t xml:space="preserve">PZS</t>
  </si>
  <si>
    <t xml:space="preserve">SDM-TURBO 04</t>
  </si>
  <si>
    <t xml:space="preserve">0201081</t>
  </si>
  <si>
    <t xml:space="preserve">CODO, 90°, RL, DE, ACERO AL CARBÓN, DIAMETRO 4", CEDULA 40", ASTM A234 GR. WPB, S/C, EXTREMOS BISELADOS, ISO 15156-2, ASME B16.9		</t>
  </si>
  <si>
    <t xml:space="preserve">ENTREGADO </t>
  </si>
  <si>
    <t xml:space="preserve">0202072</t>
  </si>
  <si>
    <t xml:space="preserve">TEE, RECTA, DE, ACERO AL CARBÓN, DIAMETRO 4", CEDULA 40, S/C, ASTM A234 GR. WPB, EXTREMOS BISELADOS, ISO 15156-2, ASME B16.9</t>
  </si>
  <si>
    <t xml:space="preserve">0209138</t>
  </si>
  <si>
    <t xml:space="preserve">BRIDA, CAJA SOLDAR, MATERIAL DE CUERPO ACERO AL CARBON, DIAMETRO 2", CLASE #150, CEDULA 80, R.F, ESPECIFICACION DE MATERIAL ASTM A-105, ISO 15156, ESPECIFICACION DE DISEÑO ASME B16.5</t>
  </si>
  <si>
    <t xml:space="preserve">0301063</t>
  </si>
  <si>
    <t xml:space="preserve">EMPAQUE ESPIROMETALICO, CGI, DIAMETRO 2", CLASE #150, ESPESOR 1/8", MATERIAL ANILLO CENTRADOR GRAFITO PURO FLEXIBLE, MATERIAL BOBINADO ACERO INOXIDABLE, RELLENO DEVANADO EN ESPIRAL DE 3.2 MM, MATERIAL ANILLO INTERIOR UNS S31600, ANSI-ASME B16.20</t>
  </si>
  <si>
    <t xml:space="preserve">0212150</t>
  </si>
  <si>
    <t xml:space="preserve">ESPARRAGO, ESPARRAGO, DIAMETRO 5/8", LONGITUD 3-3/4", ACERO AL CARBON, ASTM A193 GR. B7, No TUERCAS 2, HEXAGONAL, ASTM A194 GR. 2H, CAMINIZADO, 25 MICRAS, ASTM B766 O EQUIVALENTE</t>
  </si>
  <si>
    <t xml:space="preserve">0208156</t>
  </si>
  <si>
    <t xml:space="preserve">WELDOLET, ACERO AL CARBÓN, DIAMETRO 12", X, 6", EXTREMO BISELADO, X, BISELADO, CEDULA 80, ASTM A105, ISO 15156 / NACE MR0175, MSS SP-97</t>
  </si>
  <si>
    <t xml:space="preserve">0209331</t>
  </si>
  <si>
    <t xml:space="preserve">BRIDA, ROSCABLE, MATERIAL DE CUERPO ACERO AL CARBÓN, DIAMETRO 1 1/2", CLASE 150#, CEDULA 80, RF, ESPECIFICACION DE MATERIAL ASTM A105, NACE MR0175, ESPECIFICACION DE DISEÑO ASME B16.5</t>
  </si>
  <si>
    <t xml:space="preserve">0209332</t>
  </si>
  <si>
    <t xml:space="preserve">BRIDA, ROSCABLE, MATERIAL DE CUERPO ACERO AL CARBON, DIAMETRO 1 1/2", CLASE 600#, CEDULA 80, RF, ESPECIFICACION DE MATERIAL ASTM A105, NACE MR0175, ESPECIFICACION DE DISEÑO ASME B16.5</t>
  </si>
  <si>
    <t xml:space="preserve">0301126</t>
  </si>
  <si>
    <t xml:space="preserve">EMPAQUE ESPIROMETALICO, CGI, DIAMETRO 1 1/2", CLASE #150, ESPESOR 1/8", MATERIAL ANILLO CENTRADOR GRAFITO PURO FLEXIBLE, MATERIAL BOBINADO ACERO INOXIDABLE, RELLENO DEVANADO EN ESPIRAL DE 3.2 MM, MATERIAL ANILLO INTERIOR UNS S31600, ANSI-ASME B16.20</t>
  </si>
  <si>
    <t xml:space="preserve">0201049</t>
  </si>
  <si>
    <t xml:space="preserve">CODO, 90°, DE, ACERO AL CARBON, DIAMETRO 2", ASTM A105, EXTREMOS CAJA PARA SOLDAR, CLASE 3000#, ISO 15156-2, ASME B16.11</t>
  </si>
  <si>
    <t xml:space="preserve">0202191</t>
  </si>
  <si>
    <t xml:space="preserve">TEE, REDUCCION, INSERTO SOLDABLE (S.W.), DE, ACERO AL CARBON, DIAMETRO 2" X 3/4", ASTM A105, CLASE 3000#, ISO 15156 / NACE MR0175, ASME B16.11</t>
  </si>
  <si>
    <t xml:space="preserve">0202190</t>
  </si>
  <si>
    <t xml:space="preserve">TEE, RECTA,INSERTO SOLDABLE (S.W.), DE, ACERO AL CARBON, DIAMETRO 2", ASTM A105, CLASE 3000#, ISO 15156 / NACE MR0175, ASME B16.11</t>
  </si>
  <si>
    <t xml:space="preserve">0701125</t>
  </si>
  <si>
    <t xml:space="preserve">VALVULA DE COMPUERTA, DIAMETRO 2", CLASE 800#, EXTREMOS CAJA PARA SOLDAR, MATERIAL DE CUERPO ACERO AL CARBON, ASTM A105, VASTAGO ASCENDENTE, TRIM 8, PASO COMPLETO, BONNET ATORNILLADO, CON VOLANTE, TIPO OBTURADOR CUÑA SOLIDA, NACE MR0175/ISO 15156, ESPECIFICACION DE DISEÑO API 602</t>
  </si>
  <si>
    <t xml:space="preserve">15(04/2026</t>
  </si>
  <si>
    <t xml:space="preserve">SDM-TEE ENVOLVENTE PAPAN</t>
  </si>
  <si>
    <t xml:space="preserve">0202189</t>
  </si>
  <si>
    <t xml:space="preserve">TEE, ENVOLVENTE, DE, ACERO AL CARBÓN, DIAMETRO 16" X 12", CEDULA 80, ESPESOR 0.500", SOLDADA, ASTM A234 WPB, EXTREMOS ENVOLVENTE X BRIDADA, CLASE 600, ISO 15156 / NACE MR0175, ASME B16.5 / ASME B16.9</t>
  </si>
  <si>
    <t xml:space="preserve">SDM-CONSUMIBLES FASE III</t>
  </si>
  <si>
    <t xml:space="preserve">	147278</t>
  </si>
  <si>
    <t xml:space="preserve">REGULADOR, VICTOR G350 PLUS, LATON, OXIGENO INDUSTRIAL</t>
  </si>
  <si>
    <t xml:space="preserve">SDM- GEOMEBRANA</t>
  </si>
  <si>
    <t xml:space="preserve">GEOMEMBRANA, PVC, LARGO 1.5 MTS, ANCHO 1.5 MTS, TIPO CENICERO</t>
  </si>
  <si>
    <t xml:space="preserve">0202192</t>
  </si>
  <si>
    <t xml:space="preserve">	148862</t>
  </si>
  <si>
    <t xml:space="preserve">TEE, ENVOLVENTE, DE, ACERO AL CARBÓN, DIAMETRO 12" X 10", CEDULA 40, ESPESOR 0.500", SOLDADA, ASTM A234 WPB, EXTREMOS ENVOLVENTE X BRIDADA, CLASE 150, ISO 15156 / NACE MR0175, ASME B16.5 / ASME B16.9</t>
  </si>
  <si>
    <t xml:space="preserve">SDM - PINTURA FASE III</t>
  </si>
  <si>
    <t xml:space="preserve">ADELGAZADOR, THINNER AMERICANO, 0.76 - 0.80 KG/L, BEREL, MODELO SERIE 1006, PRESENTACIÓN CUBETA DE 19 LITROS</t>
  </si>
  <si>
    <t xml:space="preserve">ADELGAZADOR, SOLVENTE, PARA RA-28 POLIURETANOS, MARCA SHERWIN WILLIAMS / LÍNEA NAPKO 4025, MODELO 4025X00006, PRESENTACIÓN CUBETA DE 19 L</t>
  </si>
  <si>
    <t xml:space="preserve">SDM - PERDIZ FASE III</t>
  </si>
  <si>
    <t xml:space="preserve">SDM-PAPELERIA</t>
  </si>
  <si>
    <t xml:space="preserve">PAPELERIA</t>
  </si>
  <si>
    <t xml:space="preserve">CAJA DE BOLIGRAFO PUNTO FINO, AZUL, MARCA AZOR, GROSOR PUNTA 0.7 MM, 50 PIEZAS</t>
  </si>
  <si>
    <t xml:space="preserve">CAJA DE HOJAS TAMAÑO DOBLE CARTA, MARCA XENON, 2500 HOJAS</t>
  </si>
  <si>
    <t xml:space="preserve">CAJA DE HOJAS TAMAÑO CARTA, MARCA XENON, 5000 HOJAS</t>
  </si>
  <si>
    <t xml:space="preserve">PROTECTOR DE HOJA, POLIPROPILENO, 21.59 CM X 27.94 CM, TRANSPARENTE, MARCA MARCA KINERA</t>
  </si>
  <si>
    <t xml:space="preserve">CARPETA, VINIL, 21.59 CM X 27.94 CM, BLANCO, MARCA MARCA SAMSILL, ARGOLLA ARGOLLA D, 4"</t>
  </si>
  <si>
    <t xml:space="preserve">SDM-HIDRATACION PERDIZ</t>
  </si>
  <si>
    <t xml:space="preserve">4012034</t>
  </si>
  <si>
    <t xml:space="preserve">GATORADE EN POLVO, 2.38 KG, SABOR NARANJA</t>
  </si>
  <si>
    <t xml:space="preserve">4012498</t>
  </si>
  <si>
    <t xml:space="preserve">GATORADE EN POLVO, 2.38 KG, SABOR UVA</t>
  </si>
  <si>
    <t xml:space="preserve">5002043</t>
  </si>
  <si>
    <t xml:space="preserve">	149776</t>
  </si>
  <si>
    <t xml:space="preserve">HIELERA IGLOO LATITUDE, POLIET ILENO, 30 QT, 46X33.5X44 CM, RUEDAS</t>
  </si>
  <si>
    <t xml:space="preserve">TERMO IGLOO CON DISPENSADOR, PLASTICO, 19 LITROS, COLOR NARNAJA</t>
  </si>
  <si>
    <t xml:space="preserve">SDM-PERDIZ TURBO - 04</t>
  </si>
  <si>
    <t xml:space="preserve">PTE AUTORIZAR EN SISTEMA /ENTREGADO</t>
  </si>
  <si>
    <t xml:space="preserve">0301131</t>
  </si>
  <si>
    <t xml:space="preserve">EMPAQUE ESPIROMETALICO, CG, DIAMETRO 4", CLASE 600#, TIPO DE CARA R.F, ESPESOR 1/8", MATERIAL ANILLO CENTRADOR ACERO AL CARBON, MATERIAL BOBINADO ACERO INOXIDABLE 316, RELLENO GRAFITO PURO FLEXIBLE, DEVANADO EN ESPIRAL DE 3.2 MM, MATERIAL ANILLO INTERIOR ACERO INOXIDABLE UNS 31600, ANSI-ASME B16.20</t>
  </si>
  <si>
    <t xml:space="preserve">0209316</t>
  </si>
  <si>
    <t xml:space="preserve">	BRIDA, CIEGA, MATERIAL DE CUERPO ACERO AL CARBON, DIAMETRO 1-1/2", CLASE 600#, RF, ESPECIFICACION DE MATERIAL ASTM A105, EXTREMO BRIDADO, ISO 15156/ MR0175, ESPECIFICACION DE DISEÑO ASME B16.5</t>
  </si>
  <si>
    <t xml:space="preserve">0301116</t>
  </si>
  <si>
    <t xml:space="preserve">EMPAQUE ESPIROMETALICO, CGI, DIAMETRO 1-1/2", CLASE 600, TIPO DE CARA R.F, ESPESOR 1/8", MATERIAL ANILLO CENTRADOR ACERO AL CARBON, MATERIAL BOBINADO ACERO INOXIDABLE 316, RELLENO GRAFITO PURO FLEXIBLE, DEVANADO EN ESPIRAL DE 3.2 MM, MATERIAL ANILLO INTERIOR ACERO INOXIDABLE UNS S31600, ASME B16.5</t>
  </si>
  <si>
    <t xml:space="preserve">0209039</t>
  </si>
  <si>
    <t xml:space="preserve">BRIDA, CIEGA, MATERIAL DE CUERPO ACERO AL CARBON, DIAMETRO 10", CLASE 600#, RF, ESPECIFICACION DE MATERIAL ASTM A105, ISO 15156-2, ESPECIFICACION DE DISEÑO ASME 16.5</t>
  </si>
  <si>
    <t xml:space="preserve">0209176</t>
  </si>
  <si>
    <t xml:space="preserve">BRIDA, CIEGA, MATERIAL DE CUERPO ACERO AL CARBON, DIAMETRO 6", CLASE 600#, R.F, ESPECIFICACION DE MATERIAL ASTM A105, ISO 15156, ESPECIFICACION DE DISEÑO ASME B16.5</t>
  </si>
  <si>
    <t xml:space="preserve">1603023</t>
  </si>
  <si>
    <t xml:space="preserve">HOJA PARA SIERRA DE CINTA PORTATIL, 35-3/8", MATERIAL METAL, 18 TPI, MODELO BIMETAL, METAL MEDIO, MILWAUKEE TOOL</t>
  </si>
  <si>
    <t xml:space="preserve">PTE AUTORIZAR</t>
  </si>
  <si>
    <t xml:space="preserve">0209033</t>
  </si>
  <si>
    <t xml:space="preserve">BRIDA, CUELLO LARGO, MATERIAL DE CUERPO ACERO AL CARBON, DIAMETRO 1-1/2", CLASE 600#, CEDULA 80, RF, ESPECIFICACION DE MATERIAL ASTM A105, LONGITUD 6-1/2", EXTREMO BISELADO X BRIDADO, ISO 15156/ NACE MR0175, ESPECIFICACION DE DISEÑO ASME B16.5</t>
  </si>
  <si>
    <t xml:space="preserve">0209140</t>
  </si>
  <si>
    <t xml:space="preserve">	BRIDA, CUELLO LARGO, MATERIAL DE CUERPO ACERO AL CARBON, DIAMETRO 1 1/2", CLASE #150, CEDULA 80, R.F, ESPECIFICACION DE MATERIAL ASTM A105, ISO 15156/ NACE MR0175, ESPECIFICACION DE DISEÑO ASME B16.5</t>
  </si>
  <si>
    <t xml:space="preserve">0204010</t>
  </si>
  <si>
    <t xml:space="preserve">REDUCCION, REDUCCION, CONCENTRICA, ACERO AL CARBON, DIAMETRO 10" X 6", CEDULA 80, ASTM A234 GR. WPB, S/C, EXTREMO BISELADOS, ISO 15156-2, ASME B16.9</t>
  </si>
  <si>
    <t xml:space="preserve">0207010</t>
  </si>
  <si>
    <t xml:space="preserve">COPLE, RECTO, DE, ACERO INOXIDABLE, DIAMETRO 2", X, 2", WPHY-52, EXTREMO CAJA SOLDAR, X, CAJA SOLDAR, CLASE #3000, NACE MR0175</t>
  </si>
  <si>
    <t xml:space="preserve">	NIPLE, ACERO AL CARBON, DIAMETRO 3/4", LONGITUD 4", CEDULA 160, ASTM A-106 Gr.B, EXTREMO PLANO, X, ROSCADO, NACE MR0175, ESPECIFICACION DE DISEÑO ASME B16.11</t>
  </si>
  <si>
    <t xml:space="preserve">0201045</t>
  </si>
  <si>
    <t xml:space="preserve">CODO, 90°, DE, ACERO AL CARBON, DIAMETRO 2"Ø, ASTM A-234 Gr. WPB ASME B16.9, EXTREMOS ROSCADOS, CLASE 3000# LBDS, NACE MR0175, SIN COSTURA</t>
  </si>
  <si>
    <t xml:space="preserve">0701119</t>
  </si>
  <si>
    <t xml:space="preserve">	VALVULA DE COMPUERTA, DIAMETRO 3/4", CLASE 800#, EXTREMOS CAJA PARA SOLDAR, MATERIAL DE CUERPO ACERO AL CARBON, ASTM A105, VASTAGO ASCENDENTE, TRIM 8, COMPLETO, BONNET ATORNILLADO, CON VOLANTE, TIPO OBTURADOR CUÑA SOLIDA, NACE MR0175/ISO 15156, ESPECIFICACION DE DISEÑO API 602, ESPECIFICACION DE PRUEBAS API 598</t>
  </si>
  <si>
    <t xml:space="preserve">BRIDA, CIEGA, MATERIAL DE CUERPO ACERO AL CARBON, DIAMETRO 1-1/2", CLASE 600#, RF, ESPECIFICACION DE MATERIAL ASTM A105, EXTREMO BRIDADO, ISO 15156/ MR0175, ESPECIFICACION DE DISEÑO ASME B16.5</t>
  </si>
  <si>
    <t xml:space="preserve">0209317</t>
  </si>
  <si>
    <t xml:space="preserve">	BRIDA, CIEGA, MATERIAL DE CUERPO ACERO AL CARBON, DIAMETRO 1-1/2", CLASE CLASE 150#, RF, ESPECIFICACION DE MATERIAL ASTM A105, EXTREMO BRIDADO, ISO 15156/MR0175, ESPECIFICACION DE DISEÑO ASME B16.5</t>
  </si>
  <si>
    <t xml:space="preserve">9601007</t>
  </si>
  <si>
    <t xml:space="preserve">LOGISTICA</t>
  </si>
  <si>
    <t xml:space="preserve">SDM-ELECTRODOS PERDIZ</t>
  </si>
  <si>
    <t xml:space="preserve">ELECTRODO REVESTIDO LARGO, E7018, DIAMETRO 1/8 (3.2 MM), LINCOLN ELECTRONIC, CAJA DE 20 KG</t>
  </si>
  <si>
    <t xml:space="preserve">SDM-PINTURA ROJA PERDIZ</t>
  </si>
  <si>
    <t xml:space="preserve">ROJO SEÑAL, TIPO DE SOLVENTE BASE Y CATALIZADOR, No RAL 3001, SHERWIN WILLIAMS, MODELO 4389B4A705, 4389C00004, RA-28 MODIFICADO POLIURETANO ACRILICO ALTOS SOLIDOS DOS COMPONENTES / CUMPLE CON LA NORMA ET-053.</t>
  </si>
  <si>
    <t xml:space="preserve">SD,-PERDIZ 14-05</t>
  </si>
  <si>
    <t xml:space="preserve">0209080</t>
  </si>
  <si>
    <t xml:space="preserve"> BRIDA, CUELLO SOLDABLE, MATERIAL DE CUERPO ACERO AL CARBON, DIAMETRO 3", CLASE 150#, CEDULA 40, R.F, ESPECIFICACION DE MATERIAL ASTM A105, ISO 15156, ESPECIFICACION DE DISEÑO ASME B16.5</t>
  </si>
  <si>
    <t xml:space="preserve">$479.75	</t>
  </si>
  <si>
    <t xml:space="preserve">F218385 - INFRAESTRUCTURA</t>
  </si>
  <si>
    <t xml:space="preserve">0101084</t>
  </si>
  <si>
    <t xml:space="preserve">TUBO DE ACERO AL CARBON, DIAMETRO 4", CEDULA 80, S/C, ASTM A106 GR.B, EXT BISELADOS, ISO 15156-2 / NACE MR0175, ASME B36.10M</t>
  </si>
  <si>
    <t xml:space="preserve">ENTREGADO/ SIN OC EN EL SISTEMA</t>
  </si>
  <si>
    <t xml:space="preserve">0209344</t>
  </si>
  <si>
    <t xml:space="preserve">BRIDA, CUELLO SOLDABLE, MATERIAL DE CUERPO ACERO AL CARBON, DIAMETRO 4", CLASE 600#, CEDULA 80, RTJ, ESPECIFICACION DE MATERIAL ASTM A105, EXTREMO BRIDADOS, ISO 15156, ESPECIFICACION DE DISEÑO ASME B16.9</t>
  </si>
  <si>
    <t xml:space="preserve">0303042</t>
  </si>
  <si>
    <t xml:space="preserve">ANILLO METALICO RTJ, OCTAGONAL, DIAMETRO 4", CLASE 600#, ACERO AL CARBON, RING No 37, DUREZA 120, ANSI-ASME B16.20</t>
  </si>
  <si>
    <t xml:space="preserve">0212253</t>
  </si>
  <si>
    <t xml:space="preserve">ESPARRAGO, DIAMETRO 7/8", LONGITUD 6 3/4", ACERO, ASTM A193 GR.B7M, No TUERCAS 2, HEXAGONAL, ASTM A194 GR.2HM, CADMIO, CLASE 25 TIPO II, ASTM B-766, PARA BRIDAS 10" Ø CLASE 150 R.F.</t>
  </si>
  <si>
    <t xml:space="preserve">SIN ORDEN DE COMPRA/ SIN ENTREGAR</t>
  </si>
  <si>
    <t xml:space="preserve">0208161</t>
  </si>
  <si>
    <t xml:space="preserve">WELDOLET, ACERO AL CARBON, DIAMETRO 12", X, 4", EXTREMO SOLDABLE, X, BISELADO, CEDULA 80, CLASE 6000#, ASTM A105, NACE MR 0175, MSS SP-97</t>
  </si>
  <si>
    <t xml:space="preserve">0201134</t>
  </si>
  <si>
    <t xml:space="preserve">0203003</t>
  </si>
  <si>
    <t xml:space="preserve">TAPON, CACHUCHA, DE, ACERO AL CARBONO, DIAMETRO 3/4", CLASE 3000#, ASTM A105, EXTREMOS ROSCADO, ISO 15156-2, ASME B16.11</t>
  </si>
  <si>
    <t xml:space="preserve">SDM-PINTURA PERDIZ 1</t>
  </si>
  <si>
    <t xml:space="preserve">RA-28 MODIFICADO POLIURETANO ACRILICO, ALTOS SOLIDOS DOS COMPONENTES BASE Y CATALIZADOR, AMARILLO SEÑAL, No RAL 1003, MARCA SHERWIN WILLIAMS / LÍNEA NAPKO, MODELO 4389B41005 / 4389C00004, CUMPLE CON LA NORMA ET-053 (NO INCLUYE SOLVENTE ADEGAZADOR), PRESENTACIÓN UNIDAD 17.5 L</t>
  </si>
  <si>
    <t xml:space="preserve">SDM-ABRAZADERAS TURBO</t>
  </si>
  <si>
    <t xml:space="preserve">ABRAZADERA TIPO U-BOLT CON 2 TUERCAS DE SUJECION, GALVANIZADO CON RECUBRIMIENTO DE NEOPRENO, DIAMETRO 3", ESPESOR 3/8"</t>
  </si>
  <si>
    <t xml:space="preserve">ABRAZADERA TIPO U-BOLT CON 2 TUERCAS DE SUJECION,, GALVANIZADO CON RECUBRIMIENTO DE NEOPRENO, DIAMETRO 4", ESPESOR 1/2"</t>
  </si>
  <si>
    <t xml:space="preserve">ABRAZADERA TIPO U-BOLT CON 2 TUERCAS DE SUJECION,, GALVANIZADO CON RECUBRIMIENTO DE NEOPRENO, DIAMETRO 6", ESPESOR 5/8"</t>
  </si>
  <si>
    <t xml:space="preserve">SDM-BARANDALES PERDIZ 2</t>
  </si>
  <si>
    <t xml:space="preserve">480</t>
  </si>
  <si>
    <t xml:space="preserve">SDM-CONSUMIBLES PERDIZ</t>
  </si>
  <si>
    <t xml:space="preserve">1204053</t>
  </si>
  <si>
    <t xml:space="preserve">DISCO DE CORTE PARA METAL, ABRASIVO, DIAMETRO 7", RECUBRIMIENTO OXIDO DE ALUMINIO, ESPESOR 1/4", DIAMETRO INTERIOR 7/8", AUSTROMEX, 13,300 RPM</t>
  </si>
  <si>
    <t xml:space="preserve">CARDA, CIRCULAR ALAMBRE TRENZADO, ALUMINIO, DIAMETRO 4", LONGITUD EJE 5/8"-11</t>
  </si>
  <si>
    <t xml:space="preserve">1208091</t>
  </si>
  <si>
    <t xml:space="preserve">TIZA RFTA, PARA METAL, MINERAL ES DE SILICATO, LONGITUD 145 MM, ANCHO 16 MM, LINCOLN ELECTRONIC, MODELO WT52896-1</t>
  </si>
  <si>
    <t xml:space="preserve">144</t>
  </si>
  <si>
    <t xml:space="preserve">GATO HIDRAULICO, BOTELLA, ACERO, 465 MILIMETROS, 30 TONELADAS, MIKEL`S, MODELO GH-30, ELEVACION Y NIVELACION DE TUBERIA</t>
  </si>
  <si>
    <t xml:space="preserve">LONA ANTICHISPA, IGNIFUGA, VERDE, LONGITUD 3 M, ANCHO 3M, MODELO IGNIFUGA CAL. 10, ESPESOR 1.1 MM, CERTIFICACION PEMEX</t>
  </si>
  <si>
    <t xml:space="preserve">PINZA ELECTRICISTA, CORTE LATERAL, ACERO ALEADO, 9", URREA, MODELO 269GI</t>
  </si>
  <si>
    <t xml:space="preserve">SDM-TAQUETES</t>
  </si>
  <si>
    <t xml:space="preserve">TAQUETE DE EXPANSION PARA CONCRETO, TIPO ARPON, ACERO GALVANIZADO, DIAMETRO 3/8", LONGITUD 3", INCLUYE: TAQUETE, TUERCA Y ARANDELA PLANA</t>
  </si>
  <si>
    <t xml:space="preserve">TAQUETE DE EXPANSION PARA CONCRETO, TIPO ARPON, ACERO GALVANIZADO, DIAMETRO 5/8", LONGITUD 3 1/2", INCLUYE: TAQUETE, TUERCA Y ARANDELA PLANA</t>
  </si>
  <si>
    <t xml:space="preserve">SDM-TINTAS</t>
  </si>
  <si>
    <t xml:space="preserve">150868</t>
  </si>
  <si>
    <t xml:space="preserve">SDM-BRIDA</t>
  </si>
  <si>
    <t xml:space="preserve">0209342</t>
  </si>
  <si>
    <t xml:space="preserve">BRIDA, CIEGA, MATERIAL DE CUERPO ACERO AL CARBON, DIAMETRO 4", CLASE 600, RTJ, ESPECIFICACION DE MATERIAL ASTM A105, NACE MR0175, ESPECIFICACION DE DISEÑO ASME B16.5</t>
  </si>
  <si>
    <t xml:space="preserve">ENTREGADA/SIN OC EN SISTEMA</t>
  </si>
  <si>
    <t xml:space="preserve">SDM - TECHO TURBO - 04</t>
  </si>
  <si>
    <t xml:space="preserve">PERFIL I, VIGA IPR DE 6”x 4",, ACERO, 152MM X 22.3KG/M, LONGITUD 12 M, ASTM A36</t>
  </si>
  <si>
    <t xml:space="preserve">LAMINA, GALVANIZADA, CALIBRE 10, LARGO 6.10 MTS, ANCHO 1.20 MTS</t>
  </si>
  <si>
    <t xml:space="preserve">ANGULO, LADOS IGUALES (LI), 4"X4"X3/8", 6.1M, 14.58 KG/M, ASTM A36</t>
  </si>
  <si>
    <t xml:space="preserve">PIJA, ACERO INOXIDABLE, DIAMETRO 1/4" X 1", C/HEXAGONAL PARA BROCA ENSAMBLE, PARA LÁMINA</t>
  </si>
  <si>
    <t xml:space="preserve">MONTEN, CALIBRE 10, PATIN 2.75", PERALTE 10", CEJA 2.75", LONGITUD 6.10 M, ASTM A-568, DE 11.2 KG/M</t>
  </si>
  <si>
    <t xml:space="preserve">SDM-PERDIZ </t>
  </si>
  <si>
    <t xml:space="preserve">0101065</t>
  </si>
  <si>
    <t xml:space="preserve">TUBO DE ACERO AL CARBON, DIAMETRO 1", CEDULA 80, S/C, ASTM A106 Gr. B, EXT BISELADOS, ISO 15156-2 /NACE MR0175, ASME B16.9</t>
  </si>
  <si>
    <t xml:space="preserve">0201188</t>
  </si>
  <si>
    <t xml:space="preserve">CODO, 90° INSERTO SOLDABLE (S.W), DE, ACERO AL CARBON, DIAMETRO 1", ASTM A105, CLASE 6000#, ISO 15156 / NACE MR0175, ASME B16.11</t>
  </si>
  <si>
    <t xml:space="preserve">0701150</t>
  </si>
  <si>
    <t xml:space="preserve">VALVULA DE COMPUERTA, DIAMETRO 1", CLASE 800, EXTREMOS INSERTO SOLDABLE (S.W.), MATERIAL DE CUERPO ACERO AL CARBÓN, ASTM A105, VASTAGO ACERO INOXIDABLE UNS S31600, TRIM RECUBRIMIENTO CoCr (RCoCr-3), BONNET ATORNILLADO, VOLANTE, TIPO OBTURADOR CUÑA SÓLIDA, ASIENTO INTERCAMBIABLE, ISO 15156-1 / NACE MR0175, ESPECIFICACION DE DISEÑO API STD 602, ESPECIFICACION DE PRUEBAS API STD 598</t>
  </si>
  <si>
    <t xml:space="preserve">0202048</t>
  </si>
  <si>
    <t xml:space="preserve">TEE, RECTA, INSERTO SOLDABLE (S.W.), DE, ACERO AL CARBON, DIAMETRO 1" Ø, ASTM A-105, CLASE 3000#, ASME B16.11.</t>
  </si>
  <si>
    <t xml:space="preserve">0209215</t>
  </si>
  <si>
    <t xml:space="preserve">BRIDA, CAJA PARA SOLDAR, MATERIAL DE CUERPO ACERO AL CARBON, DIAMETRO 1", CLASE 150#, CEDULA 80, RF, ESPECIFICACION DE MATERIAL ASTM A105, ISO 15156/NACE MR 0175, ESPECIFICACION DE DISEÑO ASME B16.5</t>
  </si>
  <si>
    <t xml:space="preserve">0301062</t>
  </si>
  <si>
    <t xml:space="preserve">EMPAQUE ESPIROMETALICO, CGI, DIAMETRO 1", CLASE #150, ESPESOR 1/8", MATERIAL ANILLO CENTRADOR GRAFITO PURO FLEXIBLE, MATERIAL BOBINADO ACERO INOXIDABLE, RELLENO DEVANADO EN ESPIRAL DE 3.2 MM, MATERIAL ANILLO INTERIOR UNS S31600, ANSI-ASME B16.20</t>
  </si>
  <si>
    <t xml:space="preserve">0212252</t>
  </si>
  <si>
    <t xml:space="preserve">ESPARRAGO, DIAMETRO 1/2", LONGITUD 3 3/4", ACERO, ASTM A193 GR. B7M, No TUERCAS 2, HEXAGONAL, ASTM A194 GR. 2HM, CADMIO, ASTM B-766, CLASE 25 TIPO II, PARA BRIDAS 1" CLASE 150 R.F.</t>
  </si>
  <si>
    <t xml:space="preserve">0212122</t>
  </si>
  <si>
    <t xml:space="preserve">ESPARRAGO, DIAMETRO 5/8", LONGITUD 4-1/2", ACERO AL CARBON, ASTM A193 B7 CLASE 25 TIPO II, No TUERCAS 2, HEXAGONAL, ASTM A194 2H, UNC, CADMIO TROPICALIZADO, ASTM B766, RTJ</t>
  </si>
  <si>
    <t xml:space="preserve">SDM- COLD ROLLED</t>
  </si>
  <si>
    <t xml:space="preserve">PERFIL SOLIDO, COLD ROLLED, 3/4", 6.10 M, ASTM A36</t>
  </si>
  <si>
    <t xml:space="preserve">PZ</t>
  </si>
  <si>
    <t xml:space="preserve">	GASTOS DE ENVIO</t>
  </si>
  <si>
    <t xml:space="preserve">SDM-GRANALLA TAD</t>
  </si>
  <si>
    <t xml:space="preserve">F218385P0003 – GEOLIS PY INFRA TAD VERACRUZ</t>
  </si>
  <si>
    <t xml:space="preserve">GRANALLA DE ACERO ANGULAR, GRADO G80</t>
  </si>
  <si>
    <t xml:space="preserve">kg</t>
  </si>
  <si>
    <t xml:space="preserve">SDM-MANGUERA</t>
  </si>
  <si>
    <t xml:space="preserve">0602046</t>
  </si>
  <si>
    <t xml:space="preserve">MANGUERA, OXIGENO Y ACETILENO, CAUCHO, DIAMETRO 1/4", LONGITUD 30 METROS, GRADO T</t>
  </si>
  <si>
    <t xml:space="preserve">RECOLECCION TOMAS</t>
  </si>
  <si>
    <t xml:space="preserve">SOLICITUD DE MATERIAL DIVERSO PARA CONDICIONES LABORALES EN LA TAD VERACRUZ</t>
  </si>
  <si>
    <t xml:space="preserve">5006332</t>
  </si>
  <si>
    <t xml:space="preserve">LIBRO FLORETE, MARCA ESTRELLA, MODELO FRANCESA BITACORA DE OBRA 96 HJAS</t>
  </si>
  <si>
    <t xml:space="preserve">5006238</t>
  </si>
  <si>
    <t xml:space="preserve">PIZARRON, MARCO DE ALUMINO, 60 X 90 CM, BLANCO </t>
  </si>
  <si>
    <t xml:space="preserve">5006311</t>
  </si>
  <si>
    <t xml:space="preserve">ENGRAPADORA, NEGRO, MARCA OFFICE DEPOT, MODELO 43925 </t>
  </si>
  <si>
    <t xml:space="preserve">5006001</t>
  </si>
  <si>
    <t xml:space="preserve">HOJAS, DE PAPEL, TAMAÑO CARTA, 99% BLANCURA, CAJA 5000 HOJAS </t>
  </si>
  <si>
    <t xml:space="preserve">5006451</t>
  </si>
  <si>
    <t xml:space="preserve">BOLIGRAFO DE COLORES, MARCA BIC, PUNTO MEDIANO, PLUMA CLASICA CRISTAL DURA +, SURTIDO DE 4 COLORES, 10 PIEZAS</t>
  </si>
  <si>
    <t xml:space="preserve">5006091</t>
  </si>
  <si>
    <t xml:space="preserve">MARCADOR PARA PIZARRON BLANCO, NEGRO </t>
  </si>
  <si>
    <t xml:space="preserve">5006290</t>
  </si>
  <si>
    <t xml:space="preserve">POST-IT NOTAS EMERGENTES, 3 X3 </t>
  </si>
  <si>
    <t xml:space="preserve">5006032</t>
  </si>
  <si>
    <t xml:space="preserve">TABLA SUJETAPAPELES CON CLIP,MADERA, 21.59 CM X 34.04 CM </t>
  </si>
  <si>
    <t xml:space="preserve">3009106</t>
  </si>
  <si>
    <t xml:space="preserve">BOTELLA DE TINTA, MODELO T504, EPSON, COLOR NEGRO </t>
  </si>
  <si>
    <t xml:space="preserve">5005207</t>
  </si>
  <si>
    <t xml:space="preserve">TONER PARA MULTIFUNCIONAL, MODELO 56F0Z00, PARA LEXMARK MX622</t>
  </si>
  <si>
    <t xml:space="preserve">5006449</t>
  </si>
  <si>
    <t xml:space="preserve">MARCADOR DE PIZARRON, BORRADOFACIL, OLOR SUAVE, MARKING, SURTIDO 4 COLORES CLASICOS, 4 PC + 1 BORRADOR</t>
  </si>
  <si>
    <t xml:space="preserve">5001011</t>
  </si>
  <si>
    <t xml:space="preserve">LIMPIADOR MULTIUSOS, MARCA MEMBER'S MARK, 20 l, AROMA LAVANDA</t>
  </si>
  <si>
    <t xml:space="preserve">5001065</t>
  </si>
  <si>
    <t xml:space="preserve">DESINFECTANTE CON CLORO, MARCA CLORALEX, 3.75 LITROS </t>
  </si>
  <si>
    <t xml:space="preserve">5001004</t>
  </si>
  <si>
    <t xml:space="preserve">JABÓN LÍQUIDO LAVATRASTE, 2.9LTS., MARCA MEMBER´S MARK </t>
  </si>
  <si>
    <t xml:space="preserve">5001032</t>
  </si>
  <si>
    <t xml:space="preserve">ESCOBA TIPO ABANICO  </t>
  </si>
  <si>
    <t xml:space="preserve">5001080</t>
  </si>
  <si>
    <t xml:space="preserve">KIT TRAPEADOR MOD INDUSTRIAL,110 CM </t>
  </si>
  <si>
    <t xml:space="preserve">5001094</t>
  </si>
  <si>
    <t xml:space="preserve">CUBETA, PLASTICA, 10 L  </t>
  </si>
  <si>
    <t xml:space="preserve">5001009</t>
  </si>
  <si>
    <t xml:space="preserve">AROMATIZANTE EN AEROSOL, MARCA GLADE, 400 ml </t>
  </si>
  <si>
    <t xml:space="preserve">5001092</t>
  </si>
  <si>
    <t xml:space="preserve">BOLSA DE BASURA, 75X90 CM, MARCA COSTALITOS, JUMBO </t>
  </si>
  <si>
    <t xml:space="preserve">0603004</t>
  </si>
  <si>
    <t xml:space="preserve">MANGUERA CONTRA INCENDIO, No CAPAS 4 PARA USO RUDO, 2 1/2",LONGITUD 24 MTS, 300 PSI, SERVICIO CONDUCCIÓN DE AGUA</t>
  </si>
  <si>
    <t xml:space="preserve">4012051</t>
  </si>
  <si>
    <t xml:space="preserve">ALCOHOLIMETRO, 2.5 MG/L, ALIMENTACION ELECTRICA 3XAA-LR6 / 3X NIMH, MODELO ALCOTEST 5000, DRÄGER, IP54</t>
  </si>
  <si>
    <t xml:space="preserve">4013037</t>
  </si>
  <si>
    <t xml:space="preserve">LETRERO, PROHIBIDO USO DE CELULAR, PVC, LARGO 35 CM, ANCHO 25 CM, COLOR A COLOR</t>
  </si>
  <si>
    <t xml:space="preserve">4013035</t>
  </si>
  <si>
    <t xml:space="preserve">LETRERO, PROHIBIDO EL PASO, PVC, LARGO 35 CM, ANCHO 25 CM, COLOR A COLOR</t>
  </si>
  <si>
    <t xml:space="preserve">4013042</t>
  </si>
  <si>
    <t xml:space="preserve">LETRERO, USO DE EPP, PVC, LARGO 35 CM, ANCHO 25 CM, COLOR ACOLOR</t>
  </si>
  <si>
    <t xml:space="preserve">4013038</t>
  </si>
  <si>
    <t xml:space="preserve">LETRERO, PROHIBIDO FUMAR, PVC, LARGO 35 CM, ANCHO 25 CM, COLOR A COLOR</t>
  </si>
  <si>
    <t xml:space="preserve">4013041</t>
  </si>
  <si>
    <t xml:space="preserve">LETRERO, EXTINTORES PQS, PVC,LARGO 35 CM, ANCHO 25 CM, COLOR A COLOR</t>
  </si>
  <si>
    <t xml:space="preserve">4013050</t>
  </si>
  <si>
    <t xml:space="preserve">LETRERO, RIESGO ELÉCTRICO, PVC, LARGO 35 CM, ANCHO 25 CM, COLOR A COLOR</t>
  </si>
  <si>
    <t xml:space="preserve">4013048</t>
  </si>
  <si>
    <t xml:space="preserve">LETRERO, PRECAUCIÓN CARGA SUSPENDIDA, PVC, LARGO 35 CM, ANCHO 25 CM, COLOR A COLOR</t>
  </si>
  <si>
    <t xml:space="preserve">4013053</t>
  </si>
  <si>
    <t xml:space="preserve">LETRERO, PUNTO DE REUNIÓN, PVC, LARGO 30 CM, ANCHO 20 CM, COLOR A COLOR</t>
  </si>
  <si>
    <t xml:space="preserve">4013045</t>
  </si>
  <si>
    <t xml:space="preserve">LETRERO, PUNTO DE HIDRATACION, PVC, LARGO 35 CM, ANCHO 25 CM, COLOR A COLOR</t>
  </si>
  <si>
    <t xml:space="preserve">4008014</t>
  </si>
  <si>
    <t xml:space="preserve">POSTE DELIMITADOR, PVC, NARANJA </t>
  </si>
  <si>
    <t xml:space="preserve">4008008</t>
  </si>
  <si>
    <t xml:space="preserve">CINTA BARRICADA, 3" ANCHO, ROJA, LEYENDA PELIGRO </t>
  </si>
  <si>
    <t xml:space="preserve">4008007</t>
  </si>
  <si>
    <t xml:space="preserve">CINTA BARRICADA, 3" ANCHO, AMARILLA, LEYENDA PRECAUCIÓN </t>
  </si>
  <si>
    <t xml:space="preserve">1208498</t>
  </si>
  <si>
    <t xml:space="preserve">TAMBO DE PLASTICO, POLIETILENO, 55 GALONES, AZUL, MODELO S-10757BLU</t>
  </si>
  <si>
    <t xml:space="preserve">4013114</t>
  </si>
  <si>
    <t xml:space="preserve">LONA, SERIGRAFIADA, LARGO 2 M, ANCHO 1 M, CON LEYENDAS SOLICITADAS</t>
  </si>
  <si>
    <t xml:space="preserve">5002051</t>
  </si>
  <si>
    <t xml:space="preserve">5002096</t>
  </si>
  <si>
    <t xml:space="preserve">TOLDO DE USO RUDO, POLIETILENO, 3 X 6 MTS </t>
  </si>
  <si>
    <t xml:space="preserve">5002020</t>
  </si>
  <si>
    <t xml:space="preserve">SILLA PLEGABLE  </t>
  </si>
  <si>
    <t xml:space="preserve">5002018</t>
  </si>
  <si>
    <t xml:space="preserve">MESA PLEGABLE, PLASTICO, 1.2 M X 74.9 CM  X 59.5 CM </t>
  </si>
  <si>
    <t xml:space="preserve">GATORADE EN POLVO, 2.38 KG, SABOR NARANJA </t>
  </si>
  <si>
    <t xml:space="preserve">5002072</t>
  </si>
  <si>
    <t xml:space="preserve">HIELERA IGLOO CONTOUR, 150 QT  </t>
  </si>
  <si>
    <t xml:space="preserve">SDM-PINTURA PAPAN LINEA DE 12"</t>
  </si>
  <si>
    <t xml:space="preserve">ACABADO POLISILOXANO, DOS COMPONENTES, BLANCO, TIEMPO DE SECADO TACTO 60 MINUTOS, DURABILIDAD RESISTENCIA A ALTAS TEMPERATURAS, MODELO RE-41 ESPECIAL</t>
  </si>
  <si>
    <t xml:space="preserve">ENVIADO AL PROVEEDOR</t>
  </si>
  <si>
    <t xml:space="preserve">PRIMARIO INORGÁNICO DE ZINC AUTOCURANTE, BASE SOLVENTE, GRIS VERDOSO, TIEMPO DE SECADO TACTO 20 MINUTOS, DURABILIDAD ALTA RESISTENCIA A AMBIENTES CORROSIVOS, MODELO RP-4B MODIFICADO</t>
  </si>
  <si>
    <t xml:space="preserve">SDM-PINTURA TAD</t>
  </si>
  <si>
    <t xml:space="preserve">ACABADO EPOXICO HIBRIDO DE POLISILOXANO, DOS COMPONENTES, ALTOS SOLIDOS DE ALTA RESISTENCIA, BLANCO, TIEMPO DE SECADO TACTO 60 MINUTOS, RA-35</t>
  </si>
  <si>
    <t xml:space="preserve">SDM - VERACRUZ - CONT02 - TAD416 ABRAZADERA</t>
  </si>
  <si>
    <t xml:space="preserve">1005014</t>
  </si>
  <si>
    <t xml:space="preserve">MEDIA CAÑA, POLIURETANO, Ø12", 3/8" DE ESPESOR, CURVATURA 120°, LONGITUD 12CM</t>
  </si>
  <si>
    <t xml:space="preserve">1005018</t>
  </si>
  <si>
    <t xml:space="preserve">MEDIA CAÑA, POLIURETANO, Ø10", 3/8" DE ESPESOR, CURVATURA 120°, LONGITUD 10CM</t>
  </si>
  <si>
    <t xml:space="preserve">2003244</t>
  </si>
  <si>
    <t xml:space="preserve">ABRAZADERA, U-BOLT, DIAMETRO 10", RECUBRIMIENTO PVC, ESPESOR 1/2"</t>
  </si>
  <si>
    <t xml:space="preserve">2003245</t>
  </si>
  <si>
    <t xml:space="preserve">ABRAZADERA, U-BOLT, DIAMETRO 12", RECUBRIMIENTO PVC, ESPESOR 1/2"</t>
  </si>
  <si>
    <t xml:space="preserve">PAPAN FASE I EXCEDENTE</t>
  </si>
  <si>
    <t xml:space="preserve">SDM - VERACRUZ - CONT02 - TAD416</t>
  </si>
  <si>
    <t xml:space="preserve">0101083</t>
  </si>
  <si>
    <t xml:space="preserve">TUBO DE ACERO AL CARBON, DIAMETRO 1", CEDULA 160, S/C, ASTM A106 GR. B, S/C, EXT BISELADOS, ISO 15156-2 / NACE MR0175, ASME B16.9</t>
  </si>
  <si>
    <t xml:space="preserve">0201137</t>
  </si>
  <si>
    <t xml:space="preserve">CODO, 45°, R.L., DE, ACERO AL CARBON, DIAMETRO 10", CEDULA 40, ASTM A234 GR. WPB, S/C, EXTREMOS BISELADOS, ISO 15156/NACE MR0175, ASME B16.9</t>
  </si>
  <si>
    <t xml:space="preserve">0201054</t>
  </si>
  <si>
    <t xml:space="preserve">CODO, 90°, RL, DE, ACERO AL CARBONO, DIAMETRO 10", CEDULA 40, ASTM A234 GR. WPB, SIN COSTURA, EXTREMOS BISELADOS, ISO 15156-2, ASME B16.9</t>
  </si>
  <si>
    <t xml:space="preserve">0201094</t>
  </si>
  <si>
    <t xml:space="preserve">CODO, 90°, RL, DE, ACERO AL CARBON, DIAMETRO 12", CEDULA 40, ASTM A234 GR. WPB, S/C, EXTREMOS BISELADOS, ISO 15156, ASME B16.9</t>
  </si>
  <si>
    <t xml:space="preserve">0208157</t>
  </si>
  <si>
    <t xml:space="preserve">SOCKOLET, ACERO AL CARBON, DIAMETRO 16", X, 1", EXTREMO BISELADO, X, CAJA SOLDABLE, CLASE 6000#, ASTM A105, ISO 15156 / NACE MR0175, ASME B16.11</t>
  </si>
  <si>
    <t xml:space="preserve"> 0701150</t>
  </si>
  <si>
    <t xml:space="preserve">0209333</t>
  </si>
  <si>
    <t xml:space="preserve">BRIDA, CUELLO SOLDABLE, MATERIAL DE CUERPO ACERO AL CARBÓN, DIAMETRO 1", CLASE 150#, CEDULA 160, RF, ESPECIFICACION DE MATERIAL ASTM A105, EXTREMO BISELADO, ISO 15156 / NACE MR0175, ESPECIFICACION DE DISEÑO ASME B16.5</t>
  </si>
  <si>
    <t xml:space="preserve">0301129</t>
  </si>
  <si>
    <t xml:space="preserve">EMPAQUE ESPIROMETALICO, CGI, DIAMETRO 1", CLASE 150#, ESPESOR 1/8", MATERIAL ANILLO CENTRADOR ACERO AL CARBON, MATERIAL BOBINADO ACERO INOXIDABLE 316, RELLENO GRAFITO PURO FLEXIBLE, DEVANADO EN ESPIRAL 3.2 MM, MATERIAL ANILLO INTERIOR ACERO INOXIDABLE 316, ANSI/ASME B16.20</t>
  </si>
  <si>
    <t xml:space="preserve">0210012</t>
  </si>
  <si>
    <t xml:space="preserve">FIGURA 8, DE, ACERO AL CARBONO, DIAMETRO 12", CLASE 150, RF, ASTM A-515 Gr. 70, NACE MR0175, ESPECIFICACION API 590, CLASE 150, PARA INSTALARSE EN BRIDAS ANSI/ASME 16.5</t>
  </si>
  <si>
    <t xml:space="preserve">0210013</t>
  </si>
  <si>
    <t xml:space="preserve">FIGURA 8, DE, ACERO AL CARBONO, DIAMETRO 10", CLASE 150, R.F., ASTM A-515 Gr. 70, NACE MR0175, ESPECIFICACION API 590, CLASE 150, PARA INSTALARSE EN BRIDAS ANSI/ASME 16.5</t>
  </si>
  <si>
    <t xml:space="preserve">0212254</t>
  </si>
  <si>
    <t xml:space="preserve">ESPARRAGO, DIAMETRO 7/8", LONGITUD 7", ACERO, ASTM A193 GR. B7M, No TUERCAS 2, HEXAGONAL, ASTM A194 GR. 2HM, CADMIO, CLASE 25 TIPO II, ASTM B-766, PARA BRIDAS 12" Ø CLASE 150 R.F.</t>
  </si>
  <si>
    <t xml:space="preserve">0209256</t>
  </si>
  <si>
    <t xml:space="preserve">BRIDA, CUELLO SOLDABLE, MATERIAL DE CUERPO ACERO AL CARBON, DIAMETRO 12", CLASE 150#, CEDULA 40, R.F., ESPECIFICACION DE MATERIAL ASTM A105, ISO 15156, ESPECIFICACION DE DISEÑO ASME B16.5</t>
  </si>
  <si>
    <t xml:space="preserve">0212218</t>
  </si>
  <si>
    <t xml:space="preserve">ESPARRAGO, DIAMETRO 7/8", LONGITUD 5 3/4", ACERO, ASTM A193 Gr. B7M, No TUERCAS 2, HEXAGONAL, ASTM A194 Gr. 2HM, CADMIO, CLASE 25 TIPO II, ASTM B-766, PARA BRIDAS 12" Ø CLASE 150 R.F.</t>
  </si>
  <si>
    <t xml:space="preserve">0209096</t>
  </si>
  <si>
    <t xml:space="preserve">BRIDA, CUELLO SOLDABLE, MATERIAL DE CUERPO ACERO AL CARBON, DIAMETRO 10", CLASE 150#, CEDULA 40, RF, ESPECIFICACION DE MATERIAL ASTM A-105, ISO 15156, ESPECIFICACION DE DISEÑO ASME B16.5</t>
  </si>
  <si>
    <t xml:space="preserve">0301109</t>
  </si>
  <si>
    <t xml:space="preserve">EMPAQUE ESPIROMETALICO, CGI, DIAMETRO 10", CLASE 150#, TIPO DE CARA R.F, ESPESOR 1/8, MATERIAL ANILLO CENTRADOR ACERO AL CARBON, MATERIAL BOBINADO ACERO INOXIDABLE 316, RELLENO GRAFITO PURO FLEXIBLE, DEVANADO EN ESPIRAL DE 3.2 MM, MATERIAL ANILLO INTERIOR ACERO INOXIDABLE UNS S31600, ANSI-ASME B16.20</t>
  </si>
  <si>
    <t xml:space="preserve">0209334</t>
  </si>
  <si>
    <t xml:space="preserve">BRIDA, CUELLO SOLDABLE, MATERIAL DE CUERPO ACERO AL CARBON, DIAMETRO 10", CLASE 150#, CEDULA 40, R.T.J, ESPECIFICACION DE MATERIAL ASTM A105, EXTREMO BRIDADOS, ISO 15156, ESPECIFICACION DE DISEÑO ASME B16.9</t>
  </si>
  <si>
    <t xml:space="preserve">0303040</t>
  </si>
  <si>
    <t xml:space="preserve">ANILLO METALICO RTJ, OCTAGONAL,, DIAMETRO 10", CLASE 150#, ACERO AL CARBON, RING No 52, DUREZA 120, ANSI-ASME B16.20</t>
  </si>
  <si>
    <t xml:space="preserve">0212217</t>
  </si>
  <si>
    <t xml:space="preserve">ESPARRAGO, DIAMETRO 7/8", LONGITUD 5 3/4", ACERO, ASTM A193 Gr. B7M, No TUERCAS 2, HEXAGONAL, ASTM A194 Gr. 2HM, CADMIO, CLASE 25 TIPO II, ASTM B-766, PARA BRIDAS 10" Ø CLASE 150 R.F.</t>
  </si>
  <si>
    <t xml:space="preserve">0701133</t>
  </si>
  <si>
    <t xml:space="preserve">VALVULA DE COMPUERTA, DIAMETRO 10", CLASE 150, EXTREMOS BRIDADA, R.F., MATERIAL DE CUERPO ACERO AL CARBONO, ASTM A216 Gr. WCB, VASTAGO TORNILLO EXTERIOR Y YUGO, ACERO INOXIDABLE UNS S41000, BONNET ATORNILLADO, OPERADA CON ENGRANE, TIPO OBTURADOR CUÑA SÓLIDA O FLEXIBLE, ASIENTOS INTERCAMBIABLES, NACE MR0175 / ISO 15156, ESPECIFICACION DE DISEÑO ASME B16.34, ESPECIFICACION DE PRUEBAS API 598</t>
  </si>
  <si>
    <t xml:space="preserve">0701134</t>
  </si>
  <si>
    <t xml:space="preserve">VALVULA DE COMPUERTA, DIAMETRO 12", CLASE 150, EXTREMOS BRIDADA, R.F., MATERIAL DE CUERPO ACERO AL CARBONO, ASTM A216 Gr. WCB, VASTAGO TORNILLO EXTERIOR Y YUGO, ACERO INOXIDABLE UNS S41000, BONNET ATORNILLADO, OPERADA CON ENGRANE, TIPO OBTURADOR CUÑA SÓLIDA O FLEXIBLE, ASIENTOS INTERCAMBIABLES, NACE MR0175/ISO 15156, ESPECIFICACION DE DISEÑO ASME B16.34, ESPECIFICACION DE PRUEBAS API 598</t>
  </si>
  <si>
    <t xml:space="preserve">SDM- TAD - TV 13 RED CONTRAINCENDIO</t>
  </si>
  <si>
    <t xml:space="preserve">0101055</t>
  </si>
  <si>
    <t xml:space="preserve">TUBO DE ACERO AL CARBON, DIAM. 3", CED. 40, S/C, ASTM A106 GR.B, EXT. BISELADOS, ISO 15156-2, NACE MR0175, ASME B16.9</t>
  </si>
  <si>
    <t xml:space="preserve">STAND BY</t>
  </si>
  <si>
    <t xml:space="preserve">0201151</t>
  </si>
  <si>
    <t xml:space="preserve">CODO 90° R.L. DE ACERO AL CARBONO, EXT. BISELADOS, SIN COSTURA ESP. ASTM A-234 Gr. WPB ASME B16.9 DE 3"Ø CED. 40, NACE MR0175.</t>
  </si>
  <si>
    <t xml:space="preserve">0201152</t>
  </si>
  <si>
    <t xml:space="preserve">CODO 45° R.L. DE ACERO AL CARBONO, EXT. BISELADOS, SIN COSTURA ESP. ASTM A-234 Gr. WPB ASME B16.9 DE 3"Ø CED. 40, NACE MR0175.</t>
  </si>
  <si>
    <t xml:space="preserve">0209144</t>
  </si>
  <si>
    <t xml:space="preserve">BRIDA, CUELLO SOLDABLE, DE ACERO AL CARBON, DIAM. 3", CLASE 150#, CED. 40, R.F. ESPECIFICACION DE MATERIAL ASTM A105, ISO 15156, ESPECIFICACION DE DISEÑO ASME B16.5</t>
  </si>
  <si>
    <t xml:space="preserve">0301111</t>
  </si>
  <si>
    <t xml:space="preserve">EMPAQUE ESPIROMETALICO, CGI, DIAMETRO 3", CLASE 150#, ESPESOR 1/8", MATERIAL ANILLO CENTRADOR ACERO AL CARBON, MATERIAL BOBINADO ACERO INOXIDABLE 316, RELLENO GRAFITO PURO FLEXIBLE, DEVANADO EN ESPIRAL DE 3.2 MM, MATERIAL ANILLO INTERIOR ACERO INOXIDABLE UNS S31600, ANSI-ASME B16.20</t>
  </si>
  <si>
    <t xml:space="preserve">0212221</t>
  </si>
  <si>
    <t xml:space="preserve">ESPÁRRAGOS (5/8" X 4 3/4'' LONG.) PARA BRIDAS 3" Ø CLASE 150 R.F., CON 2 TUERCAS HEXAGONALES, ASTM A193 GR.B7M - ASTM A194 GR.2HM, RECUBRIMIENTO ES CADMIO ASTM B-766, CLASE 25 TIPO II</t>
  </si>
  <si>
    <t xml:space="preserve">240</t>
  </si>
  <si>
    <t xml:space="preserve">0202154</t>
  </si>
  <si>
    <t xml:space="preserve">TEE RECTA DE ACERO AL CARBONO, EXT. BISELADOS PARA SOLDAR, SIN COSTURA ESPECIFICACION ASTM A-234 Gr. WPB ASME B16.9 DE 3"Ø CED. 40, NACE MR0175</t>
  </si>
  <si>
    <t xml:space="preserve"> 0701136</t>
  </si>
  <si>
    <t xml:space="preserve">VALVULA DE COMPUERTA DE 3" DE DIAM. BRIDADA (R.F.) CLASE 150, CUERPO ASTM A-216 Gr WCB, INTERIORES DE ACERO INOXIDABLE UNS S41000, TORNILLO EXTERIOR Y YUGO, BONETE ATORNILLADO, DISCO TIPO CUÑA SOLIDA O FLEXIBLE Y ASIENTOS INTERCAMBIABLES, OPERADA CON ENGRANE NACE MR0175/ISO 15156</t>
  </si>
  <si>
    <t xml:space="preserve">0214011</t>
  </si>
  <si>
    <t xml:space="preserve">FILTRO STRAINER TIPO Y DE ACERO AL CARBON DE 3"#150 R.F. CUERPO ASTM A-216 Gr WCB, INTERIORES DE ACERO INOXIDABLE UNS S41000, </t>
  </si>
  <si>
    <t xml:space="preserve">4002058</t>
  </si>
  <si>
    <t xml:space="preserve">VALVULA DE DILUVIO, DIAFRAGMA - APERTURA RAPIDA, ACERO AL CARBON ASTM A216 GR. WCB, DIAMETRO DN 80 (NPS 3"), PARA RED CONTRA INCENDIO, SALIDA BRIDADA R.F. CLASE 150, MODO DE OPERACION AUTOMATICA POR SISTEMA DE DETECCION, PRESION ENTRADA MAX CLASE 150, ACABADO RECUBRIMIENTO EPOXI FUSIONADO (FBE) INTERIOR Y EXTERIOR, NFPA 15, UL / FM, BONETE ATORNILLADO, INTERNOS EN ACERO INOXIDABLE, DIAFRAGMA EN HULE REFORZADO, CAMARA DE CONTROL CON TRIM DE DISPARO HIDRAULICO, CONEXIONES BRIDADAS CARA REALZADA (R.F.)</t>
  </si>
  <si>
    <t xml:space="preserve">SDM- TAD - TV 12</t>
  </si>
  <si>
    <t xml:space="preserve">BRIDA, CUELLO SOLDABLE, MATERIAL DE CUERPO ACERO AL CARBON, DIAMETRO 12", CLASE 150#, CEDULA 40, R.F, ESPECIFICACION DE MATERIAL ASTM A105, ISO 15156, ESPECIFICACION DE DISEÑO ASME B16.5</t>
  </si>
  <si>
    <t xml:space="preserve">0201093</t>
  </si>
  <si>
    <t xml:space="preserve">CODO, 45°, RL, DE, ACERO AL CARBON, DIAMETRO 12", CEDULA 40, ASTM A234 GR. WPB, S/C, EXTREMOS BISELADOS, NACE MR0175, ASME B16.9</t>
  </si>
  <si>
    <t xml:space="preserve">0201048</t>
  </si>
  <si>
    <t xml:space="preserve">CODO, 90° INSERTO SOLDABLE (S.W.), DE, ACERO AL CARBON, DIAMETRO 1", ASTM A-105, CLASE 3000#, ASME B16.11</t>
  </si>
  <si>
    <t xml:space="preserve">CODO, 90°, RL, DE, ACERO AL CARBON, DIAMETRO 10", CEDULA 40, ASTM A234 GR. WPB, SIN COSTURA, EXTREMOS BISELADOS, ISO 15156-2, ASME B16.9</t>
  </si>
  <si>
    <t xml:space="preserve">EMPAQUE ESPIROMETALICO, CGI, DIAMETRO 10", CLASE 150, TIPO DE CARA R.F., ESPESOR 1/8", MATERIAL ANILLO CENTRADOR ACERO AL CARBON, MATERIAL BOBINADO ACERO INOXIDABLE 316, RELLENO GRAFITO PURO FLEXIBLE, DEVANADO EN ESPIRAL DE 3.2 MM, MATERIAL ANILLO INTERIOR ACERO INOXIDABLE UNS S31600, ANSI-ASME B16.20</t>
  </si>
  <si>
    <t xml:space="preserve">0212216</t>
  </si>
  <si>
    <t xml:space="preserve">ESPARRAGO, DIAMETRO 1", LONGITUD 6 1/2", ACERO, ASTM A193 Gr. B7M, No TUERCAS 2, HEXAGONAL, ASTM A194 Gr. 2HM, CADMIO, CLASE 25 TIPO II, ASTM B-766, PARA BRIDAS 16" Ø CLASE 150 R.F.</t>
  </si>
  <si>
    <t xml:space="preserve">64</t>
  </si>
  <si>
    <t xml:space="preserve">0204106</t>
  </si>
  <si>
    <t xml:space="preserve">REDUCCION, CONCENTRICA, ACERO AL CARBONO, DIAMETRO 12" X 10", CEDULA 40, ASTM A-234 Gr. WPB, S/C, EXTREMO BISELADOS, NACE MR0175, ASME B16.9</t>
  </si>
  <si>
    <t xml:space="preserve">REDUCCION, CONCENTRICA, ACERO AL CARBON, DIAMETRO 16" X 12", CEDULA 40, ASTM A234 GR.WPB, S/C, EXTREMO BISELADOS, ISO 15156, ASME B16.9</t>
  </si>
  <si>
    <t xml:space="preserve">0208085</t>
  </si>
  <si>
    <t xml:space="preserve">SOCKOLET, ACERO AL CARBON, DIAMETRO 16", X, 1", EXTREMO BISELADO, X, CAJA SOLDABLE, CLASE 3000, ASTM A105, ASME B16.11</t>
  </si>
  <si>
    <t xml:space="preserve">0202131</t>
  </si>
  <si>
    <t xml:space="preserve">TEE, RECTA, DE, ACERO AL CARBONO, DIAMETRO 10", CEDULA 40, S/C, ASTM A234 Gr. WPB, EXTREMOS BISELADOS, NACE MR0175/ISO 15156-2, ASME B16.9</t>
  </si>
  <si>
    <t xml:space="preserve">0202132</t>
  </si>
  <si>
    <t xml:space="preserve">TEE, RECTA, DE, ACERO AL CARBONO, DIAMETRO 12", CEDULA 40, S/C, ASTM A234 Gr. WPB, EXTREMOS BISELADOS, NACE MR0175/ISO 15156-2, ASME B16.9</t>
  </si>
  <si>
    <t xml:space="preserve">0101066</t>
  </si>
  <si>
    <t xml:space="preserve">TUBO DE ACERO AL CARBON, DIAMETRO 10", CEDULA 40, S/C, ASTM A106 Gr. B, EXT BISELADOS, ISO 15156-2/NACE MR0175, ASME B16.9</t>
  </si>
  <si>
    <t xml:space="preserve">0101067</t>
  </si>
  <si>
    <t xml:space="preserve">TUBO DE ACERO AL CARBON, DIAMETRO 16", CEDULA 40, S/C, ASTM A106 Gr. B, EXT BISELADOS, ISO 15156-2/NACE MR0175, ASME B16.9</t>
  </si>
  <si>
    <t xml:space="preserve">0701135</t>
  </si>
  <si>
    <t xml:space="preserve">VALVULA DE COMPUERTA, DIAMETRO 16", CLASE 150, EXTREMOS BRIDADA, R.F., MATERIAL DE CUERPO ACERO AL CARBONO, ASTM A216 Gr. WCB, VASTAGO TORNILLO EXTERIOR Y YUGO, ACERO INOXIDABLE UNS S41000, BONNET ATORNILLADO, OPERADA CON ENGRANE, TIPO OBTURADOR CUÑA SÓLIDA O FLEXIBLE, ASIENTOS INTERCAMBIABLES, NACE MR0175 / ISO 15156-1, ESPECIFICACION DE DISEÑO ASME B16.34, ESPECIFICACION DE PRUEBAS API 598</t>
  </si>
  <si>
    <t xml:space="preserve">0705006</t>
  </si>
  <si>
    <t xml:space="preserve">VALVULA DE MARIPOSA, CORTE RÁPIDO, DIAMETRO NOMINAL DN 300 (NPS 12”), CLASE 150, EXTREMOS BRIDADOS, R.F., MATERIAL DE CUERPO ACERO AL CARBONO, ASTM A216 Gr. WCB, ACTUADOR NEUMÁTICO O ELÉCTRICO CON RETORNO POR RESORTE (ON/OFF – CIERRE RÁPIDO), MATERIAL DE OBTURADOR ACERO INOXIDABLE (DISCO Y EJE), NACE MR0175/ISO 15156, API 609 / ASME B16.34, DISEÑO TRIPLE EXCENTRICA, ASIENTO METALICO SELLADO POR TORQUE,CERO FUGA BIDIRECCIONAL, INDICADOR DE POSICIÓN, TOPES MECÁNICOS AJUSTABLES, A PRUEBA DE FUEGO, FABRICADA Y PROBADA CONFORME A API 609 / ASME B16.34 / API 598 PARA SERVICIO EN HIDROCARBUROS. MARCA VANESSA O SIMILAR</t>
  </si>
  <si>
    <t xml:space="preserve">3208079</t>
  </si>
  <si>
    <t xml:space="preserve">VALVULA DE SEGURIDAD Y ALIVIO DE PRESIÓN (PSV), 1”, 150, RF, MATERIAL CUERPO ACERO AL CARBONO ASTM A-216 GR. WCB, OBTURADOR RESORTE CALIBRADO, TRIM ASIENTO METALICO, SELLO METALICO, SET POINT 5 KG/CM², ASIENTO METALICO COMPATIBLE CON HIDROCARBUROS, BRIDADO, ACTUADOR RESORTE, SERVICIO HIDROCARBUROS, ESPEC DE DISEÑO ACCION DIRECTA, ESPEC DE PRUEBAS PRUEBA DE ASIENTO Y CALIBRACION EN BANCO, DESCARGA ABIERTA O A LINEA DE VENTEO, BONETE ATORNILLADO, RESORTE CALIBRADO, DISEÑADA PARA DESCARGA ABIERTA O A LÍNEA DE VENTEO, FABRICADA Y PROBADA CONFORME A API 526, API 527 Y ASME SECCIÓN VIII.</t>
  </si>
  <si>
    <t xml:space="preserve">SDM- TAD - TV 13</t>
  </si>
  <si>
    <t xml:space="preserve">SDM- TAD - TV 416 RED CONTRAINCENDIO</t>
  </si>
  <si>
    <t xml:space="preserve">CODO, 90°, R.L., DE, ACERO AL CARBONO, DIAMETRO 3", CEDULA 40, ASTM A-234 GR. WPB, S/C, EXTREMOS BISELADOS, NACE MR0175/ISO 15156, ASME B16.9</t>
  </si>
  <si>
    <t xml:space="preserve">CODO, 45°, R.L., DE, ACERO AL CARBONO, DIAMETRO 3", CEDULA 40, ASTM A-234 GR. WPB, S/C, EXTREMOS BISELADOS, NACE MR0175/ISO 15156, ASME B16.9</t>
  </si>
  <si>
    <t xml:space="preserve">BRIDA, CUELLO SOLDABLE, MATERIAL DE CUERPO ACERO AL CARBON, DIAMETRO 3", CLASE #150, CEDULA 40, R.F, ESPECIFICACION DE MATERIAL ASTM A-105, ISO 15156, ESPECIFICACION DE DISEÑO ASME B16.5</t>
  </si>
  <si>
    <t xml:space="preserve">EMPAQUE ESPIROMETALICO, CGI, DIAMETRO 3", CLASE 150#, TIPO DE CARA RF, ESPESOR 1/8", MATERIAL ANILLO CENTRADOR ACERO AL CARBON, MATERIAL BOBINADO ACERO INOXIDABLE 316, RELLENO GRAFITO PURO FLEXIBLE, DEVANADO EN ESPIRAL DE 3.2 MM, MATERIAL ANILLO INTERIOR ACERO INOXIDABLE UNS S31600, ANSI-ASME B16.20</t>
  </si>
  <si>
    <t xml:space="preserve">ESPARRAGO, DIAMETRO 5/8", LONGITUD 4 3/4", ACERO, ASTM A193 GR. B7M, No TUERCAS 2, HEXAGONAL, ASTM A194 GR. 2HM, CADMIO, CLASE 25 TIPO II, ASTM B-766, PARA BRIDAS 3" Ø CLASE 150 R.F.</t>
  </si>
  <si>
    <t xml:space="preserve">TEE, RECTA, DE, ACERO AL CARBONO, DIAMETRO 3", CEDULA 40, S/C, ASTM A-234 GR. WPB, EXTREMOS BISELADOS, NACE MR0175/ISO 15156, ASME B16.9</t>
  </si>
  <si>
    <t xml:space="preserve">VALVULA DE COMPUERTA, DIAMETRO 3", CLASE 150, EXTREMOS BRIDADOS, R.F., ASTM A-216 GR. WCB, VASTAGO TORNILLO EXTERIOR Y YUGO, ACERO INOXIDABLE UNS S41000, BONNET ATORNILLADO, OPERADA CON ENGRANE, TIPO OBTURADOR CUÑA SÓLIDA O FLEXIBLE, ASIENTOS INTERCAMBIABLES, NACE MR0175 / ISO 15156, ESPECIFICACION DE DISEÑO ASME B16.34, ESPECIFICACION DE PRUEBAS API 598</t>
  </si>
  <si>
    <t xml:space="preserve">FILTRO STRAINER TIPO Y, ACERO AL CARBONO, DIAMETRO 3", BRIDADO, CLASE 150, R.F., ASTM A-216 GR. WCB, ELEMENTO DE FILTRACION MALLA, DE, ACERO INOXIDABLE UNS S41000, NACE MR0175 / ISO 15156</t>
  </si>
  <si>
    <t xml:space="preserve">SDM- TAD - TV 12 RED CONTRAINCENDIO</t>
  </si>
  <si>
    <t xml:space="preserve">SDM-CONT20 TAD </t>
  </si>
  <si>
    <t xml:space="preserve">ELECTRODO REVESTIDO CORTO, E7018, DIAMETRO 1/8" (2.4 MM), LINCOLN ELECTRONIC</t>
  </si>
  <si>
    <t xml:space="preserve">500</t>
  </si>
  <si>
    <t xml:space="preserve">ELECTRODO REVESTIDO CORTO, E7018, DIAMETRO 3/32" (2.4 MM), LINCOLN ELECTRONIC</t>
  </si>
  <si>
    <t xml:space="preserve">ELECTRODO REVESTIDO CORTO, E6010, DIAMETRO 1/8" (2.4 MM) LINCOLN ELECTRONIC</t>
  </si>
  <si>
    <t xml:space="preserve">250</t>
  </si>
  <si>
    <t xml:space="preserve">5006293</t>
  </si>
  <si>
    <t xml:space="preserve">5006294</t>
  </si>
  <si>
    <t xml:space="preserve">5006302</t>
  </si>
  <si>
    <t xml:space="preserve">BLOC HOJAS ISOMETRICAS TAMAÑO CARTA, 50 HOJAS</t>
  </si>
  <si>
    <t xml:space="preserve">SDM- TAD - TV 416</t>
  </si>
  <si>
    <t xml:space="preserve">0209166</t>
  </si>
  <si>
    <t xml:space="preserve">BRIDA, CUELO SOLDABLE, MATERIAL DE CUERPO ACERO AL CARBON, DIAMETRO 12", CLASE 150#, CEDULA 40, R.F, ESPECIFICACION DE MATERIAL ASTM A105, ISO 15156, ESPECIFICACION DE DISEÑO ASME B16.5</t>
  </si>
  <si>
    <t xml:space="preserve">96</t>
  </si>
  <si>
    <t xml:space="preserve">336</t>
  </si>
  <si>
    <t xml:space="preserve">72</t>
  </si>
  <si>
    <t xml:space="preserve">SDM-PERDIZ FASE III COMPLEMENTO</t>
  </si>
  <si>
    <t xml:space="preserve">0212248</t>
  </si>
  <si>
    <t xml:space="preserve">ESPARRAGO, DIAMETRO 5/8", LONGITUD 5-1/4", ACERO AL CARBON, ASTM A193 GR. B7, No TUERCAS 2, HEXAGONAL, ASTM A194 GR. 2H, UNC, CADMIO TROPICALIZADO, 25 MICRAS, ASTM B766</t>
  </si>
  <si>
    <t xml:space="preserve">SDM - VERACRUZ - TURBO 4</t>
  </si>
  <si>
    <t xml:space="preserve">0209315</t>
  </si>
  <si>
    <t xml:space="preserve">BRIDA, CUELLO LARGO, MATERIAL DE CUERPO ACERO AL CARBON, DIAMETRO 1 1/2", CLASE #150, CEDULA 80, R.F, ESPECIFICACION DE MATERIAL ASTM A105, ISO 15156/ NACE MR0175, ESPECIFICACION DE DISEÑO ASME B16.5</t>
  </si>
  <si>
    <t xml:space="preserve">0204067</t>
  </si>
  <si>
    <t xml:space="preserve">REDUCCION, CONCENTRICA, ACERO AL CARBON, DIAMETRO 10” x 6”, CEDULA 80, ASTM A234 GR. WPB, S/C, EXTREMO BISELADOS, ISO 15156, ASME B16.9</t>
  </si>
  <si>
    <t xml:space="preserve">0202186</t>
  </si>
  <si>
    <t xml:space="preserve">TEE, REDUCCIÓN, DE, ACERO AL CARBON, DIAMETRO 2" X 3/4", ASTM A236, EXTREMOS CAJA PARA SOLDAR, CLASE 3000#, ISO 15156/ NACE MR0175, ASME B16.11</t>
  </si>
  <si>
    <t xml:space="preserve">0207017</t>
  </si>
  <si>
    <t xml:space="preserve">COPLE, RECTO, DE, ACERO AL CARBON, DIAMETRO 2", X, 2", ASTM A105, EXTREMO CAJA PARA SOLDAR, X, CAJA PARA SOLDAR, CLASE 3000#, ISO 15156/NACE MR 0175, ASME B16.11</t>
  </si>
  <si>
    <t xml:space="preserve">0209207	</t>
  </si>
  <si>
    <t xml:space="preserve">0201059</t>
  </si>
  <si>
    <t xml:space="preserve">CODO, 90°, R. L., DE, ACERO AL CARBON, DIAMETRO 2", CEDULA 80, ASTM A234 GR. WPB, S/C, EXTREMOS ROSCADOS, CLASE 3000, NACE MR0175, ASME B16.11</t>
  </si>
  <si>
    <t xml:space="preserve">VALVULA DE COMPUERTA, DIAMETRO 3/4", CLASE 800#, EXTREMOS CAJA PARA SOLDAR, MATERIAL DE CUERPO ACERO AL CARBON, ASTM A105, VASTAGO ASCENDENTE, TRIM 8, COMPLETO, BONNET ATORNILLADO, CON VOLANTE, TIPO OBTURADOR CUÑA SOLIDA, NACE MR0175/ISO 15156, ESPECIFICACION DE DISEÑO API 602, ESPECIFICACION DE PRUEBAS API 598</t>
  </si>
  <si>
    <t xml:space="preserve">BRIDA, CIEGA, MATERIAL DE CUERPO ACERO AL CARBON, DIAMETRO 1-1/2", CLASE CLASE 150#, RF, ESPECIFICACION DE MATERIAL ASTM A105, EXTREMO BRIDADO, ISO 15156/MR0175, ESPECIFICACION DE DISEÑO ASME B16.5</t>
  </si>
  <si>
    <t xml:space="preserve">SDM-VALVULA COMPUERTA</t>
  </si>
  <si>
    <t xml:space="preserve">SDM-HIDRATACION TAD</t>
  </si>
  <si>
    <t xml:space="preserve">x</t>
  </si>
  <si>
    <t xml:space="preserve">SDP-VERACRUZ</t>
  </si>
  <si>
    <t xml:space="preserve">0212236</t>
  </si>
  <si>
    <t xml:space="preserve">ESPARRAGO, DIAMETRO 1-1/2", LONGITUD 10-3/4", ACERO, ASTM A193 Gr. B7, No TUERCAS 2, HEXAGONAL, ASTM A194 Gr. 2HM, CADMIO, CLASE 25 TIPO II, ASTM B-766, PARA BRIDAS 16" Ø CLASE 600 R.F</t>
  </si>
  <si>
    <t xml:space="preserve">0301082</t>
  </si>
  <si>
    <t xml:space="preserve">EMPAQUE ESPIROMETALICO, CGI, DIAMETRO 24", CLASE 600#, ESPESOR 1/8, MATERIAL ANILLO CENTRADOR ACERO AL CARBON, MATERIAL BOBINADO ACERO INOXIDABLE 316, RELLENO GRAFITO PURO FLEXIBLE, DEVANADO EN ESPIRAL DE 3.2 MM, MATERIAL ANILLO INTERIOR ACERO INOXIDABLE UNS S31600, ANSI-ASME B16.20</t>
  </si>
  <si>
    <t xml:space="preserve">0301084</t>
  </si>
  <si>
    <t xml:space="preserve">EMPAQUE ESPIROMETALICO, CGI, DIAMETRO 20", CLASE 150#, ESPESOR 1/8, MATERIAL ANILLO CENTRADOR ACERO AL CARBON, MATERIAL BOBINADO ACERO INOXIDABLE 316, RELLENO GRAFITO PURO FLEXIBLE, DEVANADO EN ESPIRAL DE 3.2 MM, MATERIAL ANILLO INTERIOR ACERO INOXIDABLE UNS S31600, ANSI-ASME B16.20</t>
  </si>
  <si>
    <t xml:space="preserve">0212239</t>
  </si>
  <si>
    <t xml:space="preserve">ESPARRAGO, DIAMETRO 1-1/8, LONGITUD 8", ACERO, ASTM A193 Gr. B7, No TUERCAS 2, HEXAGONAL, ASTM A194 Gr. 2HM, CADMIO, CLASE 25 TIPO II, ASTM B-766, PARA BRIDAS 20" Ø CLASE 150 R.F.</t>
  </si>
  <si>
    <t xml:space="preserve">0212240</t>
  </si>
  <si>
    <t xml:space="preserve">ESPARRAGO, DIAMETRO 1-7/8", LONGITUD 15-1/2", ACERO, ASTM A193 Gr. B7, No TUERCAS 2, HEXAGONAL, ASTM A194 Gr. 2HM, CADMIO, CLASE 25 TIPO II, ASTM B-766, PARA BRIDAS 24" Ø CLASE 600 R.F.</t>
  </si>
  <si>
    <t xml:space="preserve">SDM-VERACRUZ</t>
  </si>
  <si>
    <t xml:space="preserve">1407034</t>
  </si>
  <si>
    <t xml:space="preserve">PERFIL PTE, PTR CUADRADO, 3" X 3", CALIBRE 11, 3.60 M</t>
  </si>
  <si>
    <t xml:space="preserve">PLACA DE ACERO, ESPESOR 3/8", ANCHO 4', LONGITUD 10', ASTM A36</t>
  </si>
  <si>
    <t xml:space="preserve">CANAL C, ACERO, DIAMETRO 3", ESPESOR 3/16"</t>
  </si>
  <si>
    <t xml:space="preserve">0212231</t>
  </si>
  <si>
    <t xml:space="preserve">ESPARRAGO, DIAMETRO 1-1/8", LONGITUD 9-3/4", ACERO AL CARBON, ASTM A193 GR. B7M, No TUERCAS 2, HEXAGONAL, ASTM A194 GR. 2HM, CADMIZADO, 25 MICRAS, 25 MICRAS</t>
  </si>
</sst>
</file>

<file path=xl/styles.xml><?xml version="1.0" encoding="utf-8"?>
<styleSheet xmlns="http://schemas.openxmlformats.org/spreadsheetml/2006/main">
  <numFmts count="6">
    <numFmt numFmtId="164" formatCode="General"/>
    <numFmt numFmtId="165" formatCode="dd/mm/yyyy"/>
    <numFmt numFmtId="166" formatCode="@"/>
    <numFmt numFmtId="167" formatCode="_-\$* #,##0.00_-;&quot;-$&quot;* #,##0.00_-;_-\$* \-??_-;_-@_-"/>
    <numFmt numFmtId="168" formatCode="\$#,##0.00;[RED]&quot;-$&quot;#,##0.00"/>
    <numFmt numFmtId="169" formatCode="#,##0.00"/>
  </numFmts>
  <fonts count="12">
    <font>
      <sz val="11"/>
      <color theme="1"/>
      <name val="Aptos Narrow"/>
      <family val="2"/>
    </font>
    <font>
      <sz val="10"/>
      <name val="Arial"/>
      <family val="0"/>
    </font>
    <font>
      <sz val="10"/>
      <name val="Arial"/>
      <family val="0"/>
    </font>
    <font>
      <sz val="10"/>
      <name val="Arial"/>
      <family val="0"/>
    </font>
    <font>
      <sz val="11"/>
      <color theme="1"/>
      <name val="Arial"/>
      <family val="2"/>
    </font>
    <font>
      <b val="true"/>
      <sz val="11"/>
      <color theme="1"/>
      <name val="Arial"/>
      <family val="2"/>
    </font>
    <font>
      <sz val="11"/>
      <color theme="1"/>
      <name val="Arial"/>
      <family val="2"/>
    </font>
    <font>
      <sz val="11"/>
      <color theme="1"/>
      <name val="Arial"/>
      <family val="2"/>
    </font>
    <font>
      <sz val="11"/>
      <color theme="1"/>
      <name val="Corbel"/>
      <family val="2"/>
    </font>
    <font>
      <b val="true"/>
      <sz val="14"/>
      <color theme="1"/>
      <name val="Calibri"/>
      <family val="2"/>
    </font>
    <font>
      <b val="true"/>
      <sz val="16"/>
      <color theme="1"/>
      <name val="Arial"/>
      <family val="2"/>
    </font>
    <font>
      <sz val="10"/>
      <name val="Arial"/>
      <family val="2"/>
    </font>
  </fonts>
  <fills count="11">
    <fill>
      <patternFill patternType="none"/>
    </fill>
    <fill>
      <patternFill patternType="gray125"/>
    </fill>
    <fill>
      <patternFill patternType="solid">
        <fgColor theme="2" tint="-0.9"/>
        <bgColor rgb="FF000000"/>
      </patternFill>
    </fill>
    <fill>
      <patternFill patternType="solid">
        <fgColor theme="3" tint="0.8999"/>
        <bgColor rgb="FFCAEEFB"/>
      </patternFill>
    </fill>
    <fill>
      <patternFill patternType="solid">
        <fgColor rgb="FFFF0000"/>
        <bgColor rgb="FF993300"/>
      </patternFill>
    </fill>
    <fill>
      <patternFill patternType="solid">
        <fgColor theme="9" tint="0.7999"/>
        <bgColor rgb="FFC2F1C8"/>
      </patternFill>
    </fill>
    <fill>
      <patternFill patternType="solid">
        <fgColor theme="0"/>
        <bgColor rgb="FFDCEAF7"/>
      </patternFill>
    </fill>
    <fill>
      <patternFill patternType="solid">
        <fgColor theme="2" tint="-0.75"/>
        <bgColor rgb="FF404040"/>
      </patternFill>
    </fill>
    <fill>
      <patternFill patternType="solid">
        <fgColor theme="6" tint="0.7999"/>
        <bgColor rgb="FFD9F2D0"/>
      </patternFill>
    </fill>
    <fill>
      <patternFill patternType="solid">
        <fgColor theme="7" tint="0.7999"/>
        <bgColor rgb="FFDCEAF7"/>
      </patternFill>
    </fill>
    <fill>
      <patternFill patternType="solid">
        <fgColor theme="5" tint="0.5999"/>
        <bgColor rgb="FFC0C0C0"/>
      </patternFill>
    </fill>
  </fills>
  <borders count="9">
    <border diagonalUp="false" diagonalDown="false">
      <left/>
      <right/>
      <top/>
      <bottom/>
      <diagonal/>
    </border>
    <border diagonalUp="false" diagonalDown="false">
      <left style="thin"/>
      <right style="thin"/>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right/>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cellStyleXfs>
  <cellXfs count="1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5" fontId="6"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6" fontId="4" fillId="3" borderId="2" xfId="0" applyFont="true" applyBorder="true" applyAlignment="true" applyProtection="false">
      <alignment horizontal="center" vertical="center" textRotation="0" wrapText="false" indent="0" shrinkToFit="false"/>
      <protection locked="true" hidden="false"/>
    </xf>
    <xf numFmtId="164" fontId="4" fillId="3" borderId="2" xfId="0" applyFont="true" applyBorder="true" applyAlignment="true" applyProtection="false">
      <alignment horizontal="center" vertical="center" textRotation="0" wrapText="true" indent="0" shrinkToFit="false"/>
      <protection locked="true" hidden="false"/>
    </xf>
    <xf numFmtId="164" fontId="4" fillId="3" borderId="2" xfId="0" applyFont="true" applyBorder="true" applyAlignment="true" applyProtection="false">
      <alignment horizontal="center" vertical="center" textRotation="0" wrapText="false" indent="0" shrinkToFit="false"/>
      <protection locked="true" hidden="false"/>
    </xf>
    <xf numFmtId="164" fontId="4" fillId="3" borderId="2" xfId="0" applyFont="true" applyBorder="true" applyAlignment="true" applyProtection="false">
      <alignment horizontal="left" vertical="center" textRotation="0" wrapText="true" indent="0" shrinkToFit="false"/>
      <protection locked="true" hidden="false"/>
    </xf>
    <xf numFmtId="167" fontId="4" fillId="3" borderId="2" xfId="17" applyFont="true" applyBorder="true" applyAlignment="true" applyProtection="true">
      <alignment horizontal="center" vertical="center" textRotation="0" wrapText="false" indent="0" shrinkToFit="false"/>
      <protection locked="true" hidden="false"/>
    </xf>
    <xf numFmtId="167" fontId="4" fillId="3" borderId="2" xfId="0" applyFont="true" applyBorder="true" applyAlignment="true" applyProtection="false">
      <alignment horizontal="center" vertical="center" textRotation="0" wrapText="false" indent="0" shrinkToFit="false"/>
      <protection locked="true" hidden="false"/>
    </xf>
    <xf numFmtId="164" fontId="4" fillId="3" borderId="2" xfId="0" applyFont="true" applyBorder="true" applyAlignment="true" applyProtection="false">
      <alignment horizontal="left" vertical="center" textRotation="0" wrapText="false" indent="0" shrinkToFit="false"/>
      <protection locked="true" hidden="false"/>
    </xf>
    <xf numFmtId="165" fontId="6" fillId="0" borderId="3"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6" fillId="4" borderId="2" xfId="0" applyFont="true" applyBorder="true" applyAlignment="true" applyProtection="false">
      <alignment horizontal="center" vertical="center" textRotation="0" wrapText="true" indent="0" shrinkToFit="false"/>
      <protection locked="true" hidden="false"/>
    </xf>
    <xf numFmtId="164" fontId="4" fillId="4" borderId="2" xfId="0" applyFont="true" applyBorder="true" applyAlignment="true" applyProtection="false">
      <alignment horizontal="center" vertical="center" textRotation="0" wrapText="true" indent="0" shrinkToFit="false"/>
      <protection locked="true" hidden="false"/>
    </xf>
    <xf numFmtId="164" fontId="4" fillId="4" borderId="2" xfId="0" applyFont="true" applyBorder="true" applyAlignment="true" applyProtection="false">
      <alignment horizontal="center" vertical="center" textRotation="0" wrapText="false" indent="0" shrinkToFit="false"/>
      <protection locked="true" hidden="false"/>
    </xf>
    <xf numFmtId="164" fontId="4" fillId="4"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7" fontId="4" fillId="4" borderId="2" xfId="17" applyFont="true" applyBorder="true" applyAlignment="true" applyProtection="true">
      <alignment horizontal="center" vertical="center" textRotation="0" wrapText="false" indent="0" shrinkToFit="false"/>
      <protection locked="true" hidden="false"/>
    </xf>
    <xf numFmtId="167" fontId="4" fillId="4" borderId="2" xfId="0" applyFont="true" applyBorder="true" applyAlignment="true" applyProtection="false">
      <alignment horizontal="center" vertical="center" textRotation="0" wrapText="false" indent="0" shrinkToFit="false"/>
      <protection locked="true" hidden="false"/>
    </xf>
    <xf numFmtId="167" fontId="4" fillId="0" borderId="0" xfId="0" applyFont="true" applyBorder="false" applyAlignment="true" applyProtection="false">
      <alignment horizontal="center" vertical="center" textRotation="0" wrapText="false" indent="0" shrinkToFit="false"/>
      <protection locked="true" hidden="false"/>
    </xf>
    <xf numFmtId="166" fontId="4" fillId="4" borderId="2" xfId="0" applyFont="true" applyBorder="true" applyAlignment="true" applyProtection="false">
      <alignment horizontal="center" vertical="center" textRotation="0" wrapText="false" indent="0" shrinkToFit="false"/>
      <protection locked="true" hidden="false"/>
    </xf>
    <xf numFmtId="166" fontId="4" fillId="3" borderId="2" xfId="0" applyFont="true" applyBorder="true" applyAlignment="true" applyProtection="false">
      <alignment horizontal="left" vertical="center" textRotation="0" wrapText="true" indent="0" shrinkToFit="false"/>
      <protection locked="true" hidden="false"/>
    </xf>
    <xf numFmtId="168" fontId="4" fillId="3"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6" fontId="4" fillId="3" borderId="2" xfId="0" applyFont="true" applyBorder="true" applyAlignment="true" applyProtection="false">
      <alignment horizontal="center" vertical="center" textRotation="0" wrapText="true" indent="0" shrinkToFit="false"/>
      <protection locked="true" hidden="false"/>
    </xf>
    <xf numFmtId="166" fontId="4" fillId="4" borderId="2" xfId="0" applyFont="true" applyBorder="true" applyAlignment="true" applyProtection="false">
      <alignment horizontal="center" vertical="center" textRotation="0" wrapText="true" indent="0" shrinkToFit="false"/>
      <protection locked="true" hidden="false"/>
    </xf>
    <xf numFmtId="164" fontId="4" fillId="4" borderId="2" xfId="0" applyFont="true" applyBorder="true" applyAlignment="true" applyProtection="false">
      <alignment horizontal="left" vertical="center" textRotation="0" wrapText="fals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4" fontId="7" fillId="3" borderId="5" xfId="0" applyFont="true" applyBorder="true" applyAlignment="true" applyProtection="false">
      <alignment horizontal="center" vertical="center" textRotation="0" wrapText="true" indent="0" shrinkToFit="false"/>
      <protection locked="true" hidden="false"/>
    </xf>
    <xf numFmtId="165" fontId="6" fillId="0" borderId="4"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false" indent="0" shrinkToFit="false"/>
      <protection locked="true" hidden="false"/>
    </xf>
    <xf numFmtId="166" fontId="4" fillId="3" borderId="2" xfId="0" applyFont="true" applyBorder="true" applyAlignment="true" applyProtection="false">
      <alignment horizontal="left" vertical="center" textRotation="0" wrapText="false" indent="0" shrinkToFit="false"/>
      <protection locked="true" hidden="false"/>
    </xf>
    <xf numFmtId="167" fontId="6" fillId="3" borderId="2" xfId="17" applyFont="true" applyBorder="true" applyAlignment="true" applyProtection="true">
      <alignment horizontal="center" vertical="center" textRotation="0" wrapText="false" indent="0" shrinkToFit="false"/>
      <protection locked="true" hidden="false"/>
    </xf>
    <xf numFmtId="164" fontId="4" fillId="5" borderId="2" xfId="0" applyFont="true" applyBorder="true" applyAlignment="true" applyProtection="false">
      <alignment horizontal="center" vertical="center" textRotation="0" wrapText="false" indent="0" shrinkToFit="false"/>
      <protection locked="true" hidden="false"/>
    </xf>
    <xf numFmtId="166" fontId="4" fillId="5" borderId="2" xfId="0" applyFont="true" applyBorder="true" applyAlignment="true" applyProtection="false">
      <alignment horizontal="center" vertical="center" textRotation="0" wrapText="true" indent="0" shrinkToFit="false"/>
      <protection locked="true" hidden="false"/>
    </xf>
    <xf numFmtId="166" fontId="4" fillId="5" borderId="2" xfId="0" applyFont="true" applyBorder="true" applyAlignment="true" applyProtection="false">
      <alignment horizontal="left" vertical="center" textRotation="0" wrapText="false" indent="0" shrinkToFit="false"/>
      <protection locked="true" hidden="false"/>
    </xf>
    <xf numFmtId="166" fontId="4" fillId="4" borderId="2" xfId="0" applyFont="true" applyBorder="true" applyAlignment="true" applyProtection="false">
      <alignment horizontal="left" vertical="center" textRotation="0" wrapText="false" indent="0" shrinkToFit="false"/>
      <protection locked="true" hidden="false"/>
    </xf>
    <xf numFmtId="167" fontId="6" fillId="4" borderId="2" xfId="17" applyFont="true" applyBorder="true" applyAlignment="true" applyProtection="true">
      <alignment horizontal="center" vertical="center" textRotation="0" wrapText="false" indent="0" shrinkToFit="false"/>
      <protection locked="true" hidden="false"/>
    </xf>
    <xf numFmtId="164" fontId="4" fillId="4" borderId="5" xfId="0" applyFont="true" applyBorder="true" applyAlignment="true" applyProtection="false">
      <alignment horizontal="left" vertical="center" textRotation="0" wrapText="true" indent="0" shrinkToFit="false"/>
      <protection locked="true" hidden="false"/>
    </xf>
    <xf numFmtId="166" fontId="4" fillId="3" borderId="6" xfId="0" applyFont="true" applyBorder="true" applyAlignment="true" applyProtection="false">
      <alignment horizontal="center" vertical="center" textRotation="0" wrapText="true" indent="0" shrinkToFit="false"/>
      <protection locked="true" hidden="false"/>
    </xf>
    <xf numFmtId="167" fontId="6" fillId="3" borderId="2" xfId="17"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6" fontId="4" fillId="6" borderId="2"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7" fontId="6" fillId="0" borderId="2" xfId="17" applyFont="true" applyBorder="true" applyAlignment="true" applyProtection="tru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center" vertical="center" textRotation="0" wrapText="false" indent="0" shrinkToFit="false"/>
      <protection locked="true" hidden="false"/>
    </xf>
    <xf numFmtId="166" fontId="4" fillId="6" borderId="2" xfId="0" applyFont="true" applyBorder="true" applyAlignment="true" applyProtection="false">
      <alignment horizontal="center" vertical="center" textRotation="0" wrapText="false" indent="0" shrinkToFit="false"/>
      <protection locked="true" hidden="false"/>
    </xf>
    <xf numFmtId="166" fontId="4" fillId="0" borderId="2"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false" indent="0" shrinkToFit="false"/>
      <protection locked="true" hidden="false"/>
    </xf>
    <xf numFmtId="164" fontId="5" fillId="2" borderId="4" xfId="0" applyFont="true" applyBorder="true" applyAlignment="true" applyProtection="false">
      <alignment horizontal="center" vertical="center" textRotation="0" wrapText="false" indent="0" shrinkToFit="false"/>
      <protection locked="true" hidden="false"/>
    </xf>
    <xf numFmtId="168" fontId="6" fillId="3" borderId="2" xfId="0" applyFont="true" applyBorder="true" applyAlignment="true" applyProtection="false">
      <alignment horizontal="center" vertical="center" textRotation="0" wrapText="true" indent="0" shrinkToFit="false"/>
      <protection locked="true" hidden="false"/>
    </xf>
    <xf numFmtId="168" fontId="6" fillId="4" borderId="2"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6" fontId="4" fillId="4" borderId="2" xfId="0" applyFont="true" applyBorder="true" applyAlignment="true" applyProtection="false">
      <alignment horizontal="left" vertical="center" textRotation="0" wrapText="true" indent="0" shrinkToFit="false"/>
      <protection locked="true" hidden="false"/>
    </xf>
    <xf numFmtId="165" fontId="6" fillId="3" borderId="2"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6" fontId="5" fillId="7" borderId="1" xfId="0" applyFont="true" applyBorder="true" applyAlignment="true" applyProtection="false">
      <alignment horizontal="center" vertical="center" textRotation="0" wrapText="false" indent="0" shrinkToFit="false"/>
      <protection locked="true" hidden="false"/>
    </xf>
    <xf numFmtId="165" fontId="4" fillId="0" borderId="2"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5" fillId="7" borderId="2" xfId="0" applyFont="true" applyBorder="true" applyAlignment="true" applyProtection="false">
      <alignment horizontal="center" vertical="center" textRotation="0" wrapText="false" indent="0" shrinkToFit="false"/>
      <protection locked="true" hidden="false"/>
    </xf>
    <xf numFmtId="165" fontId="6" fillId="6" borderId="2" xfId="0" applyFont="true" applyBorder="true" applyAlignment="true" applyProtection="false">
      <alignment horizontal="center" vertical="center" textRotation="0" wrapText="true" indent="0" shrinkToFit="false"/>
      <protection locked="true" hidden="false"/>
    </xf>
    <xf numFmtId="164" fontId="6" fillId="6" borderId="2" xfId="0" applyFont="true" applyBorder="true" applyAlignment="true" applyProtection="false">
      <alignment horizontal="center" vertical="center" textRotation="0" wrapText="false" indent="0" shrinkToFit="false"/>
      <protection locked="true" hidden="false"/>
    </xf>
    <xf numFmtId="164" fontId="6" fillId="6" borderId="2" xfId="0" applyFont="true" applyBorder="true" applyAlignment="true" applyProtection="false">
      <alignment horizontal="center" vertical="center" textRotation="0" wrapText="true" indent="0" shrinkToFit="false"/>
      <protection locked="true" hidden="false"/>
    </xf>
    <xf numFmtId="165" fontId="4" fillId="0" borderId="2" xfId="0" applyFont="true" applyBorder="true" applyAlignment="true" applyProtection="false">
      <alignment horizontal="center" vertical="center" textRotation="0" wrapText="true" indent="0" shrinkToFit="false"/>
      <protection locked="true" hidden="false"/>
    </xf>
    <xf numFmtId="167" fontId="4" fillId="3" borderId="2" xfId="17" applyFont="true" applyBorder="true" applyAlignment="true" applyProtection="true">
      <alignment horizontal="center" vertical="center" textRotation="0" wrapText="true" indent="0" shrinkToFit="false"/>
      <protection locked="true" hidden="false"/>
    </xf>
    <xf numFmtId="166" fontId="4" fillId="0" borderId="2" xfId="0" applyFont="true" applyBorder="true" applyAlignment="true" applyProtection="false">
      <alignment horizontal="left" vertical="center" textRotation="0" wrapText="true" indent="0" shrinkToFit="false"/>
      <protection locked="true" hidden="false"/>
    </xf>
    <xf numFmtId="167" fontId="4" fillId="0" borderId="2" xfId="17" applyFont="true" applyBorder="true" applyAlignment="true" applyProtection="true">
      <alignment horizontal="center" vertical="center" textRotation="0" wrapText="false" indent="0" shrinkToFit="false"/>
      <protection locked="true" hidden="false"/>
    </xf>
    <xf numFmtId="165" fontId="4" fillId="0" borderId="4"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true" indent="0" shrinkToFit="false"/>
      <protection locked="true" hidden="false"/>
    </xf>
    <xf numFmtId="168" fontId="4" fillId="3" borderId="2" xfId="17" applyFont="true" applyBorder="true" applyAlignment="true" applyProtection="tru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6" fontId="4" fillId="3" borderId="4" xfId="0" applyFont="true" applyBorder="true" applyAlignment="true" applyProtection="false">
      <alignment horizontal="center" vertical="center" textRotation="0" wrapText="false" indent="0" shrinkToFit="false"/>
      <protection locked="true" hidden="false"/>
    </xf>
    <xf numFmtId="164" fontId="4" fillId="3" borderId="4" xfId="0" applyFont="true" applyBorder="true" applyAlignment="true" applyProtection="false">
      <alignment horizontal="left" vertical="center" textRotation="0" wrapText="true" indent="0" shrinkToFit="false"/>
      <protection locked="true" hidden="false"/>
    </xf>
    <xf numFmtId="166" fontId="4" fillId="0" borderId="2"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left" vertical="center" textRotation="0" wrapText="false" indent="0" shrinkToFit="false"/>
      <protection locked="true" hidden="false"/>
    </xf>
    <xf numFmtId="167" fontId="4" fillId="0" borderId="2" xfId="17" applyFont="true" applyBorder="true" applyAlignment="true" applyProtection="true">
      <alignment horizontal="center" vertical="center" textRotation="0" wrapText="true" indent="0" shrinkToFit="false"/>
      <protection locked="true" hidden="false"/>
    </xf>
    <xf numFmtId="167" fontId="4" fillId="0" borderId="2" xfId="0" applyFont="true" applyBorder="true" applyAlignment="true" applyProtection="false">
      <alignment horizontal="center" vertical="center" textRotation="0" wrapText="false" indent="0" shrinkToFit="false"/>
      <protection locked="true" hidden="false"/>
    </xf>
    <xf numFmtId="165" fontId="4" fillId="5" borderId="2" xfId="0" applyFont="true" applyBorder="true" applyAlignment="true" applyProtection="false">
      <alignment horizontal="center" vertical="center" textRotation="0" wrapText="false" indent="0" shrinkToFit="false"/>
      <protection locked="true" hidden="false"/>
    </xf>
    <xf numFmtId="164" fontId="4" fillId="5" borderId="2" xfId="0" applyFont="true" applyBorder="true" applyAlignment="true" applyProtection="false">
      <alignment horizontal="center" vertical="center" textRotation="0" wrapText="true" indent="0" shrinkToFit="false"/>
      <protection locked="true" hidden="false"/>
    </xf>
    <xf numFmtId="166" fontId="6" fillId="5" borderId="2" xfId="0" applyFont="true" applyBorder="true" applyAlignment="true" applyProtection="false">
      <alignment horizontal="center" vertical="center" textRotation="0" wrapText="true" indent="0" shrinkToFit="false"/>
      <protection locked="true" hidden="false"/>
    </xf>
    <xf numFmtId="164" fontId="6" fillId="5" borderId="2" xfId="0" applyFont="true" applyBorder="true" applyAlignment="true" applyProtection="false">
      <alignment horizontal="center" vertical="center" textRotation="0" wrapText="true" indent="0" shrinkToFit="false"/>
      <protection locked="true" hidden="false"/>
    </xf>
    <xf numFmtId="164" fontId="6" fillId="5" borderId="2" xfId="0" applyFont="true" applyBorder="true" applyAlignment="true" applyProtection="false">
      <alignment horizontal="center" vertical="center" textRotation="0" wrapText="false" indent="0" shrinkToFit="false"/>
      <protection locked="true" hidden="false"/>
    </xf>
    <xf numFmtId="164" fontId="6" fillId="5" borderId="2" xfId="0" applyFont="true" applyBorder="true" applyAlignment="true" applyProtection="false">
      <alignment horizontal="left" vertical="center" textRotation="0" wrapText="true" indent="0" shrinkToFit="false"/>
      <protection locked="true" hidden="false"/>
    </xf>
    <xf numFmtId="167" fontId="4" fillId="5" borderId="2" xfId="17" applyFont="true" applyBorder="true" applyAlignment="true" applyProtection="true">
      <alignment horizontal="center" vertical="center" textRotation="0" wrapText="true" indent="0" shrinkToFit="false"/>
      <protection locked="true" hidden="false"/>
    </xf>
    <xf numFmtId="167" fontId="4" fillId="5" borderId="2" xfId="0" applyFont="true" applyBorder="true" applyAlignment="true" applyProtection="false">
      <alignment horizontal="center" vertical="center" textRotation="0" wrapText="false" indent="0" shrinkToFit="false"/>
      <protection locked="true" hidden="false"/>
    </xf>
    <xf numFmtId="164" fontId="4" fillId="5" borderId="2" xfId="0" applyFont="true" applyBorder="true" applyAlignment="true" applyProtection="false">
      <alignment horizontal="left" vertical="center" textRotation="0" wrapText="true" indent="0" shrinkToFit="false"/>
      <protection locked="true" hidden="false"/>
    </xf>
    <xf numFmtId="166" fontId="5" fillId="7" borderId="2"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8" fontId="4" fillId="0" borderId="2" xfId="0" applyFont="true" applyBorder="true" applyAlignment="true" applyProtection="false">
      <alignment horizontal="center" vertical="center" textRotation="0" wrapText="false" indent="0" shrinkToFit="false"/>
      <protection locked="true" hidden="false"/>
    </xf>
    <xf numFmtId="164" fontId="5" fillId="7" borderId="6" xfId="0" applyFont="true" applyBorder="true" applyAlignment="true" applyProtection="false">
      <alignment horizontal="center" vertical="center" textRotation="0" wrapText="false" indent="0" shrinkToFit="false"/>
      <protection locked="true" hidden="false"/>
    </xf>
    <xf numFmtId="164" fontId="5" fillId="7" borderId="7" xfId="0" applyFont="true" applyBorder="true" applyAlignment="true" applyProtection="false">
      <alignment horizontal="center" vertical="center" textRotation="0" wrapText="false" indent="0" shrinkToFit="false"/>
      <protection locked="true" hidden="false"/>
    </xf>
    <xf numFmtId="164" fontId="4" fillId="3" borderId="2" xfId="0" applyFont="true" applyBorder="true" applyAlignment="true" applyProtection="false">
      <alignment horizontal="general" vertical="center" textRotation="0" wrapText="tru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center" textRotation="0" wrapText="tru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4" fontId="5" fillId="7" borderId="4"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5" fontId="6" fillId="0" borderId="2" xfId="0" applyFont="true" applyBorder="true" applyAlignment="true" applyProtection="false">
      <alignment horizontal="center" vertical="center" textRotation="0" wrapText="false" indent="0" shrinkToFit="false"/>
      <protection locked="true" hidden="false"/>
    </xf>
    <xf numFmtId="166" fontId="4" fillId="0" borderId="2" xfId="0" applyFont="true" applyBorder="true" applyAlignment="true" applyProtection="false">
      <alignment horizontal="left" vertical="center" textRotation="0" wrapText="false" indent="0" shrinkToFit="false"/>
      <protection locked="true" hidden="false"/>
    </xf>
    <xf numFmtId="164" fontId="4" fillId="0" borderId="8"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6" fontId="6" fillId="0" borderId="2" xfId="0" applyFont="true" applyBorder="true" applyAlignment="true" applyProtection="false">
      <alignment horizontal="center" vertical="center" textRotation="0" wrapText="true" indent="0" shrinkToFit="false"/>
      <protection locked="true" hidden="false"/>
    </xf>
    <xf numFmtId="165" fontId="4" fillId="0" borderId="3" xfId="0" applyFont="true" applyBorder="true" applyAlignment="true" applyProtection="false">
      <alignment horizontal="center" vertical="center" textRotation="0" wrapText="true" indent="0" shrinkToFit="false"/>
      <protection locked="true" hidden="false"/>
    </xf>
    <xf numFmtId="164" fontId="4" fillId="0" borderId="3"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5" fontId="4" fillId="8" borderId="2" xfId="0" applyFont="true" applyBorder="true" applyAlignment="true" applyProtection="false">
      <alignment horizontal="center" vertical="center" textRotation="0" wrapText="false" indent="0" shrinkToFit="false"/>
      <protection locked="true" hidden="false"/>
    </xf>
    <xf numFmtId="164" fontId="4" fillId="8" borderId="2" xfId="0" applyFont="true" applyBorder="true" applyAlignment="true" applyProtection="false">
      <alignment horizontal="center" vertical="center" textRotation="0" wrapText="false" indent="0" shrinkToFit="false"/>
      <protection locked="true" hidden="false"/>
    </xf>
    <xf numFmtId="164" fontId="4" fillId="8" borderId="2" xfId="0" applyFont="true" applyBorder="true" applyAlignment="true" applyProtection="false">
      <alignment horizontal="center" vertical="center" textRotation="0" wrapText="true" indent="0" shrinkToFit="false"/>
      <protection locked="true" hidden="false"/>
    </xf>
    <xf numFmtId="164" fontId="4" fillId="8" borderId="2" xfId="0" applyFont="true" applyBorder="true" applyAlignment="true" applyProtection="false">
      <alignment horizontal="left" vertical="center" textRotation="0" wrapText="false" indent="0" shrinkToFit="false"/>
      <protection locked="true" hidden="false"/>
    </xf>
    <xf numFmtId="167" fontId="4" fillId="8" borderId="2" xfId="17" applyFont="true" applyBorder="tru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5" fontId="4" fillId="9" borderId="2" xfId="0" applyFont="true" applyBorder="true" applyAlignment="true" applyProtection="false">
      <alignment horizontal="center" vertical="center" textRotation="0" wrapText="false" indent="0" shrinkToFit="false"/>
      <protection locked="true" hidden="false"/>
    </xf>
    <xf numFmtId="164" fontId="4" fillId="9" borderId="2" xfId="0" applyFont="true" applyBorder="true" applyAlignment="true" applyProtection="false">
      <alignment horizontal="center" vertical="center" textRotation="0" wrapText="false" indent="0" shrinkToFit="false"/>
      <protection locked="true" hidden="false"/>
    </xf>
    <xf numFmtId="164" fontId="4" fillId="9" borderId="2" xfId="0" applyFont="true" applyBorder="true" applyAlignment="true" applyProtection="false">
      <alignment horizontal="center" vertical="center" textRotation="0" wrapText="true" indent="0" shrinkToFit="false"/>
      <protection locked="true" hidden="false"/>
    </xf>
    <xf numFmtId="166" fontId="4" fillId="9" borderId="2" xfId="0" applyFont="true" applyBorder="true" applyAlignment="true" applyProtection="false">
      <alignment horizontal="center" vertical="center" textRotation="0" wrapText="false" indent="0" shrinkToFit="false"/>
      <protection locked="true" hidden="false"/>
    </xf>
    <xf numFmtId="164" fontId="4" fillId="9" borderId="2" xfId="0" applyFont="true" applyBorder="true" applyAlignment="true" applyProtection="false">
      <alignment horizontal="left" vertical="center" textRotation="0" wrapText="false" indent="0" shrinkToFit="false"/>
      <protection locked="true" hidden="false"/>
    </xf>
    <xf numFmtId="169" fontId="4" fillId="9" borderId="2" xfId="0" applyFont="true" applyBorder="true" applyAlignment="true" applyProtection="false">
      <alignment horizontal="center" vertical="center" textRotation="0" wrapText="false" indent="0" shrinkToFit="false"/>
      <protection locked="true" hidden="false"/>
    </xf>
    <xf numFmtId="167" fontId="4" fillId="9" borderId="2" xfId="0" applyFont="true" applyBorder="true" applyAlignment="true" applyProtection="false">
      <alignment horizontal="center" vertical="center" textRotation="0" wrapText="false" indent="0" shrinkToFit="false"/>
      <protection locked="true" hidden="false"/>
    </xf>
    <xf numFmtId="164" fontId="9" fillId="2" borderId="4"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5" fontId="8" fillId="0"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0" fillId="3" borderId="2" xfId="0" applyFont="true" applyBorder="true" applyAlignment="true" applyProtection="false">
      <alignment horizontal="center" vertical="center" textRotation="0" wrapText="fals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8" fillId="3" borderId="2" xfId="0" applyFont="true" applyBorder="true" applyAlignment="true" applyProtection="false">
      <alignment horizontal="left" vertical="center" textRotation="0" wrapText="false" indent="0" shrinkToFit="false"/>
      <protection locked="true" hidden="false"/>
    </xf>
    <xf numFmtId="166" fontId="8" fillId="3" borderId="2" xfId="0" applyFont="true" applyBorder="true" applyAlignment="true" applyProtection="false">
      <alignment horizontal="center" vertical="center" textRotation="0" wrapText="true" indent="0" shrinkToFit="false"/>
      <protection locked="true" hidden="false"/>
    </xf>
    <xf numFmtId="167" fontId="8" fillId="3" borderId="2" xfId="17" applyFont="true" applyBorder="true" applyAlignment="true" applyProtection="true">
      <alignment horizontal="center" vertical="center" textRotation="0" wrapText="false" indent="0" shrinkToFit="false"/>
      <protection locked="true" hidden="false"/>
    </xf>
    <xf numFmtId="164" fontId="8" fillId="10" borderId="2"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4" fontId="4" fillId="6" borderId="2"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6" fillId="6" borderId="2" xfId="0" applyFont="true" applyBorder="true" applyAlignment="true" applyProtection="false">
      <alignment horizontal="left" vertical="center" textRotation="0" wrapText="true" indent="0" shrinkToFit="false"/>
      <protection locked="true" hidden="false"/>
    </xf>
    <xf numFmtId="166" fontId="5" fillId="2"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5" fontId="4"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ont>
        <name val="Aptos Narrow"/>
        <family val="2"/>
        <color rgb="FF000000"/>
        <sz val="11"/>
      </font>
      <fill>
        <patternFill>
          <bgColor theme="3" tint="0.8999"/>
        </patternFill>
      </fill>
    </dxf>
    <dxf>
      <fill>
        <patternFill patternType="solid">
          <fgColor rgb="FF171717"/>
          <bgColor rgb="FF000000"/>
        </patternFill>
      </fill>
    </dxf>
    <dxf>
      <fill>
        <patternFill patternType="solid">
          <fgColor rgb="FF3A3A3A"/>
          <bgColor rgb="FF000000"/>
        </patternFill>
      </fill>
    </dxf>
    <dxf>
      <fill>
        <patternFill patternType="solid">
          <fgColor rgb="FFC2F1C8"/>
          <bgColor rgb="FF000000"/>
        </patternFill>
      </fill>
    </dxf>
    <dxf>
      <fill>
        <patternFill patternType="solid">
          <fgColor rgb="FFCAEEFB"/>
          <bgColor rgb="FF000000"/>
        </patternFill>
      </fill>
    </dxf>
    <dxf>
      <fill>
        <patternFill patternType="solid">
          <bgColor rgb="FF000000"/>
        </patternFill>
      </fill>
    </dxf>
    <dxf>
      <fill>
        <patternFill patternType="solid">
          <fgColor rgb="FF000000"/>
          <bgColor rgb="FF000000"/>
        </patternFill>
      </fill>
    </dxf>
    <dxf>
      <fill>
        <patternFill patternType="solid">
          <fgColor rgb="FFFFC000"/>
          <bgColor rgb="FF000000"/>
        </patternFill>
      </fill>
    </dxf>
    <dxf>
      <fill>
        <patternFill patternType="solid">
          <fgColor rgb="FFFFFFFF"/>
          <bgColor rgb="FF000000"/>
        </patternFill>
      </fill>
    </dxf>
    <dxf>
      <fill>
        <patternFill patternType="solid">
          <fgColor rgb="FFDCEAF7"/>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D9F2D0"/>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AF7"/>
      <rgbColor rgb="FFC2F1C8"/>
      <rgbColor rgb="FFFFFF99"/>
      <rgbColor rgb="FF99CCFF"/>
      <rgbColor rgb="FFFF99CC"/>
      <rgbColor rgb="FFCC99FF"/>
      <rgbColor rgb="FFF6C6AD"/>
      <rgbColor rgb="FF3366FF"/>
      <rgbColor rgb="FF33CCCC"/>
      <rgbColor rgb="FF99CC00"/>
      <rgbColor rgb="FFFFC000"/>
      <rgbColor rgb="FFFF9900"/>
      <rgbColor rgb="FFFF6600"/>
      <rgbColor rgb="FF666699"/>
      <rgbColor rgb="FF969696"/>
      <rgbColor rgb="FF003366"/>
      <rgbColor rgb="FF339966"/>
      <rgbColor rgb="FF171717"/>
      <rgbColor rgb="FF404040"/>
      <rgbColor rgb="FF993300"/>
      <rgbColor rgb="FF993366"/>
      <rgbColor rgb="FF333399"/>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88"/>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F488" activeCellId="0" sqref="F488"/>
    </sheetView>
  </sheetViews>
  <sheetFormatPr defaultColWidth="11.55859375" defaultRowHeight="13.5" zeroHeight="false" outlineLevelRow="0" outlineLevelCol="0"/>
  <cols>
    <col collapsed="false" customWidth="true" hidden="false" outlineLevel="0" max="1" min="1" style="1" width="14.22"/>
    <col collapsed="false" customWidth="true" hidden="false" outlineLevel="0" max="2" min="2" style="1" width="10.11"/>
    <col collapsed="false" customWidth="true" hidden="false" outlineLevel="0" max="3" min="3" style="1" width="19.11"/>
    <col collapsed="false" customWidth="true" hidden="false" outlineLevel="0" max="4" min="4" style="1" width="23.89"/>
    <col collapsed="false" customWidth="true" hidden="false" outlineLevel="0" max="5" min="5" style="1" width="16.78"/>
    <col collapsed="false" customWidth="true" hidden="false" outlineLevel="0" max="6" min="6" style="1" width="14.11"/>
    <col collapsed="false" customWidth="true" hidden="false" outlineLevel="0" max="7" min="7" style="1" width="10.22"/>
    <col collapsed="false" customWidth="true" hidden="false" outlineLevel="0" max="8" min="8" style="1" width="9.56"/>
    <col collapsed="false" customWidth="true" hidden="false" outlineLevel="0" max="9" min="9" style="2" width="96.78"/>
    <col collapsed="false" customWidth="true" hidden="false" outlineLevel="0" max="10" min="10" style="1" width="6.67"/>
    <col collapsed="false" customWidth="true" hidden="false" outlineLevel="0" max="11" min="11" style="1" width="8.33"/>
    <col collapsed="false" customWidth="true" hidden="false" outlineLevel="0" max="12" min="12" style="1" width="14.22"/>
    <col collapsed="false" customWidth="true" hidden="false" outlineLevel="0" max="13" min="13" style="1" width="13.89"/>
    <col collapsed="false" customWidth="true" hidden="false" outlineLevel="0" max="14" min="14" style="1" width="32.22"/>
    <col collapsed="false" customWidth="true" hidden="false" outlineLevel="0" max="15" min="15" style="1" width="15.33"/>
    <col collapsed="false" customWidth="false" hidden="false" outlineLevel="0" max="16384" min="16" style="1" width="11.55"/>
  </cols>
  <sheetData>
    <row r="1" customFormat="false" ht="13.5" hidden="false" customHeight="false" outlineLevel="0" collapsed="false">
      <c r="A1" s="3" t="s">
        <v>0</v>
      </c>
      <c r="B1" s="3" t="s">
        <v>1</v>
      </c>
      <c r="C1" s="3" t="s">
        <v>2</v>
      </c>
      <c r="D1" s="3" t="s">
        <v>3</v>
      </c>
      <c r="E1" s="3"/>
      <c r="F1" s="3" t="s">
        <v>4</v>
      </c>
      <c r="G1" s="3" t="s">
        <v>5</v>
      </c>
      <c r="H1" s="3" t="s">
        <v>6</v>
      </c>
      <c r="I1" s="3" t="s">
        <v>7</v>
      </c>
      <c r="J1" s="3" t="s">
        <v>8</v>
      </c>
      <c r="K1" s="3" t="s">
        <v>9</v>
      </c>
      <c r="L1" s="3" t="s">
        <v>10</v>
      </c>
      <c r="M1" s="3" t="s">
        <v>11</v>
      </c>
      <c r="N1" s="3" t="s">
        <v>12</v>
      </c>
    </row>
    <row r="2" customFormat="false" ht="13.5" hidden="false" customHeight="true" outlineLevel="0" collapsed="false">
      <c r="A2" s="4" t="n">
        <v>46031</v>
      </c>
      <c r="B2" s="5" t="n">
        <v>170896</v>
      </c>
      <c r="C2" s="6" t="s">
        <v>13</v>
      </c>
      <c r="D2" s="6" t="s">
        <v>14</v>
      </c>
      <c r="E2" s="6"/>
      <c r="F2" s="7" t="s">
        <v>15</v>
      </c>
      <c r="G2" s="8" t="n">
        <v>140567</v>
      </c>
      <c r="H2" s="9" t="n">
        <v>1</v>
      </c>
      <c r="I2" s="10" t="s">
        <v>16</v>
      </c>
      <c r="J2" s="9" t="n">
        <v>2</v>
      </c>
      <c r="K2" s="9" t="s">
        <v>17</v>
      </c>
      <c r="L2" s="11" t="n">
        <v>50</v>
      </c>
      <c r="M2" s="12" t="n">
        <v>100</v>
      </c>
      <c r="N2" s="9" t="s">
        <v>18</v>
      </c>
    </row>
    <row r="3" customFormat="false" ht="26.85" hidden="false" customHeight="false" outlineLevel="0" collapsed="false">
      <c r="A3" s="4"/>
      <c r="B3" s="5"/>
      <c r="C3" s="6"/>
      <c r="D3" s="6"/>
      <c r="E3" s="6"/>
      <c r="F3" s="7" t="s">
        <v>19</v>
      </c>
      <c r="G3" s="8" t="n">
        <v>140567</v>
      </c>
      <c r="H3" s="9" t="n">
        <v>2</v>
      </c>
      <c r="I3" s="10" t="s">
        <v>20</v>
      </c>
      <c r="J3" s="9" t="n">
        <v>8</v>
      </c>
      <c r="K3" s="9" t="s">
        <v>21</v>
      </c>
      <c r="L3" s="11" t="n">
        <v>18</v>
      </c>
      <c r="M3" s="12" t="n">
        <v>144</v>
      </c>
      <c r="N3" s="9" t="s">
        <v>18</v>
      </c>
    </row>
    <row r="4" customFormat="false" ht="13.5" hidden="false" customHeight="false" outlineLevel="0" collapsed="false">
      <c r="A4" s="4"/>
      <c r="B4" s="5"/>
      <c r="C4" s="6"/>
      <c r="D4" s="6"/>
      <c r="E4" s="6"/>
      <c r="F4" s="7" t="s">
        <v>22</v>
      </c>
      <c r="G4" s="8" t="n">
        <v>140567</v>
      </c>
      <c r="H4" s="9" t="n">
        <v>3</v>
      </c>
      <c r="I4" s="13" t="s">
        <v>23</v>
      </c>
      <c r="J4" s="9" t="n">
        <v>8</v>
      </c>
      <c r="K4" s="9" t="s">
        <v>24</v>
      </c>
      <c r="L4" s="11" t="n">
        <v>28</v>
      </c>
      <c r="M4" s="12" t="n">
        <v>224</v>
      </c>
      <c r="N4" s="9" t="s">
        <v>18</v>
      </c>
    </row>
    <row r="5" customFormat="false" ht="13.5" hidden="false" customHeight="false" outlineLevel="0" collapsed="false">
      <c r="A5" s="4"/>
      <c r="B5" s="5"/>
      <c r="C5" s="6"/>
      <c r="D5" s="6"/>
      <c r="E5" s="6"/>
      <c r="F5" s="7" t="s">
        <v>25</v>
      </c>
      <c r="G5" s="8" t="n">
        <v>140567</v>
      </c>
      <c r="H5" s="9" t="n">
        <v>4</v>
      </c>
      <c r="I5" s="13" t="s">
        <v>26</v>
      </c>
      <c r="J5" s="9" t="n">
        <v>4</v>
      </c>
      <c r="K5" s="9" t="s">
        <v>21</v>
      </c>
      <c r="L5" s="11" t="n">
        <v>19</v>
      </c>
      <c r="M5" s="12" t="n">
        <v>76</v>
      </c>
      <c r="N5" s="9" t="s">
        <v>18</v>
      </c>
    </row>
    <row r="6" customFormat="false" ht="13.5" hidden="false" customHeight="false" outlineLevel="0" collapsed="false">
      <c r="A6" s="4"/>
      <c r="B6" s="5"/>
      <c r="C6" s="6"/>
      <c r="D6" s="6"/>
      <c r="E6" s="6"/>
      <c r="F6" s="7" t="s">
        <v>27</v>
      </c>
      <c r="G6" s="8" t="n">
        <v>140567</v>
      </c>
      <c r="H6" s="9" t="n">
        <v>5</v>
      </c>
      <c r="I6" s="13" t="s">
        <v>28</v>
      </c>
      <c r="J6" s="9" t="n">
        <v>4</v>
      </c>
      <c r="K6" s="9" t="s">
        <v>21</v>
      </c>
      <c r="L6" s="11" t="n">
        <v>19</v>
      </c>
      <c r="M6" s="12" t="n">
        <v>76</v>
      </c>
      <c r="N6" s="9" t="s">
        <v>18</v>
      </c>
    </row>
    <row r="7" customFormat="false" ht="26.85" hidden="false" customHeight="false" outlineLevel="0" collapsed="false">
      <c r="A7" s="4"/>
      <c r="B7" s="5"/>
      <c r="C7" s="6"/>
      <c r="D7" s="6"/>
      <c r="E7" s="6"/>
      <c r="F7" s="7" t="s">
        <v>29</v>
      </c>
      <c r="G7" s="8" t="n">
        <v>140567</v>
      </c>
      <c r="H7" s="9" t="n">
        <v>6</v>
      </c>
      <c r="I7" s="10" t="s">
        <v>30</v>
      </c>
      <c r="J7" s="9" t="n">
        <v>80</v>
      </c>
      <c r="K7" s="9" t="s">
        <v>31</v>
      </c>
      <c r="L7" s="11" t="n">
        <v>39</v>
      </c>
      <c r="M7" s="12" t="n">
        <v>3120</v>
      </c>
      <c r="N7" s="9" t="s">
        <v>18</v>
      </c>
    </row>
    <row r="8" customFormat="false" ht="13.5" hidden="false" customHeight="false" outlineLevel="0" collapsed="false">
      <c r="A8" s="3" t="s">
        <v>0</v>
      </c>
      <c r="B8" s="3" t="s">
        <v>1</v>
      </c>
      <c r="C8" s="3" t="s">
        <v>2</v>
      </c>
      <c r="D8" s="3" t="s">
        <v>3</v>
      </c>
      <c r="E8" s="3"/>
      <c r="F8" s="3" t="s">
        <v>4</v>
      </c>
      <c r="G8" s="3" t="s">
        <v>5</v>
      </c>
      <c r="H8" s="3" t="s">
        <v>6</v>
      </c>
      <c r="I8" s="3" t="s">
        <v>7</v>
      </c>
      <c r="J8" s="3" t="s">
        <v>8</v>
      </c>
      <c r="K8" s="3" t="s">
        <v>9</v>
      </c>
      <c r="L8" s="3" t="s">
        <v>10</v>
      </c>
      <c r="M8" s="3" t="s">
        <v>11</v>
      </c>
      <c r="N8" s="3" t="s">
        <v>12</v>
      </c>
    </row>
    <row r="9" customFormat="false" ht="26.85" hidden="false" customHeight="true" outlineLevel="0" collapsed="false">
      <c r="A9" s="14" t="n">
        <v>45669</v>
      </c>
      <c r="B9" s="15" t="n">
        <v>170976</v>
      </c>
      <c r="C9" s="16" t="s">
        <v>32</v>
      </c>
      <c r="D9" s="16" t="s">
        <v>33</v>
      </c>
      <c r="E9" s="17"/>
      <c r="F9" s="18" t="s">
        <v>34</v>
      </c>
      <c r="G9" s="19" t="n">
        <v>141272</v>
      </c>
      <c r="H9" s="20" t="n">
        <v>3</v>
      </c>
      <c r="I9" s="21" t="s">
        <v>35</v>
      </c>
      <c r="J9" s="22" t="n">
        <v>24</v>
      </c>
      <c r="K9" s="19" t="s">
        <v>36</v>
      </c>
      <c r="L9" s="23" t="n">
        <v>1582.96</v>
      </c>
      <c r="M9" s="24" t="n">
        <f aca="false">L9*J9</f>
        <v>37991.04</v>
      </c>
      <c r="N9" s="20" t="s">
        <v>37</v>
      </c>
    </row>
    <row r="10" customFormat="false" ht="26.85" hidden="false" customHeight="false" outlineLevel="0" collapsed="false">
      <c r="A10" s="14"/>
      <c r="B10" s="15"/>
      <c r="C10" s="16"/>
      <c r="D10" s="16"/>
      <c r="E10" s="17"/>
      <c r="F10" s="18" t="s">
        <v>38</v>
      </c>
      <c r="G10" s="19" t="n">
        <v>141272</v>
      </c>
      <c r="H10" s="20" t="n">
        <v>7</v>
      </c>
      <c r="I10" s="21" t="s">
        <v>39</v>
      </c>
      <c r="J10" s="22" t="n">
        <v>12</v>
      </c>
      <c r="K10" s="19" t="s">
        <v>40</v>
      </c>
      <c r="L10" s="23" t="n">
        <v>1354.65</v>
      </c>
      <c r="M10" s="24" t="n">
        <f aca="false">L10*J10</f>
        <v>16255.8</v>
      </c>
      <c r="N10" s="20" t="s">
        <v>37</v>
      </c>
    </row>
    <row r="11" customFormat="false" ht="13.5" hidden="false" customHeight="false" outlineLevel="0" collapsed="false">
      <c r="A11" s="14"/>
      <c r="B11" s="15"/>
      <c r="C11" s="16"/>
      <c r="D11" s="16"/>
      <c r="E11" s="17"/>
      <c r="F11" s="18" t="s">
        <v>41</v>
      </c>
      <c r="G11" s="19" t="n">
        <v>141272</v>
      </c>
      <c r="H11" s="20" t="n">
        <v>11</v>
      </c>
      <c r="I11" s="21" t="s">
        <v>42</v>
      </c>
      <c r="J11" s="22" t="n">
        <v>4</v>
      </c>
      <c r="K11" s="19" t="s">
        <v>40</v>
      </c>
      <c r="L11" s="23" t="n">
        <v>1616.92</v>
      </c>
      <c r="M11" s="24" t="n">
        <f aca="false">L11*J11</f>
        <v>6467.68</v>
      </c>
      <c r="N11" s="20" t="s">
        <v>37</v>
      </c>
    </row>
    <row r="12" customFormat="false" ht="39.55" hidden="false" customHeight="false" outlineLevel="0" collapsed="false">
      <c r="A12" s="14"/>
      <c r="B12" s="15"/>
      <c r="C12" s="16"/>
      <c r="D12" s="16"/>
      <c r="E12" s="17"/>
      <c r="F12" s="18" t="s">
        <v>43</v>
      </c>
      <c r="G12" s="18" t="s">
        <v>44</v>
      </c>
      <c r="H12" s="20" t="n">
        <v>24</v>
      </c>
      <c r="I12" s="21" t="s">
        <v>45</v>
      </c>
      <c r="J12" s="22" t="n">
        <v>12</v>
      </c>
      <c r="K12" s="19" t="s">
        <v>40</v>
      </c>
      <c r="L12" s="23" t="n">
        <v>811.94</v>
      </c>
      <c r="M12" s="24" t="n">
        <f aca="false">L12*J12</f>
        <v>9743.28</v>
      </c>
      <c r="N12" s="20" t="s">
        <v>37</v>
      </c>
    </row>
    <row r="13" customFormat="false" ht="39.55" hidden="false" customHeight="false" outlineLevel="0" collapsed="false">
      <c r="A13" s="14"/>
      <c r="B13" s="15"/>
      <c r="C13" s="16"/>
      <c r="D13" s="16"/>
      <c r="E13" s="17"/>
      <c r="F13" s="18" t="s">
        <v>46</v>
      </c>
      <c r="G13" s="19" t="n">
        <v>141271</v>
      </c>
      <c r="H13" s="20" t="n">
        <v>25</v>
      </c>
      <c r="I13" s="21" t="s">
        <v>47</v>
      </c>
      <c r="J13" s="22" t="n">
        <v>24</v>
      </c>
      <c r="K13" s="19" t="s">
        <v>40</v>
      </c>
      <c r="L13" s="23" t="n">
        <v>200</v>
      </c>
      <c r="M13" s="24" t="n">
        <f aca="false">L13*J13</f>
        <v>4800</v>
      </c>
      <c r="N13" s="20" t="s">
        <v>37</v>
      </c>
    </row>
    <row r="14" customFormat="false" ht="26.85" hidden="false" customHeight="false" outlineLevel="0" collapsed="false">
      <c r="A14" s="14"/>
      <c r="B14" s="15"/>
      <c r="C14" s="16"/>
      <c r="D14" s="16"/>
      <c r="E14" s="17"/>
      <c r="F14" s="18" t="s">
        <v>48</v>
      </c>
      <c r="G14" s="19" t="n">
        <v>141270</v>
      </c>
      <c r="H14" s="20" t="n">
        <v>26</v>
      </c>
      <c r="I14" s="21" t="s">
        <v>49</v>
      </c>
      <c r="J14" s="22" t="n">
        <v>192</v>
      </c>
      <c r="K14" s="19" t="s">
        <v>40</v>
      </c>
      <c r="L14" s="23" t="n">
        <v>34.13</v>
      </c>
      <c r="M14" s="24" t="n">
        <f aca="false">L14*J14</f>
        <v>6552.96</v>
      </c>
      <c r="N14" s="20" t="s">
        <v>37</v>
      </c>
    </row>
    <row r="15" customFormat="false" ht="52.2" hidden="false" customHeight="false" outlineLevel="0" collapsed="false">
      <c r="A15" s="14"/>
      <c r="B15" s="15"/>
      <c r="C15" s="16"/>
      <c r="D15" s="16"/>
      <c r="E15" s="17"/>
      <c r="F15" s="18" t="s">
        <v>50</v>
      </c>
      <c r="G15" s="18"/>
      <c r="H15" s="20" t="n">
        <v>33</v>
      </c>
      <c r="I15" s="21" t="s">
        <v>51</v>
      </c>
      <c r="J15" s="22" t="n">
        <v>8</v>
      </c>
      <c r="K15" s="19" t="s">
        <v>40</v>
      </c>
      <c r="L15" s="23"/>
      <c r="M15" s="24" t="n">
        <f aca="false">L15*J15</f>
        <v>0</v>
      </c>
      <c r="N15" s="20" t="s">
        <v>37</v>
      </c>
    </row>
    <row r="16" customFormat="false" ht="14.15" hidden="false" customHeight="false" outlineLevel="0" collapsed="false">
      <c r="A16" s="14"/>
      <c r="B16" s="15"/>
      <c r="C16" s="16"/>
      <c r="D16" s="16"/>
      <c r="E16" s="16"/>
      <c r="F16" s="18" t="s">
        <v>52</v>
      </c>
      <c r="G16" s="19" t="n">
        <v>141269</v>
      </c>
      <c r="H16" s="20" t="n">
        <v>34</v>
      </c>
      <c r="I16" s="21" t="s">
        <v>53</v>
      </c>
      <c r="J16" s="22" t="n">
        <v>1</v>
      </c>
      <c r="K16" s="19" t="s">
        <v>40</v>
      </c>
      <c r="L16" s="23" t="n">
        <v>16850.63</v>
      </c>
      <c r="M16" s="24" t="n">
        <f aca="false">L16*J16</f>
        <v>16850.63</v>
      </c>
      <c r="N16" s="20" t="s">
        <v>37</v>
      </c>
    </row>
    <row r="17" customFormat="false" ht="13.5" hidden="false" customHeight="false" outlineLevel="0" collapsed="false">
      <c r="A17" s="3" t="s">
        <v>0</v>
      </c>
      <c r="B17" s="3" t="s">
        <v>1</v>
      </c>
      <c r="C17" s="3" t="s">
        <v>2</v>
      </c>
      <c r="D17" s="3" t="s">
        <v>3</v>
      </c>
      <c r="E17" s="3"/>
      <c r="F17" s="3" t="s">
        <v>4</v>
      </c>
      <c r="G17" s="3" t="s">
        <v>5</v>
      </c>
      <c r="H17" s="3" t="s">
        <v>6</v>
      </c>
      <c r="I17" s="3" t="s">
        <v>7</v>
      </c>
      <c r="J17" s="3" t="s">
        <v>8</v>
      </c>
      <c r="K17" s="3" t="s">
        <v>9</v>
      </c>
      <c r="L17" s="3" t="s">
        <v>10</v>
      </c>
      <c r="M17" s="3" t="s">
        <v>11</v>
      </c>
      <c r="N17" s="3" t="s">
        <v>12</v>
      </c>
      <c r="O17" s="25"/>
    </row>
    <row r="18" customFormat="false" ht="26.85" hidden="false" customHeight="true" outlineLevel="0" collapsed="false">
      <c r="A18" s="4" t="n">
        <v>46035</v>
      </c>
      <c r="B18" s="5" t="n">
        <v>171118</v>
      </c>
      <c r="C18" s="6" t="s">
        <v>54</v>
      </c>
      <c r="D18" s="6" t="s">
        <v>14</v>
      </c>
      <c r="E18" s="6"/>
      <c r="F18" s="20" t="s">
        <v>55</v>
      </c>
      <c r="G18" s="19"/>
      <c r="H18" s="20" t="n">
        <v>1</v>
      </c>
      <c r="I18" s="21" t="s">
        <v>56</v>
      </c>
      <c r="J18" s="20" t="n">
        <v>10</v>
      </c>
      <c r="K18" s="20" t="s">
        <v>21</v>
      </c>
      <c r="L18" s="20"/>
      <c r="M18" s="20"/>
      <c r="N18" s="20" t="s">
        <v>37</v>
      </c>
    </row>
    <row r="19" customFormat="false" ht="52.2" hidden="false" customHeight="false" outlineLevel="0" collapsed="false">
      <c r="A19" s="4"/>
      <c r="B19" s="5"/>
      <c r="C19" s="6"/>
      <c r="D19" s="6"/>
      <c r="E19" s="6"/>
      <c r="F19" s="26" t="s">
        <v>57</v>
      </c>
      <c r="G19" s="19"/>
      <c r="H19" s="20" t="n">
        <v>2</v>
      </c>
      <c r="I19" s="21" t="s">
        <v>58</v>
      </c>
      <c r="J19" s="20" t="n">
        <v>10</v>
      </c>
      <c r="K19" s="20" t="s">
        <v>21</v>
      </c>
      <c r="L19" s="20"/>
      <c r="M19" s="20"/>
      <c r="N19" s="20" t="s">
        <v>37</v>
      </c>
    </row>
    <row r="20" customFormat="false" ht="26.85" hidden="false" customHeight="false" outlineLevel="0" collapsed="false">
      <c r="A20" s="4"/>
      <c r="B20" s="5"/>
      <c r="C20" s="6"/>
      <c r="D20" s="6"/>
      <c r="E20" s="6"/>
      <c r="F20" s="26" t="s">
        <v>59</v>
      </c>
      <c r="G20" s="19"/>
      <c r="H20" s="20" t="n">
        <v>3</v>
      </c>
      <c r="I20" s="21" t="s">
        <v>60</v>
      </c>
      <c r="J20" s="20" t="n">
        <v>160</v>
      </c>
      <c r="K20" s="20" t="s">
        <v>21</v>
      </c>
      <c r="L20" s="20"/>
      <c r="M20" s="20"/>
      <c r="N20" s="20" t="s">
        <v>37</v>
      </c>
    </row>
    <row r="21" customFormat="false" ht="13.5" hidden="false" customHeight="false" outlineLevel="0" collapsed="false">
      <c r="A21" s="4"/>
      <c r="B21" s="5"/>
      <c r="C21" s="6"/>
      <c r="D21" s="6"/>
      <c r="E21" s="6"/>
      <c r="F21" s="7" t="s">
        <v>61</v>
      </c>
      <c r="G21" s="8" t="n">
        <v>141008</v>
      </c>
      <c r="H21" s="9" t="n">
        <v>4</v>
      </c>
      <c r="I21" s="13" t="s">
        <v>62</v>
      </c>
      <c r="J21" s="9" t="n">
        <v>2</v>
      </c>
      <c r="K21" s="9" t="s">
        <v>21</v>
      </c>
      <c r="L21" s="9" t="n">
        <v>815.77</v>
      </c>
      <c r="M21" s="12" t="n">
        <f aca="false">L21*J21</f>
        <v>1631.54</v>
      </c>
      <c r="N21" s="9" t="s">
        <v>18</v>
      </c>
    </row>
    <row r="22" customFormat="false" ht="13.5" hidden="false" customHeight="false" outlineLevel="0" collapsed="false">
      <c r="A22" s="4"/>
      <c r="B22" s="5"/>
      <c r="C22" s="6"/>
      <c r="D22" s="6"/>
      <c r="E22" s="6"/>
      <c r="F22" s="7" t="s">
        <v>63</v>
      </c>
      <c r="G22" s="8" t="n">
        <v>141008</v>
      </c>
      <c r="H22" s="9" t="n">
        <v>5</v>
      </c>
      <c r="I22" s="13" t="s">
        <v>64</v>
      </c>
      <c r="J22" s="9" t="n">
        <v>2</v>
      </c>
      <c r="K22" s="9" t="s">
        <v>21</v>
      </c>
      <c r="L22" s="11" t="n">
        <v>1387.58</v>
      </c>
      <c r="M22" s="12" t="n">
        <f aca="false">L22*J22</f>
        <v>2775.16</v>
      </c>
      <c r="N22" s="9" t="s">
        <v>18</v>
      </c>
    </row>
    <row r="23" customFormat="false" ht="13.5" hidden="false" customHeight="false" outlineLevel="0" collapsed="false">
      <c r="A23" s="3" t="s">
        <v>0</v>
      </c>
      <c r="B23" s="3" t="s">
        <v>1</v>
      </c>
      <c r="C23" s="3" t="s">
        <v>2</v>
      </c>
      <c r="D23" s="3" t="s">
        <v>3</v>
      </c>
      <c r="E23" s="3"/>
      <c r="F23" s="3" t="s">
        <v>4</v>
      </c>
      <c r="G23" s="3" t="s">
        <v>5</v>
      </c>
      <c r="H23" s="3" t="s">
        <v>6</v>
      </c>
      <c r="I23" s="3" t="s">
        <v>7</v>
      </c>
      <c r="J23" s="3" t="s">
        <v>8</v>
      </c>
      <c r="K23" s="3" t="s">
        <v>9</v>
      </c>
      <c r="L23" s="3" t="s">
        <v>10</v>
      </c>
      <c r="M23" s="3" t="s">
        <v>11</v>
      </c>
      <c r="N23" s="3" t="s">
        <v>12</v>
      </c>
    </row>
    <row r="24" customFormat="false" ht="13.5" hidden="false" customHeight="true" outlineLevel="0" collapsed="false">
      <c r="A24" s="4" t="n">
        <v>46037</v>
      </c>
      <c r="B24" s="5" t="n">
        <v>171513</v>
      </c>
      <c r="C24" s="6" t="s">
        <v>65</v>
      </c>
      <c r="D24" s="6" t="s">
        <v>14</v>
      </c>
      <c r="E24" s="6"/>
      <c r="F24" s="7" t="s">
        <v>66</v>
      </c>
      <c r="G24" s="7" t="s">
        <v>67</v>
      </c>
      <c r="H24" s="7" t="n">
        <v>1</v>
      </c>
      <c r="I24" s="27" t="s">
        <v>68</v>
      </c>
      <c r="J24" s="9" t="n">
        <v>3</v>
      </c>
      <c r="K24" s="9" t="s">
        <v>69</v>
      </c>
      <c r="L24" s="28" t="n">
        <v>749.37</v>
      </c>
      <c r="M24" s="28" t="n">
        <v>39341.93</v>
      </c>
      <c r="N24" s="9" t="s">
        <v>18</v>
      </c>
    </row>
    <row r="25" customFormat="false" ht="39.55" hidden="false" customHeight="false" outlineLevel="0" collapsed="false">
      <c r="A25" s="4"/>
      <c r="B25" s="5"/>
      <c r="C25" s="6"/>
      <c r="D25" s="6"/>
      <c r="E25" s="6"/>
      <c r="F25" s="7" t="s">
        <v>70</v>
      </c>
      <c r="G25" s="7" t="s">
        <v>67</v>
      </c>
      <c r="H25" s="7" t="n">
        <v>2</v>
      </c>
      <c r="I25" s="27" t="s">
        <v>71</v>
      </c>
      <c r="J25" s="9" t="n">
        <v>3</v>
      </c>
      <c r="K25" s="9" t="s">
        <v>69</v>
      </c>
      <c r="L25" s="28" t="n">
        <v>749.37</v>
      </c>
      <c r="M25" s="28" t="n">
        <v>39341.93</v>
      </c>
      <c r="N25" s="9" t="s">
        <v>18</v>
      </c>
    </row>
    <row r="26" customFormat="false" ht="13.5" hidden="false" customHeight="false" outlineLevel="0" collapsed="false">
      <c r="A26" s="3" t="s">
        <v>0</v>
      </c>
      <c r="B26" s="3" t="s">
        <v>1</v>
      </c>
      <c r="C26" s="3" t="s">
        <v>2</v>
      </c>
      <c r="D26" s="3" t="s">
        <v>3</v>
      </c>
      <c r="E26" s="3"/>
      <c r="F26" s="3" t="s">
        <v>4</v>
      </c>
      <c r="G26" s="3" t="s">
        <v>5</v>
      </c>
      <c r="H26" s="3" t="s">
        <v>6</v>
      </c>
      <c r="I26" s="3" t="s">
        <v>7</v>
      </c>
      <c r="J26" s="3" t="s">
        <v>8</v>
      </c>
      <c r="K26" s="3" t="s">
        <v>9</v>
      </c>
      <c r="L26" s="3" t="s">
        <v>10</v>
      </c>
      <c r="M26" s="3" t="s">
        <v>11</v>
      </c>
      <c r="N26" s="3" t="s">
        <v>12</v>
      </c>
    </row>
    <row r="27" customFormat="false" ht="26.85" hidden="false" customHeight="true" outlineLevel="0" collapsed="false">
      <c r="A27" s="4" t="n">
        <v>46031</v>
      </c>
      <c r="B27" s="5" t="n">
        <v>171514</v>
      </c>
      <c r="C27" s="6" t="s">
        <v>72</v>
      </c>
      <c r="D27" s="6" t="s">
        <v>14</v>
      </c>
      <c r="E27" s="6"/>
      <c r="F27" s="26" t="s">
        <v>73</v>
      </c>
      <c r="G27" s="19" t="s">
        <v>74</v>
      </c>
      <c r="H27" s="20" t="n">
        <v>1</v>
      </c>
      <c r="I27" s="21" t="s">
        <v>75</v>
      </c>
      <c r="J27" s="20" t="n">
        <v>6</v>
      </c>
      <c r="K27" s="20" t="s">
        <v>21</v>
      </c>
      <c r="L27" s="20"/>
      <c r="M27" s="20"/>
      <c r="N27" s="20" t="s">
        <v>37</v>
      </c>
    </row>
    <row r="28" customFormat="false" ht="26.85" hidden="false" customHeight="false" outlineLevel="0" collapsed="false">
      <c r="A28" s="4"/>
      <c r="B28" s="5"/>
      <c r="C28" s="6"/>
      <c r="D28" s="6"/>
      <c r="E28" s="6"/>
      <c r="F28" s="26" t="s">
        <v>76</v>
      </c>
      <c r="G28" s="19" t="s">
        <v>74</v>
      </c>
      <c r="H28" s="20" t="n">
        <v>2</v>
      </c>
      <c r="I28" s="21" t="s">
        <v>77</v>
      </c>
      <c r="J28" s="20" t="n">
        <v>1</v>
      </c>
      <c r="K28" s="20" t="s">
        <v>21</v>
      </c>
      <c r="L28" s="20"/>
      <c r="M28" s="20"/>
      <c r="N28" s="20" t="s">
        <v>37</v>
      </c>
    </row>
    <row r="29" customFormat="false" ht="39.55" hidden="false" customHeight="false" outlineLevel="0" collapsed="false">
      <c r="A29" s="4"/>
      <c r="B29" s="5"/>
      <c r="C29" s="6"/>
      <c r="D29" s="6"/>
      <c r="E29" s="6"/>
      <c r="F29" s="26" t="s">
        <v>78</v>
      </c>
      <c r="G29" s="19" t="s">
        <v>74</v>
      </c>
      <c r="H29" s="20" t="n">
        <v>3</v>
      </c>
      <c r="I29" s="21" t="s">
        <v>79</v>
      </c>
      <c r="J29" s="20" t="n">
        <v>1</v>
      </c>
      <c r="K29" s="20" t="s">
        <v>21</v>
      </c>
      <c r="L29" s="20"/>
      <c r="M29" s="20"/>
      <c r="N29" s="20" t="s">
        <v>37</v>
      </c>
    </row>
    <row r="30" customFormat="false" ht="26.85" hidden="false" customHeight="false" outlineLevel="0" collapsed="false">
      <c r="A30" s="4"/>
      <c r="B30" s="5"/>
      <c r="C30" s="6"/>
      <c r="D30" s="6"/>
      <c r="E30" s="6"/>
      <c r="F30" s="26" t="s">
        <v>80</v>
      </c>
      <c r="G30" s="19" t="s">
        <v>74</v>
      </c>
      <c r="H30" s="20" t="n">
        <v>4</v>
      </c>
      <c r="I30" s="21" t="s">
        <v>81</v>
      </c>
      <c r="J30" s="20" t="n">
        <v>1</v>
      </c>
      <c r="K30" s="20" t="s">
        <v>21</v>
      </c>
      <c r="L30" s="20"/>
      <c r="M30" s="20"/>
      <c r="N30" s="20" t="s">
        <v>37</v>
      </c>
    </row>
    <row r="31" customFormat="false" ht="26.85" hidden="false" customHeight="false" outlineLevel="0" collapsed="false">
      <c r="A31" s="4"/>
      <c r="B31" s="5"/>
      <c r="C31" s="6"/>
      <c r="D31" s="6"/>
      <c r="E31" s="6"/>
      <c r="F31" s="26" t="s">
        <v>82</v>
      </c>
      <c r="G31" s="19" t="s">
        <v>74</v>
      </c>
      <c r="H31" s="20" t="n">
        <v>5</v>
      </c>
      <c r="I31" s="21" t="s">
        <v>83</v>
      </c>
      <c r="J31" s="20" t="n">
        <v>40</v>
      </c>
      <c r="K31" s="20" t="s">
        <v>21</v>
      </c>
      <c r="L31" s="23"/>
      <c r="M31" s="23"/>
      <c r="N31" s="20" t="s">
        <v>37</v>
      </c>
    </row>
    <row r="32" customFormat="false" ht="39.55" hidden="false" customHeight="false" outlineLevel="0" collapsed="false">
      <c r="A32" s="4"/>
      <c r="B32" s="5"/>
      <c r="C32" s="6"/>
      <c r="D32" s="6"/>
      <c r="E32" s="6"/>
      <c r="F32" s="26" t="s">
        <v>84</v>
      </c>
      <c r="G32" s="19" t="s">
        <v>74</v>
      </c>
      <c r="H32" s="20" t="n">
        <v>6</v>
      </c>
      <c r="I32" s="21" t="s">
        <v>85</v>
      </c>
      <c r="J32" s="20" t="n">
        <v>2</v>
      </c>
      <c r="K32" s="20" t="s">
        <v>21</v>
      </c>
      <c r="L32" s="22"/>
      <c r="M32" s="22"/>
      <c r="N32" s="20" t="s">
        <v>37</v>
      </c>
    </row>
    <row r="33" customFormat="false" ht="13.5" hidden="false" customHeight="false" outlineLevel="0" collapsed="false">
      <c r="A33" s="3" t="s">
        <v>0</v>
      </c>
      <c r="B33" s="3" t="s">
        <v>1</v>
      </c>
      <c r="C33" s="3" t="s">
        <v>2</v>
      </c>
      <c r="D33" s="3" t="s">
        <v>3</v>
      </c>
      <c r="E33" s="3"/>
      <c r="F33" s="3" t="s">
        <v>4</v>
      </c>
      <c r="G33" s="3" t="s">
        <v>5</v>
      </c>
      <c r="H33" s="3" t="s">
        <v>6</v>
      </c>
      <c r="I33" s="3" t="s">
        <v>7</v>
      </c>
      <c r="J33" s="3" t="s">
        <v>8</v>
      </c>
      <c r="K33" s="3" t="s">
        <v>9</v>
      </c>
      <c r="L33" s="3" t="s">
        <v>10</v>
      </c>
      <c r="M33" s="3" t="s">
        <v>11</v>
      </c>
      <c r="N33" s="3" t="s">
        <v>12</v>
      </c>
    </row>
    <row r="34" customFormat="false" ht="26.85" hidden="false" customHeight="false" outlineLevel="0" collapsed="false">
      <c r="A34" s="4" t="n">
        <v>46041</v>
      </c>
      <c r="B34" s="5" t="n">
        <v>171629</v>
      </c>
      <c r="C34" s="6" t="s">
        <v>86</v>
      </c>
      <c r="D34" s="6" t="s">
        <v>14</v>
      </c>
      <c r="E34" s="6"/>
      <c r="F34" s="26" t="s">
        <v>87</v>
      </c>
      <c r="G34" s="19"/>
      <c r="H34" s="20" t="n">
        <v>1</v>
      </c>
      <c r="I34" s="21" t="s">
        <v>88</v>
      </c>
      <c r="J34" s="20" t="n">
        <v>5</v>
      </c>
      <c r="K34" s="20" t="s">
        <v>21</v>
      </c>
      <c r="L34" s="20"/>
      <c r="M34" s="20"/>
      <c r="N34" s="20" t="s">
        <v>37</v>
      </c>
    </row>
    <row r="35" customFormat="false" ht="13.5" hidden="false" customHeight="false" outlineLevel="0" collapsed="false">
      <c r="A35" s="3" t="s">
        <v>0</v>
      </c>
      <c r="B35" s="3" t="s">
        <v>1</v>
      </c>
      <c r="C35" s="3" t="s">
        <v>2</v>
      </c>
      <c r="D35" s="3" t="s">
        <v>3</v>
      </c>
      <c r="E35" s="3"/>
      <c r="F35" s="3" t="s">
        <v>4</v>
      </c>
      <c r="G35" s="3" t="s">
        <v>5</v>
      </c>
      <c r="H35" s="3" t="s">
        <v>6</v>
      </c>
      <c r="I35" s="3" t="s">
        <v>7</v>
      </c>
      <c r="J35" s="3" t="s">
        <v>8</v>
      </c>
      <c r="K35" s="3" t="s">
        <v>9</v>
      </c>
      <c r="L35" s="3" t="s">
        <v>10</v>
      </c>
      <c r="M35" s="3" t="s">
        <v>11</v>
      </c>
      <c r="N35" s="3" t="s">
        <v>12</v>
      </c>
    </row>
    <row r="36" customFormat="false" ht="26.85" hidden="false" customHeight="false" outlineLevel="0" collapsed="false">
      <c r="A36" s="4" t="n">
        <v>46041</v>
      </c>
      <c r="B36" s="5" t="n">
        <v>171698</v>
      </c>
      <c r="C36" s="6" t="s">
        <v>89</v>
      </c>
      <c r="D36" s="6" t="s">
        <v>14</v>
      </c>
      <c r="E36" s="6"/>
      <c r="F36" s="18" t="s">
        <v>90</v>
      </c>
      <c r="G36" s="19"/>
      <c r="H36" s="20" t="n">
        <v>1</v>
      </c>
      <c r="I36" s="21" t="s">
        <v>91</v>
      </c>
      <c r="J36" s="20" t="n">
        <v>5</v>
      </c>
      <c r="K36" s="20" t="s">
        <v>21</v>
      </c>
      <c r="L36" s="20"/>
      <c r="M36" s="20"/>
      <c r="N36" s="20" t="s">
        <v>37</v>
      </c>
    </row>
    <row r="37" customFormat="false" ht="13.5" hidden="false" customHeight="false" outlineLevel="0" collapsed="false">
      <c r="A37" s="3" t="s">
        <v>0</v>
      </c>
      <c r="B37" s="3" t="s">
        <v>1</v>
      </c>
      <c r="C37" s="3" t="s">
        <v>2</v>
      </c>
      <c r="D37" s="3" t="s">
        <v>3</v>
      </c>
      <c r="E37" s="3"/>
      <c r="F37" s="3" t="s">
        <v>4</v>
      </c>
      <c r="G37" s="3" t="s">
        <v>5</v>
      </c>
      <c r="H37" s="3" t="s">
        <v>6</v>
      </c>
      <c r="I37" s="3" t="s">
        <v>7</v>
      </c>
      <c r="J37" s="3" t="s">
        <v>8</v>
      </c>
      <c r="K37" s="3" t="s">
        <v>9</v>
      </c>
      <c r="L37" s="3" t="s">
        <v>10</v>
      </c>
      <c r="M37" s="3" t="s">
        <v>11</v>
      </c>
      <c r="N37" s="3" t="s">
        <v>12</v>
      </c>
    </row>
    <row r="38" customFormat="false" ht="13.5" hidden="false" customHeight="false" outlineLevel="0" collapsed="false">
      <c r="A38" s="4" t="n">
        <v>46042</v>
      </c>
      <c r="B38" s="5" t="n">
        <v>171797</v>
      </c>
      <c r="C38" s="6" t="s">
        <v>92</v>
      </c>
      <c r="D38" s="6" t="s">
        <v>14</v>
      </c>
      <c r="E38" s="6"/>
      <c r="F38" s="29" t="n">
        <v>1208725</v>
      </c>
      <c r="G38" s="8" t="n">
        <v>143206</v>
      </c>
      <c r="H38" s="9" t="n">
        <v>1</v>
      </c>
      <c r="I38" s="13" t="s">
        <v>93</v>
      </c>
      <c r="J38" s="9" t="n">
        <v>2</v>
      </c>
      <c r="K38" s="9" t="s">
        <v>21</v>
      </c>
      <c r="L38" s="11" t="n">
        <v>11660.95</v>
      </c>
      <c r="M38" s="11" t="n">
        <v>23321.9</v>
      </c>
      <c r="N38" s="9" t="s">
        <v>18</v>
      </c>
    </row>
    <row r="39" customFormat="false" ht="13.5" hidden="false" customHeight="false" outlineLevel="0" collapsed="false">
      <c r="A39" s="3" t="s">
        <v>0</v>
      </c>
      <c r="B39" s="3" t="s">
        <v>1</v>
      </c>
      <c r="C39" s="3" t="s">
        <v>2</v>
      </c>
      <c r="D39" s="3" t="s">
        <v>3</v>
      </c>
      <c r="E39" s="3"/>
      <c r="F39" s="3" t="s">
        <v>4</v>
      </c>
      <c r="G39" s="3" t="s">
        <v>5</v>
      </c>
      <c r="H39" s="3" t="s">
        <v>6</v>
      </c>
      <c r="I39" s="3" t="s">
        <v>7</v>
      </c>
      <c r="J39" s="3" t="s">
        <v>8</v>
      </c>
      <c r="K39" s="3" t="s">
        <v>9</v>
      </c>
      <c r="L39" s="3" t="s">
        <v>10</v>
      </c>
      <c r="M39" s="3" t="s">
        <v>11</v>
      </c>
      <c r="N39" s="3" t="s">
        <v>12</v>
      </c>
    </row>
    <row r="40" customFormat="false" ht="39.55" hidden="false" customHeight="true" outlineLevel="0" collapsed="false">
      <c r="A40" s="4" t="n">
        <v>46042</v>
      </c>
      <c r="B40" s="5" t="n">
        <v>171801</v>
      </c>
      <c r="C40" s="6" t="s">
        <v>94</v>
      </c>
      <c r="D40" s="6" t="s">
        <v>14</v>
      </c>
      <c r="E40" s="30"/>
      <c r="F40" s="31" t="s">
        <v>95</v>
      </c>
      <c r="G40" s="8"/>
      <c r="H40" s="8" t="n">
        <v>1</v>
      </c>
      <c r="I40" s="10" t="s">
        <v>96</v>
      </c>
      <c r="J40" s="9" t="n">
        <v>4</v>
      </c>
      <c r="K40" s="9" t="s">
        <v>21</v>
      </c>
      <c r="L40" s="9"/>
      <c r="M40" s="9"/>
      <c r="N40" s="9" t="s">
        <v>18</v>
      </c>
    </row>
    <row r="41" customFormat="false" ht="39.55" hidden="false" customHeight="false" outlineLevel="0" collapsed="false">
      <c r="A41" s="4"/>
      <c r="B41" s="5"/>
      <c r="C41" s="6"/>
      <c r="D41" s="6"/>
      <c r="E41" s="17"/>
      <c r="F41" s="31" t="s">
        <v>97</v>
      </c>
      <c r="G41" s="8"/>
      <c r="H41" s="8" t="n">
        <v>2</v>
      </c>
      <c r="I41" s="10" t="s">
        <v>98</v>
      </c>
      <c r="J41" s="9" t="n">
        <v>1</v>
      </c>
      <c r="K41" s="9" t="s">
        <v>21</v>
      </c>
      <c r="L41" s="9"/>
      <c r="M41" s="9"/>
      <c r="N41" s="9" t="s">
        <v>18</v>
      </c>
    </row>
    <row r="42" customFormat="false" ht="26.85" hidden="false" customHeight="false" outlineLevel="0" collapsed="false">
      <c r="A42" s="4"/>
      <c r="B42" s="5"/>
      <c r="C42" s="6"/>
      <c r="D42" s="6"/>
      <c r="E42" s="16"/>
      <c r="F42" s="31" t="s">
        <v>73</v>
      </c>
      <c r="G42" s="8"/>
      <c r="H42" s="8" t="s">
        <v>99</v>
      </c>
      <c r="I42" s="10" t="s">
        <v>75</v>
      </c>
      <c r="J42" s="9" t="n">
        <v>5</v>
      </c>
      <c r="K42" s="9" t="s">
        <v>21</v>
      </c>
      <c r="L42" s="9"/>
      <c r="M42" s="9"/>
      <c r="N42" s="9" t="s">
        <v>18</v>
      </c>
    </row>
    <row r="43" customFormat="false" ht="13.5" hidden="false" customHeight="false" outlineLevel="0" collapsed="false">
      <c r="A43" s="3" t="s">
        <v>0</v>
      </c>
      <c r="B43" s="3" t="s">
        <v>1</v>
      </c>
      <c r="C43" s="3" t="s">
        <v>2</v>
      </c>
      <c r="D43" s="3" t="s">
        <v>3</v>
      </c>
      <c r="E43" s="3"/>
      <c r="F43" s="3" t="s">
        <v>4</v>
      </c>
      <c r="G43" s="3" t="s">
        <v>5</v>
      </c>
      <c r="H43" s="3" t="s">
        <v>6</v>
      </c>
      <c r="I43" s="3" t="s">
        <v>7</v>
      </c>
      <c r="J43" s="3" t="s">
        <v>8</v>
      </c>
      <c r="K43" s="3" t="s">
        <v>9</v>
      </c>
      <c r="L43" s="3" t="s">
        <v>10</v>
      </c>
      <c r="M43" s="3" t="s">
        <v>11</v>
      </c>
      <c r="N43" s="3" t="s">
        <v>12</v>
      </c>
    </row>
    <row r="44" customFormat="false" ht="26.85" hidden="false" customHeight="true" outlineLevel="0" collapsed="false">
      <c r="A44" s="4" t="n">
        <v>46043</v>
      </c>
      <c r="B44" s="5" t="n">
        <v>171927</v>
      </c>
      <c r="C44" s="6" t="s">
        <v>100</v>
      </c>
      <c r="D44" s="6" t="s">
        <v>14</v>
      </c>
      <c r="E44" s="6"/>
      <c r="F44" s="31" t="n">
        <v>1301098</v>
      </c>
      <c r="G44" s="31" t="s">
        <v>101</v>
      </c>
      <c r="H44" s="31" t="n">
        <v>1</v>
      </c>
      <c r="I44" s="27" t="s">
        <v>102</v>
      </c>
      <c r="J44" s="31" t="s">
        <v>99</v>
      </c>
      <c r="K44" s="31" t="s">
        <v>69</v>
      </c>
      <c r="L44" s="11" t="n">
        <v>1120.21</v>
      </c>
      <c r="M44" s="11" t="n">
        <v>58811.03</v>
      </c>
      <c r="N44" s="9" t="s">
        <v>18</v>
      </c>
    </row>
    <row r="45" customFormat="false" ht="39.55" hidden="false" customHeight="false" outlineLevel="0" collapsed="false">
      <c r="A45" s="4"/>
      <c r="B45" s="5"/>
      <c r="C45" s="6"/>
      <c r="D45" s="6"/>
      <c r="E45" s="6"/>
      <c r="F45" s="31" t="s">
        <v>103</v>
      </c>
      <c r="G45" s="31" t="s">
        <v>101</v>
      </c>
      <c r="H45" s="31" t="n">
        <v>2</v>
      </c>
      <c r="I45" s="27" t="s">
        <v>104</v>
      </c>
      <c r="J45" s="31" t="s">
        <v>99</v>
      </c>
      <c r="K45" s="31" t="s">
        <v>69</v>
      </c>
      <c r="L45" s="11" t="n">
        <v>792.29</v>
      </c>
      <c r="M45" s="11" t="n">
        <v>41595.23</v>
      </c>
      <c r="N45" s="9" t="s">
        <v>18</v>
      </c>
    </row>
    <row r="46" customFormat="false" ht="52.2" hidden="false" customHeight="false" outlineLevel="0" collapsed="false">
      <c r="A46" s="4"/>
      <c r="B46" s="5"/>
      <c r="C46" s="6"/>
      <c r="D46" s="6"/>
      <c r="E46" s="6"/>
      <c r="F46" s="31" t="n">
        <v>1301063</v>
      </c>
      <c r="G46" s="31"/>
      <c r="H46" s="31" t="s">
        <v>99</v>
      </c>
      <c r="I46" s="27" t="s">
        <v>105</v>
      </c>
      <c r="J46" s="31" t="s">
        <v>99</v>
      </c>
      <c r="K46" s="31" t="s">
        <v>69</v>
      </c>
      <c r="L46" s="9"/>
      <c r="M46" s="9"/>
      <c r="N46" s="9" t="s">
        <v>18</v>
      </c>
    </row>
    <row r="47" customFormat="false" ht="13.5" hidden="false" customHeight="false" outlineLevel="0" collapsed="false">
      <c r="A47" s="3" t="s">
        <v>0</v>
      </c>
      <c r="B47" s="3" t="s">
        <v>1</v>
      </c>
      <c r="C47" s="3" t="s">
        <v>2</v>
      </c>
      <c r="D47" s="3" t="s">
        <v>3</v>
      </c>
      <c r="E47" s="3"/>
      <c r="F47" s="3" t="s">
        <v>4</v>
      </c>
      <c r="G47" s="3" t="s">
        <v>5</v>
      </c>
      <c r="H47" s="3" t="s">
        <v>6</v>
      </c>
      <c r="I47" s="3" t="s">
        <v>7</v>
      </c>
      <c r="J47" s="3" t="s">
        <v>8</v>
      </c>
      <c r="K47" s="3" t="s">
        <v>9</v>
      </c>
      <c r="L47" s="3" t="s">
        <v>10</v>
      </c>
      <c r="M47" s="3" t="s">
        <v>11</v>
      </c>
      <c r="N47" s="3" t="s">
        <v>12</v>
      </c>
    </row>
    <row r="48" customFormat="false" ht="26.85" hidden="false" customHeight="false" outlineLevel="0" collapsed="false">
      <c r="A48" s="4" t="n">
        <v>46043</v>
      </c>
      <c r="B48" s="5" t="n">
        <v>171944</v>
      </c>
      <c r="C48" s="6" t="s">
        <v>106</v>
      </c>
      <c r="D48" s="6" t="s">
        <v>14</v>
      </c>
      <c r="E48" s="6"/>
      <c r="F48" s="31" t="s">
        <v>107</v>
      </c>
      <c r="G48" s="31"/>
      <c r="H48" s="31" t="n">
        <v>1</v>
      </c>
      <c r="I48" s="27" t="s">
        <v>108</v>
      </c>
      <c r="J48" s="31" t="s">
        <v>109</v>
      </c>
      <c r="K48" s="31" t="s">
        <v>40</v>
      </c>
      <c r="L48" s="9"/>
      <c r="M48" s="9"/>
      <c r="N48" s="9" t="s">
        <v>18</v>
      </c>
    </row>
    <row r="49" customFormat="false" ht="13.5" hidden="false" customHeight="false" outlineLevel="0" collapsed="false">
      <c r="A49" s="3" t="s">
        <v>0</v>
      </c>
      <c r="B49" s="3" t="s">
        <v>1</v>
      </c>
      <c r="C49" s="3" t="s">
        <v>2</v>
      </c>
      <c r="D49" s="3" t="s">
        <v>3</v>
      </c>
      <c r="E49" s="3"/>
      <c r="F49" s="3" t="s">
        <v>4</v>
      </c>
      <c r="G49" s="3" t="s">
        <v>5</v>
      </c>
      <c r="H49" s="3" t="s">
        <v>6</v>
      </c>
      <c r="I49" s="3" t="s">
        <v>7</v>
      </c>
      <c r="J49" s="3" t="s">
        <v>8</v>
      </c>
      <c r="K49" s="3" t="s">
        <v>9</v>
      </c>
      <c r="L49" s="3" t="s">
        <v>10</v>
      </c>
      <c r="M49" s="3" t="s">
        <v>11</v>
      </c>
      <c r="N49" s="3" t="s">
        <v>12</v>
      </c>
    </row>
    <row r="50" customFormat="false" ht="14.15" hidden="false" customHeight="true" outlineLevel="0" collapsed="false">
      <c r="A50" s="4" t="n">
        <v>46043</v>
      </c>
      <c r="B50" s="5" t="n">
        <v>172021</v>
      </c>
      <c r="C50" s="6" t="s">
        <v>110</v>
      </c>
      <c r="D50" s="6" t="s">
        <v>14</v>
      </c>
      <c r="E50" s="30"/>
      <c r="F50" s="32" t="s">
        <v>111</v>
      </c>
      <c r="G50" s="32" t="n">
        <v>141531</v>
      </c>
      <c r="H50" s="20" t="n">
        <v>1</v>
      </c>
      <c r="I50" s="21" t="s">
        <v>112</v>
      </c>
      <c r="J50" s="32" t="s">
        <v>109</v>
      </c>
      <c r="K50" s="32" t="s">
        <v>40</v>
      </c>
      <c r="L50" s="23" t="n">
        <v>185.34</v>
      </c>
      <c r="M50" s="23" t="n">
        <v>1853.4</v>
      </c>
      <c r="N50" s="20" t="s">
        <v>37</v>
      </c>
    </row>
    <row r="51" customFormat="false" ht="14.15" hidden="false" customHeight="false" outlineLevel="0" collapsed="false">
      <c r="A51" s="4"/>
      <c r="B51" s="5"/>
      <c r="C51" s="6"/>
      <c r="D51" s="6"/>
      <c r="E51" s="17"/>
      <c r="F51" s="32" t="s">
        <v>113</v>
      </c>
      <c r="G51" s="32" t="n">
        <v>141532</v>
      </c>
      <c r="H51" s="20" t="n">
        <v>2</v>
      </c>
      <c r="I51" s="21" t="s">
        <v>114</v>
      </c>
      <c r="J51" s="32" t="s">
        <v>109</v>
      </c>
      <c r="K51" s="32" t="s">
        <v>40</v>
      </c>
      <c r="L51" s="23" t="n">
        <v>49.69</v>
      </c>
      <c r="M51" s="23" t="n">
        <v>993.8</v>
      </c>
      <c r="N51" s="20" t="s">
        <v>37</v>
      </c>
    </row>
    <row r="52" customFormat="false" ht="14.15" hidden="false" customHeight="false" outlineLevel="0" collapsed="false">
      <c r="A52" s="4"/>
      <c r="B52" s="5"/>
      <c r="C52" s="6"/>
      <c r="D52" s="6"/>
      <c r="E52" s="17"/>
      <c r="F52" s="32" t="s">
        <v>115</v>
      </c>
      <c r="G52" s="32" t="n">
        <v>141531</v>
      </c>
      <c r="H52" s="20" t="n">
        <v>3</v>
      </c>
      <c r="I52" s="21" t="s">
        <v>116</v>
      </c>
      <c r="J52" s="32" t="n">
        <v>10</v>
      </c>
      <c r="K52" s="32" t="s">
        <v>40</v>
      </c>
      <c r="L52" s="23" t="n">
        <v>32.25</v>
      </c>
      <c r="M52" s="23" t="n">
        <v>322.5</v>
      </c>
      <c r="N52" s="20" t="s">
        <v>37</v>
      </c>
    </row>
    <row r="53" customFormat="false" ht="14.15" hidden="false" customHeight="false" outlineLevel="0" collapsed="false">
      <c r="A53" s="4"/>
      <c r="B53" s="5"/>
      <c r="C53" s="6"/>
      <c r="D53" s="6"/>
      <c r="E53" s="17"/>
      <c r="F53" s="32" t="s">
        <v>117</v>
      </c>
      <c r="G53" s="32"/>
      <c r="H53" s="20" t="n">
        <v>4</v>
      </c>
      <c r="I53" s="21" t="s">
        <v>118</v>
      </c>
      <c r="J53" s="32" t="s">
        <v>119</v>
      </c>
      <c r="K53" s="32" t="s">
        <v>40</v>
      </c>
      <c r="L53" s="23"/>
      <c r="M53" s="23"/>
      <c r="N53" s="20" t="s">
        <v>37</v>
      </c>
    </row>
    <row r="54" customFormat="false" ht="14.15" hidden="false" customHeight="false" outlineLevel="0" collapsed="false">
      <c r="A54" s="4"/>
      <c r="B54" s="5"/>
      <c r="C54" s="6"/>
      <c r="D54" s="6"/>
      <c r="E54" s="17"/>
      <c r="F54" s="32" t="s">
        <v>120</v>
      </c>
      <c r="G54" s="32" t="n">
        <v>141421</v>
      </c>
      <c r="H54" s="20" t="n">
        <v>5</v>
      </c>
      <c r="I54" s="21" t="s">
        <v>121</v>
      </c>
      <c r="J54" s="32" t="s">
        <v>119</v>
      </c>
      <c r="K54" s="32" t="s">
        <v>40</v>
      </c>
      <c r="L54" s="23" t="n">
        <v>135</v>
      </c>
      <c r="M54" s="23" t="n">
        <v>675</v>
      </c>
      <c r="N54" s="20" t="s">
        <v>37</v>
      </c>
    </row>
    <row r="55" customFormat="false" ht="14.15" hidden="false" customHeight="false" outlineLevel="0" collapsed="false">
      <c r="A55" s="4"/>
      <c r="B55" s="5"/>
      <c r="C55" s="6"/>
      <c r="D55" s="6"/>
      <c r="E55" s="17"/>
      <c r="F55" s="32" t="s">
        <v>122</v>
      </c>
      <c r="G55" s="32"/>
      <c r="H55" s="20" t="n">
        <v>6</v>
      </c>
      <c r="I55" s="21" t="s">
        <v>123</v>
      </c>
      <c r="J55" s="32" t="s">
        <v>124</v>
      </c>
      <c r="K55" s="32" t="s">
        <v>40</v>
      </c>
      <c r="L55" s="23"/>
      <c r="M55" s="23"/>
      <c r="N55" s="20" t="s">
        <v>37</v>
      </c>
    </row>
    <row r="56" customFormat="false" ht="14.15" hidden="false" customHeight="false" outlineLevel="0" collapsed="false">
      <c r="A56" s="4"/>
      <c r="B56" s="5"/>
      <c r="C56" s="6"/>
      <c r="D56" s="6"/>
      <c r="E56" s="17"/>
      <c r="F56" s="32" t="s">
        <v>125</v>
      </c>
      <c r="G56" s="32"/>
      <c r="H56" s="20" t="n">
        <v>7</v>
      </c>
      <c r="I56" s="21" t="s">
        <v>126</v>
      </c>
      <c r="J56" s="32" t="s">
        <v>109</v>
      </c>
      <c r="K56" s="32" t="s">
        <v>40</v>
      </c>
      <c r="L56" s="23"/>
      <c r="M56" s="23"/>
      <c r="N56" s="20" t="s">
        <v>37</v>
      </c>
    </row>
    <row r="57" customFormat="false" ht="14.15" hidden="false" customHeight="false" outlineLevel="0" collapsed="false">
      <c r="A57" s="4"/>
      <c r="B57" s="5"/>
      <c r="C57" s="6"/>
      <c r="D57" s="6"/>
      <c r="E57" s="17"/>
      <c r="F57" s="32" t="s">
        <v>127</v>
      </c>
      <c r="G57" s="32"/>
      <c r="H57" s="20" t="n">
        <v>8</v>
      </c>
      <c r="I57" s="33" t="s">
        <v>128</v>
      </c>
      <c r="J57" s="32" t="s">
        <v>124</v>
      </c>
      <c r="K57" s="32" t="s">
        <v>40</v>
      </c>
      <c r="L57" s="23"/>
      <c r="M57" s="23"/>
      <c r="N57" s="20" t="s">
        <v>37</v>
      </c>
    </row>
    <row r="58" customFormat="false" ht="14.15" hidden="false" customHeight="false" outlineLevel="0" collapsed="false">
      <c r="A58" s="4"/>
      <c r="B58" s="5"/>
      <c r="C58" s="6"/>
      <c r="D58" s="6"/>
      <c r="E58" s="17"/>
      <c r="F58" s="19" t="n">
        <v>1204077</v>
      </c>
      <c r="G58" s="32"/>
      <c r="H58" s="20" t="n">
        <v>9</v>
      </c>
      <c r="I58" s="21" t="s">
        <v>129</v>
      </c>
      <c r="J58" s="32" t="s">
        <v>130</v>
      </c>
      <c r="K58" s="32" t="s">
        <v>40</v>
      </c>
      <c r="L58" s="23"/>
      <c r="M58" s="23"/>
      <c r="N58" s="20" t="s">
        <v>37</v>
      </c>
    </row>
    <row r="59" customFormat="false" ht="14.15" hidden="false" customHeight="false" outlineLevel="0" collapsed="false">
      <c r="A59" s="4"/>
      <c r="B59" s="5"/>
      <c r="C59" s="6"/>
      <c r="D59" s="6"/>
      <c r="E59" s="17"/>
      <c r="F59" s="19" t="n">
        <v>1204015</v>
      </c>
      <c r="G59" s="32"/>
      <c r="H59" s="20" t="n">
        <v>10</v>
      </c>
      <c r="I59" s="21" t="s">
        <v>131</v>
      </c>
      <c r="J59" s="32" t="s">
        <v>130</v>
      </c>
      <c r="K59" s="32" t="s">
        <v>40</v>
      </c>
      <c r="L59" s="23"/>
      <c r="M59" s="23"/>
      <c r="N59" s="20" t="s">
        <v>37</v>
      </c>
    </row>
    <row r="60" customFormat="false" ht="14.15" hidden="false" customHeight="false" outlineLevel="0" collapsed="false">
      <c r="A60" s="4"/>
      <c r="B60" s="5"/>
      <c r="C60" s="6"/>
      <c r="D60" s="6"/>
      <c r="E60" s="17"/>
      <c r="F60" s="32" t="s">
        <v>132</v>
      </c>
      <c r="G60" s="32"/>
      <c r="H60" s="20" t="n">
        <v>11</v>
      </c>
      <c r="I60" s="21" t="s">
        <v>133</v>
      </c>
      <c r="J60" s="32" t="s">
        <v>130</v>
      </c>
      <c r="K60" s="32" t="s">
        <v>40</v>
      </c>
      <c r="L60" s="23"/>
      <c r="M60" s="23"/>
      <c r="N60" s="20" t="s">
        <v>37</v>
      </c>
    </row>
    <row r="61" customFormat="false" ht="14.15" hidden="false" customHeight="false" outlineLevel="0" collapsed="false">
      <c r="A61" s="4"/>
      <c r="B61" s="5"/>
      <c r="C61" s="6"/>
      <c r="D61" s="6"/>
      <c r="E61" s="17"/>
      <c r="F61" s="32" t="s">
        <v>134</v>
      </c>
      <c r="G61" s="32"/>
      <c r="H61" s="20" t="n">
        <v>12</v>
      </c>
      <c r="I61" s="21" t="s">
        <v>135</v>
      </c>
      <c r="J61" s="32" t="s">
        <v>130</v>
      </c>
      <c r="K61" s="32" t="s">
        <v>40</v>
      </c>
      <c r="L61" s="23"/>
      <c r="M61" s="23"/>
      <c r="N61" s="20" t="s">
        <v>37</v>
      </c>
    </row>
    <row r="62" customFormat="false" ht="14.15" hidden="false" customHeight="false" outlineLevel="0" collapsed="false">
      <c r="A62" s="4"/>
      <c r="B62" s="5"/>
      <c r="C62" s="6"/>
      <c r="D62" s="6"/>
      <c r="E62" s="17"/>
      <c r="F62" s="32" t="s">
        <v>136</v>
      </c>
      <c r="G62" s="32" t="s">
        <v>137</v>
      </c>
      <c r="H62" s="20" t="n">
        <v>13</v>
      </c>
      <c r="I62" s="21" t="s">
        <v>138</v>
      </c>
      <c r="J62" s="32" t="n">
        <v>10</v>
      </c>
      <c r="K62" s="32" t="s">
        <v>40</v>
      </c>
      <c r="L62" s="23" t="n">
        <v>5</v>
      </c>
      <c r="M62" s="23" t="n">
        <v>50</v>
      </c>
      <c r="N62" s="20" t="s">
        <v>37</v>
      </c>
    </row>
    <row r="63" customFormat="false" ht="14.15" hidden="false" customHeight="false" outlineLevel="0" collapsed="false">
      <c r="A63" s="4"/>
      <c r="B63" s="5"/>
      <c r="C63" s="6"/>
      <c r="D63" s="6"/>
      <c r="E63" s="17"/>
      <c r="F63" s="32" t="s">
        <v>139</v>
      </c>
      <c r="G63" s="32" t="s">
        <v>137</v>
      </c>
      <c r="H63" s="20" t="n">
        <v>14</v>
      </c>
      <c r="I63" s="21" t="s">
        <v>140</v>
      </c>
      <c r="J63" s="32" t="s">
        <v>141</v>
      </c>
      <c r="K63" s="32" t="s">
        <v>40</v>
      </c>
      <c r="L63" s="23" t="n">
        <v>5</v>
      </c>
      <c r="M63" s="23" t="n">
        <v>50</v>
      </c>
      <c r="N63" s="20" t="s">
        <v>37</v>
      </c>
    </row>
    <row r="64" customFormat="false" ht="14.15" hidden="false" customHeight="false" outlineLevel="0" collapsed="false">
      <c r="A64" s="4"/>
      <c r="B64" s="5"/>
      <c r="C64" s="6"/>
      <c r="D64" s="6"/>
      <c r="E64" s="17"/>
      <c r="F64" s="32" t="s">
        <v>142</v>
      </c>
      <c r="G64" s="32"/>
      <c r="H64" s="20" t="n">
        <v>15</v>
      </c>
      <c r="I64" s="33" t="s">
        <v>143</v>
      </c>
      <c r="J64" s="32" t="n">
        <v>5</v>
      </c>
      <c r="K64" s="32" t="s">
        <v>40</v>
      </c>
      <c r="L64" s="23"/>
      <c r="M64" s="23"/>
      <c r="N64" s="20" t="s">
        <v>37</v>
      </c>
    </row>
    <row r="65" customFormat="false" ht="14.15" hidden="false" customHeight="false" outlineLevel="0" collapsed="false">
      <c r="A65" s="4"/>
      <c r="B65" s="5"/>
      <c r="C65" s="6"/>
      <c r="D65" s="6"/>
      <c r="E65" s="17"/>
      <c r="F65" s="32" t="s">
        <v>144</v>
      </c>
      <c r="G65" s="32"/>
      <c r="H65" s="20" t="n">
        <v>16</v>
      </c>
      <c r="I65" s="33" t="s">
        <v>145</v>
      </c>
      <c r="J65" s="32" t="n">
        <v>5</v>
      </c>
      <c r="K65" s="32" t="s">
        <v>40</v>
      </c>
      <c r="L65" s="23"/>
      <c r="M65" s="23"/>
      <c r="N65" s="20" t="s">
        <v>37</v>
      </c>
    </row>
    <row r="66" customFormat="false" ht="14.15" hidden="false" customHeight="false" outlineLevel="0" collapsed="false">
      <c r="A66" s="4"/>
      <c r="B66" s="5"/>
      <c r="C66" s="6"/>
      <c r="D66" s="6"/>
      <c r="E66" s="16"/>
      <c r="F66" s="32" t="s">
        <v>146</v>
      </c>
      <c r="G66" s="32" t="n">
        <v>141531</v>
      </c>
      <c r="H66" s="20" t="n">
        <v>17</v>
      </c>
      <c r="I66" s="33" t="s">
        <v>147</v>
      </c>
      <c r="J66" s="32" t="s">
        <v>109</v>
      </c>
      <c r="K66" s="32" t="s">
        <v>40</v>
      </c>
      <c r="L66" s="23" t="n">
        <v>92.6</v>
      </c>
      <c r="M66" s="23" t="n">
        <v>1852</v>
      </c>
      <c r="N66" s="20" t="s">
        <v>37</v>
      </c>
    </row>
    <row r="67" customFormat="false" ht="13.5" hidden="false" customHeight="false" outlineLevel="0" collapsed="false">
      <c r="A67" s="3" t="s">
        <v>0</v>
      </c>
      <c r="B67" s="3" t="s">
        <v>1</v>
      </c>
      <c r="C67" s="3" t="s">
        <v>2</v>
      </c>
      <c r="D67" s="3" t="s">
        <v>3</v>
      </c>
      <c r="E67" s="3"/>
      <c r="F67" s="3" t="s">
        <v>4</v>
      </c>
      <c r="G67" s="3" t="s">
        <v>5</v>
      </c>
      <c r="H67" s="3" t="s">
        <v>6</v>
      </c>
      <c r="I67" s="3" t="s">
        <v>7</v>
      </c>
      <c r="J67" s="3" t="s">
        <v>8</v>
      </c>
      <c r="K67" s="3" t="s">
        <v>9</v>
      </c>
      <c r="L67" s="3" t="s">
        <v>10</v>
      </c>
      <c r="M67" s="3" t="s">
        <v>11</v>
      </c>
      <c r="N67" s="3" t="s">
        <v>12</v>
      </c>
    </row>
    <row r="68" customFormat="false" ht="13.5" hidden="false" customHeight="false" outlineLevel="0" collapsed="false">
      <c r="A68" s="4" t="n">
        <v>46045</v>
      </c>
      <c r="B68" s="5" t="n">
        <v>172162</v>
      </c>
      <c r="C68" s="6" t="s">
        <v>148</v>
      </c>
      <c r="D68" s="6" t="s">
        <v>14</v>
      </c>
      <c r="E68" s="34"/>
      <c r="F68" s="35" t="n">
        <v>1204155</v>
      </c>
      <c r="G68" s="31" t="s">
        <v>149</v>
      </c>
      <c r="H68" s="31" t="n">
        <v>1</v>
      </c>
      <c r="I68" s="27" t="s">
        <v>150</v>
      </c>
      <c r="J68" s="31" t="s">
        <v>130</v>
      </c>
      <c r="K68" s="31" t="s">
        <v>21</v>
      </c>
      <c r="L68" s="28" t="n">
        <v>56.35</v>
      </c>
      <c r="M68" s="28" t="n">
        <v>5635</v>
      </c>
      <c r="N68" s="9" t="s">
        <v>18</v>
      </c>
    </row>
    <row r="69" customFormat="false" ht="13.5" hidden="false" customHeight="false" outlineLevel="0" collapsed="false">
      <c r="A69" s="3" t="s">
        <v>0</v>
      </c>
      <c r="B69" s="3" t="s">
        <v>1</v>
      </c>
      <c r="C69" s="3" t="s">
        <v>2</v>
      </c>
      <c r="D69" s="3" t="s">
        <v>3</v>
      </c>
      <c r="E69" s="3"/>
      <c r="F69" s="3" t="s">
        <v>4</v>
      </c>
      <c r="G69" s="3" t="s">
        <v>5</v>
      </c>
      <c r="H69" s="3" t="s">
        <v>6</v>
      </c>
      <c r="I69" s="3" t="s">
        <v>7</v>
      </c>
      <c r="J69" s="3" t="s">
        <v>8</v>
      </c>
      <c r="K69" s="3" t="s">
        <v>9</v>
      </c>
      <c r="L69" s="3" t="s">
        <v>10</v>
      </c>
      <c r="M69" s="3" t="s">
        <v>11</v>
      </c>
      <c r="N69" s="3" t="s">
        <v>12</v>
      </c>
    </row>
    <row r="70" customFormat="false" ht="26.85" hidden="false" customHeight="true" outlineLevel="0" collapsed="false">
      <c r="A70" s="36" t="n">
        <v>46049</v>
      </c>
      <c r="B70" s="37" t="n">
        <v>172511</v>
      </c>
      <c r="C70" s="30" t="s">
        <v>151</v>
      </c>
      <c r="D70" s="30" t="s">
        <v>14</v>
      </c>
      <c r="E70" s="30"/>
      <c r="F70" s="7" t="s">
        <v>152</v>
      </c>
      <c r="G70" s="31" t="n">
        <v>141672</v>
      </c>
      <c r="H70" s="31" t="n">
        <v>1</v>
      </c>
      <c r="I70" s="27" t="s">
        <v>153</v>
      </c>
      <c r="J70" s="31" t="s">
        <v>154</v>
      </c>
      <c r="K70" s="31" t="s">
        <v>21</v>
      </c>
      <c r="L70" s="28" t="n">
        <v>3550</v>
      </c>
      <c r="M70" s="28" t="n">
        <v>3550</v>
      </c>
      <c r="N70" s="9" t="s">
        <v>18</v>
      </c>
    </row>
    <row r="71" customFormat="false" ht="39.55" hidden="false" customHeight="false" outlineLevel="0" collapsed="false">
      <c r="A71" s="36"/>
      <c r="B71" s="37"/>
      <c r="C71" s="30"/>
      <c r="D71" s="30"/>
      <c r="E71" s="17"/>
      <c r="F71" s="7" t="s">
        <v>155</v>
      </c>
      <c r="G71" s="31" t="n">
        <v>141672</v>
      </c>
      <c r="H71" s="31" t="n">
        <v>2</v>
      </c>
      <c r="I71" s="27" t="s">
        <v>156</v>
      </c>
      <c r="J71" s="31" t="s">
        <v>99</v>
      </c>
      <c r="K71" s="31" t="s">
        <v>21</v>
      </c>
      <c r="L71" s="28" t="n">
        <v>2308</v>
      </c>
      <c r="M71" s="28" t="n">
        <v>6924</v>
      </c>
      <c r="N71" s="9" t="s">
        <v>18</v>
      </c>
    </row>
    <row r="72" customFormat="false" ht="26.85" hidden="false" customHeight="false" outlineLevel="0" collapsed="false">
      <c r="A72" s="36"/>
      <c r="B72" s="37"/>
      <c r="C72" s="30"/>
      <c r="D72" s="30"/>
      <c r="E72" s="17"/>
      <c r="F72" s="7" t="s">
        <v>157</v>
      </c>
      <c r="G72" s="31" t="n">
        <v>141672</v>
      </c>
      <c r="H72" s="31" t="n">
        <v>3</v>
      </c>
      <c r="I72" s="27" t="s">
        <v>158</v>
      </c>
      <c r="J72" s="31" t="s">
        <v>159</v>
      </c>
      <c r="K72" s="31" t="s">
        <v>21</v>
      </c>
      <c r="L72" s="28" t="n">
        <v>610</v>
      </c>
      <c r="M72" s="28" t="n">
        <v>1220</v>
      </c>
      <c r="N72" s="9" t="s">
        <v>18</v>
      </c>
    </row>
    <row r="73" customFormat="false" ht="26.85" hidden="false" customHeight="false" outlineLevel="0" collapsed="false">
      <c r="A73" s="36"/>
      <c r="B73" s="37"/>
      <c r="C73" s="30"/>
      <c r="D73" s="30"/>
      <c r="E73" s="17"/>
      <c r="F73" s="7" t="s">
        <v>160</v>
      </c>
      <c r="G73" s="31" t="n">
        <v>141672</v>
      </c>
      <c r="H73" s="31" t="n">
        <v>4</v>
      </c>
      <c r="I73" s="27" t="s">
        <v>161</v>
      </c>
      <c r="J73" s="31" t="s">
        <v>119</v>
      </c>
      <c r="K73" s="31" t="s">
        <v>21</v>
      </c>
      <c r="L73" s="28" t="n">
        <v>1100</v>
      </c>
      <c r="M73" s="28" t="n">
        <v>5500</v>
      </c>
      <c r="N73" s="9" t="s">
        <v>18</v>
      </c>
    </row>
    <row r="74" customFormat="false" ht="26.85" hidden="false" customHeight="false" outlineLevel="0" collapsed="false">
      <c r="A74" s="36"/>
      <c r="B74" s="37"/>
      <c r="C74" s="30"/>
      <c r="D74" s="30"/>
      <c r="E74" s="17"/>
      <c r="F74" s="7" t="s">
        <v>162</v>
      </c>
      <c r="G74" s="31" t="n">
        <v>141672</v>
      </c>
      <c r="H74" s="31" t="n">
        <v>5</v>
      </c>
      <c r="I74" s="27" t="s">
        <v>163</v>
      </c>
      <c r="J74" s="31" t="n">
        <v>24</v>
      </c>
      <c r="K74" s="31" t="s">
        <v>164</v>
      </c>
      <c r="L74" s="28" t="n">
        <v>2500</v>
      </c>
      <c r="M74" s="28" t="n">
        <v>60000</v>
      </c>
      <c r="N74" s="9" t="s">
        <v>18</v>
      </c>
    </row>
    <row r="75" customFormat="false" ht="39.55" hidden="false" customHeight="false" outlineLevel="0" collapsed="false">
      <c r="A75" s="36"/>
      <c r="B75" s="37"/>
      <c r="C75" s="30"/>
      <c r="D75" s="30"/>
      <c r="E75" s="17"/>
      <c r="F75" s="7" t="s">
        <v>165</v>
      </c>
      <c r="G75" s="31" t="n">
        <v>141672</v>
      </c>
      <c r="H75" s="31" t="n">
        <v>6</v>
      </c>
      <c r="I75" s="27" t="s">
        <v>166</v>
      </c>
      <c r="J75" s="31" t="n">
        <v>1</v>
      </c>
      <c r="K75" s="31" t="s">
        <v>21</v>
      </c>
      <c r="L75" s="28" t="n">
        <v>29860</v>
      </c>
      <c r="M75" s="28" t="n">
        <v>29860</v>
      </c>
      <c r="N75" s="9" t="s">
        <v>18</v>
      </c>
    </row>
    <row r="76" customFormat="false" ht="52.2" hidden="false" customHeight="false" outlineLevel="0" collapsed="false">
      <c r="A76" s="36"/>
      <c r="B76" s="37"/>
      <c r="C76" s="30"/>
      <c r="D76" s="30"/>
      <c r="E76" s="17"/>
      <c r="F76" s="7" t="s">
        <v>167</v>
      </c>
      <c r="G76" s="31" t="n">
        <v>141673</v>
      </c>
      <c r="H76" s="31" t="n">
        <v>7</v>
      </c>
      <c r="I76" s="27" t="s">
        <v>168</v>
      </c>
      <c r="J76" s="31" t="n">
        <v>3</v>
      </c>
      <c r="K76" s="31" t="s">
        <v>21</v>
      </c>
      <c r="L76" s="28" t="n">
        <v>460</v>
      </c>
      <c r="M76" s="28" t="n">
        <v>1380</v>
      </c>
      <c r="N76" s="9" t="s">
        <v>18</v>
      </c>
    </row>
    <row r="77" customFormat="false" ht="26.85" hidden="false" customHeight="false" outlineLevel="0" collapsed="false">
      <c r="A77" s="36"/>
      <c r="B77" s="37"/>
      <c r="C77" s="30"/>
      <c r="D77" s="30"/>
      <c r="E77" s="17"/>
      <c r="F77" s="7" t="s">
        <v>169</v>
      </c>
      <c r="G77" s="31" t="n">
        <v>141673</v>
      </c>
      <c r="H77" s="31" t="n">
        <v>8</v>
      </c>
      <c r="I77" s="27" t="s">
        <v>170</v>
      </c>
      <c r="J77" s="31" t="n">
        <v>36</v>
      </c>
      <c r="K77" s="31" t="s">
        <v>21</v>
      </c>
      <c r="L77" s="28" t="n">
        <v>175</v>
      </c>
      <c r="M77" s="28" t="n">
        <v>6300</v>
      </c>
      <c r="N77" s="9" t="s">
        <v>18</v>
      </c>
    </row>
    <row r="78" customFormat="false" ht="13.5" hidden="false" customHeight="false" outlineLevel="0" collapsed="false">
      <c r="A78" s="36"/>
      <c r="B78" s="37"/>
      <c r="C78" s="30"/>
      <c r="D78" s="30"/>
      <c r="E78" s="17"/>
      <c r="F78" s="7" t="s">
        <v>171</v>
      </c>
      <c r="G78" s="31" t="n">
        <v>142354</v>
      </c>
      <c r="H78" s="31" t="n">
        <v>9</v>
      </c>
      <c r="I78" s="27" t="s">
        <v>172</v>
      </c>
      <c r="J78" s="31" t="n">
        <v>10</v>
      </c>
      <c r="K78" s="31" t="s">
        <v>21</v>
      </c>
      <c r="L78" s="28" t="n">
        <v>1814.77</v>
      </c>
      <c r="M78" s="28" t="n">
        <v>18147.7</v>
      </c>
      <c r="N78" s="9" t="s">
        <v>18</v>
      </c>
    </row>
    <row r="79" customFormat="false" ht="13.5" hidden="false" customHeight="false" outlineLevel="0" collapsed="false">
      <c r="A79" s="36"/>
      <c r="B79" s="37"/>
      <c r="C79" s="30"/>
      <c r="D79" s="30"/>
      <c r="E79" s="17"/>
      <c r="F79" s="7" t="s">
        <v>173</v>
      </c>
      <c r="G79" s="31" t="n">
        <v>142354</v>
      </c>
      <c r="H79" s="31" t="n">
        <v>10</v>
      </c>
      <c r="I79" s="27" t="s">
        <v>174</v>
      </c>
      <c r="J79" s="31" t="n">
        <v>35</v>
      </c>
      <c r="K79" s="31" t="s">
        <v>21</v>
      </c>
      <c r="L79" s="28" t="n">
        <v>277.2</v>
      </c>
      <c r="M79" s="28" t="n">
        <v>9702</v>
      </c>
      <c r="N79" s="9" t="s">
        <v>18</v>
      </c>
    </row>
    <row r="80" customFormat="false" ht="13.5" hidden="false" customHeight="false" outlineLevel="0" collapsed="false">
      <c r="A80" s="36"/>
      <c r="B80" s="37"/>
      <c r="C80" s="30"/>
      <c r="D80" s="30"/>
      <c r="E80" s="17"/>
      <c r="F80" s="7" t="s">
        <v>175</v>
      </c>
      <c r="G80" s="31" t="n">
        <v>142354</v>
      </c>
      <c r="H80" s="31" t="n">
        <v>11</v>
      </c>
      <c r="I80" s="27" t="s">
        <v>176</v>
      </c>
      <c r="J80" s="31" t="n">
        <v>30</v>
      </c>
      <c r="K80" s="31" t="s">
        <v>21</v>
      </c>
      <c r="L80" s="28" t="n">
        <v>179.13</v>
      </c>
      <c r="M80" s="28" t="n">
        <v>5373.9</v>
      </c>
      <c r="N80" s="9" t="s">
        <v>18</v>
      </c>
    </row>
    <row r="81" customFormat="false" ht="13.5" hidden="false" customHeight="false" outlineLevel="0" collapsed="false">
      <c r="A81" s="36"/>
      <c r="B81" s="37"/>
      <c r="C81" s="30"/>
      <c r="D81" s="30"/>
      <c r="E81" s="17"/>
      <c r="F81" s="7" t="s">
        <v>177</v>
      </c>
      <c r="G81" s="31" t="n">
        <v>142354</v>
      </c>
      <c r="H81" s="31" t="n">
        <v>12</v>
      </c>
      <c r="I81" s="27" t="s">
        <v>178</v>
      </c>
      <c r="J81" s="31" t="n">
        <v>25</v>
      </c>
      <c r="K81" s="31" t="s">
        <v>21</v>
      </c>
      <c r="L81" s="28" t="n">
        <v>657.78</v>
      </c>
      <c r="M81" s="28" t="n">
        <v>16444.5</v>
      </c>
      <c r="N81" s="9" t="s">
        <v>18</v>
      </c>
    </row>
    <row r="82" customFormat="false" ht="13.5" hidden="false" customHeight="false" outlineLevel="0" collapsed="false">
      <c r="A82" s="36"/>
      <c r="B82" s="37"/>
      <c r="C82" s="30"/>
      <c r="D82" s="30"/>
      <c r="E82" s="17"/>
      <c r="F82" s="7" t="s">
        <v>179</v>
      </c>
      <c r="G82" s="31" t="n">
        <v>142354</v>
      </c>
      <c r="H82" s="31" t="n">
        <v>13</v>
      </c>
      <c r="I82" s="27" t="s">
        <v>180</v>
      </c>
      <c r="J82" s="31" t="n">
        <v>20</v>
      </c>
      <c r="K82" s="31" t="s">
        <v>21</v>
      </c>
      <c r="L82" s="28" t="n">
        <v>488.21</v>
      </c>
      <c r="M82" s="28" t="n">
        <v>9764.2</v>
      </c>
      <c r="N82" s="9" t="s">
        <v>18</v>
      </c>
    </row>
    <row r="83" customFormat="false" ht="26.85" hidden="false" customHeight="false" outlineLevel="0" collapsed="false">
      <c r="A83" s="36"/>
      <c r="B83" s="37"/>
      <c r="C83" s="30"/>
      <c r="D83" s="30"/>
      <c r="E83" s="17"/>
      <c r="F83" s="7" t="s">
        <v>76</v>
      </c>
      <c r="G83" s="31" t="n">
        <v>141672</v>
      </c>
      <c r="H83" s="31" t="s">
        <v>181</v>
      </c>
      <c r="I83" s="27" t="s">
        <v>182</v>
      </c>
      <c r="J83" s="31" t="n">
        <v>1</v>
      </c>
      <c r="K83" s="31" t="s">
        <v>21</v>
      </c>
      <c r="L83" s="28" t="n">
        <v>25200</v>
      </c>
      <c r="M83" s="28" t="n">
        <v>25200</v>
      </c>
      <c r="N83" s="9" t="s">
        <v>18</v>
      </c>
    </row>
    <row r="84" customFormat="false" ht="26.85" hidden="false" customHeight="false" outlineLevel="0" collapsed="false">
      <c r="A84" s="36"/>
      <c r="B84" s="37"/>
      <c r="C84" s="30"/>
      <c r="D84" s="30"/>
      <c r="E84" s="17"/>
      <c r="F84" s="7" t="s">
        <v>80</v>
      </c>
      <c r="G84" s="31" t="n">
        <v>141672</v>
      </c>
      <c r="H84" s="31" t="s">
        <v>183</v>
      </c>
      <c r="I84" s="27" t="s">
        <v>184</v>
      </c>
      <c r="J84" s="31" t="n">
        <v>1</v>
      </c>
      <c r="K84" s="31" t="s">
        <v>21</v>
      </c>
      <c r="L84" s="28" t="n">
        <v>14500</v>
      </c>
      <c r="M84" s="28" t="n">
        <v>14500</v>
      </c>
      <c r="N84" s="9" t="s">
        <v>18</v>
      </c>
    </row>
    <row r="85" customFormat="false" ht="13.5" hidden="false" customHeight="false" outlineLevel="0" collapsed="false">
      <c r="A85" s="3" t="s">
        <v>0</v>
      </c>
      <c r="B85" s="3" t="s">
        <v>1</v>
      </c>
      <c r="C85" s="3" t="s">
        <v>2</v>
      </c>
      <c r="D85" s="3" t="s">
        <v>3</v>
      </c>
      <c r="E85" s="3"/>
      <c r="F85" s="3" t="s">
        <v>4</v>
      </c>
      <c r="G85" s="3" t="s">
        <v>5</v>
      </c>
      <c r="H85" s="3" t="s">
        <v>6</v>
      </c>
      <c r="I85" s="3" t="s">
        <v>7</v>
      </c>
      <c r="J85" s="3" t="s">
        <v>8</v>
      </c>
      <c r="K85" s="3" t="s">
        <v>9</v>
      </c>
      <c r="L85" s="3" t="s">
        <v>10</v>
      </c>
      <c r="M85" s="3" t="s">
        <v>11</v>
      </c>
      <c r="N85" s="3" t="s">
        <v>12</v>
      </c>
    </row>
    <row r="86" customFormat="false" ht="13.5" hidden="false" customHeight="true" outlineLevel="0" collapsed="false">
      <c r="A86" s="4" t="n">
        <v>46048</v>
      </c>
      <c r="B86" s="5" t="n">
        <v>172542</v>
      </c>
      <c r="C86" s="6" t="s">
        <v>185</v>
      </c>
      <c r="D86" s="6" t="s">
        <v>14</v>
      </c>
      <c r="E86" s="30"/>
      <c r="F86" s="7" t="s">
        <v>132</v>
      </c>
      <c r="G86" s="9" t="n">
        <v>141644</v>
      </c>
      <c r="H86" s="31" t="n">
        <v>1</v>
      </c>
      <c r="I86" s="38" t="s">
        <v>133</v>
      </c>
      <c r="J86" s="31" t="s">
        <v>130</v>
      </c>
      <c r="K86" s="31" t="s">
        <v>21</v>
      </c>
      <c r="L86" s="39" t="n">
        <v>84</v>
      </c>
      <c r="M86" s="39" t="n">
        <v>8400</v>
      </c>
      <c r="N86" s="9" t="s">
        <v>186</v>
      </c>
    </row>
    <row r="87" customFormat="false" ht="13.5" hidden="false" customHeight="false" outlineLevel="0" collapsed="false">
      <c r="A87" s="4"/>
      <c r="B87" s="5"/>
      <c r="C87" s="6"/>
      <c r="D87" s="6"/>
      <c r="E87" s="17"/>
      <c r="F87" s="7" t="s">
        <v>187</v>
      </c>
      <c r="G87" s="9" t="n">
        <v>141644</v>
      </c>
      <c r="H87" s="31" t="n">
        <v>2</v>
      </c>
      <c r="I87" s="38" t="s">
        <v>188</v>
      </c>
      <c r="J87" s="31" t="s">
        <v>130</v>
      </c>
      <c r="K87" s="31" t="s">
        <v>21</v>
      </c>
      <c r="L87" s="39" t="n">
        <v>84</v>
      </c>
      <c r="M87" s="39" t="n">
        <v>8400</v>
      </c>
      <c r="N87" s="9" t="s">
        <v>18</v>
      </c>
    </row>
    <row r="88" customFormat="false" ht="13.5" hidden="false" customHeight="false" outlineLevel="0" collapsed="false">
      <c r="A88" s="4"/>
      <c r="B88" s="5"/>
      <c r="C88" s="6"/>
      <c r="D88" s="6"/>
      <c r="E88" s="17"/>
      <c r="F88" s="7" t="s">
        <v>189</v>
      </c>
      <c r="G88" s="9" t="n">
        <v>141644</v>
      </c>
      <c r="H88" s="31" t="n">
        <v>3</v>
      </c>
      <c r="I88" s="38" t="s">
        <v>190</v>
      </c>
      <c r="J88" s="31" t="s">
        <v>191</v>
      </c>
      <c r="K88" s="31" t="s">
        <v>21</v>
      </c>
      <c r="L88" s="39" t="n">
        <v>124</v>
      </c>
      <c r="M88" s="39" t="n">
        <v>7440</v>
      </c>
      <c r="N88" s="9" t="s">
        <v>18</v>
      </c>
    </row>
    <row r="89" customFormat="false" ht="13.5" hidden="false" customHeight="false" outlineLevel="0" collapsed="false">
      <c r="A89" s="4"/>
      <c r="B89" s="5"/>
      <c r="C89" s="6"/>
      <c r="D89" s="6"/>
      <c r="E89" s="17"/>
      <c r="F89" s="9" t="n">
        <v>1204045</v>
      </c>
      <c r="G89" s="9" t="n">
        <v>141644</v>
      </c>
      <c r="H89" s="31" t="n">
        <v>4</v>
      </c>
      <c r="I89" s="38" t="s">
        <v>192</v>
      </c>
      <c r="J89" s="31" t="n">
        <v>60</v>
      </c>
      <c r="K89" s="31" t="s">
        <v>21</v>
      </c>
      <c r="L89" s="39" t="n">
        <v>124</v>
      </c>
      <c r="M89" s="39" t="n">
        <v>7440</v>
      </c>
      <c r="N89" s="9" t="s">
        <v>18</v>
      </c>
    </row>
    <row r="90" customFormat="false" ht="13.5" hidden="false" customHeight="false" outlineLevel="0" collapsed="false">
      <c r="A90" s="4"/>
      <c r="B90" s="5"/>
      <c r="C90" s="6"/>
      <c r="D90" s="6"/>
      <c r="E90" s="17"/>
      <c r="F90" s="9" t="n">
        <v>1204012</v>
      </c>
      <c r="G90" s="9" t="n">
        <v>141644</v>
      </c>
      <c r="H90" s="31" t="n">
        <v>5</v>
      </c>
      <c r="I90" s="38" t="s">
        <v>193</v>
      </c>
      <c r="J90" s="31" t="n">
        <v>60</v>
      </c>
      <c r="K90" s="31" t="s">
        <v>21</v>
      </c>
      <c r="L90" s="39" t="n">
        <v>124</v>
      </c>
      <c r="M90" s="39" t="n">
        <v>7440</v>
      </c>
      <c r="N90" s="9" t="s">
        <v>194</v>
      </c>
    </row>
    <row r="91" customFormat="false" ht="13.5" hidden="false" customHeight="false" outlineLevel="0" collapsed="false">
      <c r="A91" s="4"/>
      <c r="B91" s="5"/>
      <c r="C91" s="6"/>
      <c r="D91" s="6"/>
      <c r="E91" s="17"/>
      <c r="F91" s="9" t="n">
        <v>1204049</v>
      </c>
      <c r="G91" s="9" t="n">
        <v>141644</v>
      </c>
      <c r="H91" s="31" t="n">
        <v>6</v>
      </c>
      <c r="I91" s="38" t="s">
        <v>195</v>
      </c>
      <c r="J91" s="31" t="n">
        <v>100</v>
      </c>
      <c r="K91" s="31" t="s">
        <v>21</v>
      </c>
      <c r="L91" s="39" t="n">
        <v>34</v>
      </c>
      <c r="M91" s="39" t="n">
        <v>3400</v>
      </c>
      <c r="N91" s="9" t="s">
        <v>18</v>
      </c>
    </row>
    <row r="92" customFormat="false" ht="13.5" hidden="false" customHeight="false" outlineLevel="0" collapsed="false">
      <c r="A92" s="4"/>
      <c r="B92" s="5"/>
      <c r="C92" s="6"/>
      <c r="D92" s="6"/>
      <c r="E92" s="17"/>
      <c r="F92" s="9" t="n">
        <v>1204050</v>
      </c>
      <c r="G92" s="9" t="n">
        <v>141644</v>
      </c>
      <c r="H92" s="31" t="n">
        <v>7</v>
      </c>
      <c r="I92" s="38" t="s">
        <v>196</v>
      </c>
      <c r="J92" s="31" t="n">
        <v>100</v>
      </c>
      <c r="K92" s="31" t="s">
        <v>21</v>
      </c>
      <c r="L92" s="39" t="n">
        <v>41</v>
      </c>
      <c r="M92" s="39" t="n">
        <v>4100</v>
      </c>
      <c r="N92" s="9" t="s">
        <v>18</v>
      </c>
    </row>
    <row r="93" customFormat="false" ht="13.5" hidden="false" customHeight="false" outlineLevel="0" collapsed="false">
      <c r="A93" s="4"/>
      <c r="B93" s="5"/>
      <c r="C93" s="6"/>
      <c r="D93" s="6"/>
      <c r="E93" s="17"/>
      <c r="F93" s="40" t="n">
        <v>1204057</v>
      </c>
      <c r="G93" s="40" t="n">
        <v>141645</v>
      </c>
      <c r="H93" s="41" t="n">
        <v>8</v>
      </c>
      <c r="I93" s="42" t="s">
        <v>197</v>
      </c>
      <c r="J93" s="41" t="n">
        <v>50</v>
      </c>
      <c r="K93" s="41" t="s">
        <v>21</v>
      </c>
      <c r="L93" s="39" t="n">
        <v>18.82</v>
      </c>
      <c r="M93" s="39" t="n">
        <v>941</v>
      </c>
      <c r="N93" s="9" t="s">
        <v>194</v>
      </c>
    </row>
    <row r="94" customFormat="false" ht="13.5" hidden="false" customHeight="false" outlineLevel="0" collapsed="false">
      <c r="A94" s="4"/>
      <c r="B94" s="5"/>
      <c r="C94" s="6"/>
      <c r="D94" s="6"/>
      <c r="E94" s="17"/>
      <c r="F94" s="9" t="n">
        <v>1204056</v>
      </c>
      <c r="G94" s="9" t="n">
        <v>141644</v>
      </c>
      <c r="H94" s="31" t="n">
        <v>9</v>
      </c>
      <c r="I94" s="38" t="s">
        <v>198</v>
      </c>
      <c r="J94" s="31" t="n">
        <v>100</v>
      </c>
      <c r="K94" s="31" t="s">
        <v>21</v>
      </c>
      <c r="L94" s="39" t="n">
        <v>15</v>
      </c>
      <c r="M94" s="39" t="n">
        <v>1500</v>
      </c>
      <c r="N94" s="9" t="s">
        <v>18</v>
      </c>
    </row>
    <row r="95" customFormat="false" ht="13.5" hidden="false" customHeight="false" outlineLevel="0" collapsed="false">
      <c r="A95" s="4"/>
      <c r="B95" s="5"/>
      <c r="C95" s="6"/>
      <c r="D95" s="6"/>
      <c r="E95" s="17"/>
      <c r="F95" s="9" t="n">
        <v>1204003</v>
      </c>
      <c r="G95" s="9" t="n">
        <v>141644</v>
      </c>
      <c r="H95" s="31" t="n">
        <v>10</v>
      </c>
      <c r="I95" s="38" t="s">
        <v>199</v>
      </c>
      <c r="J95" s="31" t="n">
        <v>100</v>
      </c>
      <c r="K95" s="31" t="s">
        <v>21</v>
      </c>
      <c r="L95" s="39" t="n">
        <v>42</v>
      </c>
      <c r="M95" s="39" t="n">
        <v>4200</v>
      </c>
      <c r="N95" s="9" t="s">
        <v>18</v>
      </c>
    </row>
    <row r="96" customFormat="false" ht="13.5" hidden="false" customHeight="false" outlineLevel="0" collapsed="false">
      <c r="A96" s="4"/>
      <c r="B96" s="5"/>
      <c r="C96" s="6"/>
      <c r="D96" s="6"/>
      <c r="E96" s="17"/>
      <c r="F96" s="9" t="n">
        <v>1206016</v>
      </c>
      <c r="G96" s="9" t="n">
        <v>141644</v>
      </c>
      <c r="H96" s="31" t="n">
        <v>11</v>
      </c>
      <c r="I96" s="38" t="s">
        <v>200</v>
      </c>
      <c r="J96" s="31" t="n">
        <v>20</v>
      </c>
      <c r="K96" s="31" t="s">
        <v>21</v>
      </c>
      <c r="L96" s="39" t="n">
        <v>92</v>
      </c>
      <c r="M96" s="39" t="n">
        <v>1840</v>
      </c>
      <c r="N96" s="9" t="s">
        <v>18</v>
      </c>
    </row>
    <row r="97" customFormat="false" ht="13.5" hidden="false" customHeight="false" outlineLevel="0" collapsed="false">
      <c r="A97" s="4"/>
      <c r="B97" s="5"/>
      <c r="C97" s="6"/>
      <c r="D97" s="6"/>
      <c r="E97" s="17"/>
      <c r="F97" s="9" t="n">
        <v>1206017</v>
      </c>
      <c r="G97" s="9" t="n">
        <v>141644</v>
      </c>
      <c r="H97" s="31" t="n">
        <v>12</v>
      </c>
      <c r="I97" s="38" t="s">
        <v>201</v>
      </c>
      <c r="J97" s="31" t="n">
        <v>20</v>
      </c>
      <c r="K97" s="31" t="s">
        <v>21</v>
      </c>
      <c r="L97" s="39" t="n">
        <v>235</v>
      </c>
      <c r="M97" s="39" t="n">
        <v>4700</v>
      </c>
      <c r="N97" s="9" t="s">
        <v>18</v>
      </c>
    </row>
    <row r="98" customFormat="false" ht="13.5" hidden="false" customHeight="false" outlineLevel="0" collapsed="false">
      <c r="A98" s="4"/>
      <c r="B98" s="5"/>
      <c r="C98" s="6"/>
      <c r="D98" s="6"/>
      <c r="E98" s="16"/>
      <c r="F98" s="26" t="s">
        <v>115</v>
      </c>
      <c r="G98" s="20"/>
      <c r="H98" s="32" t="n">
        <v>13</v>
      </c>
      <c r="I98" s="43" t="s">
        <v>116</v>
      </c>
      <c r="J98" s="32" t="n">
        <v>40</v>
      </c>
      <c r="K98" s="32" t="s">
        <v>21</v>
      </c>
      <c r="L98" s="44" t="n">
        <v>32.25</v>
      </c>
      <c r="M98" s="44" t="n">
        <v>1290</v>
      </c>
      <c r="N98" s="20" t="s">
        <v>37</v>
      </c>
    </row>
    <row r="99" customFormat="false" ht="13.5" hidden="false" customHeight="false" outlineLevel="0" collapsed="false">
      <c r="A99" s="3" t="s">
        <v>0</v>
      </c>
      <c r="B99" s="3" t="s">
        <v>1</v>
      </c>
      <c r="C99" s="3" t="s">
        <v>2</v>
      </c>
      <c r="D99" s="3" t="s">
        <v>3</v>
      </c>
      <c r="E99" s="3"/>
      <c r="F99" s="3" t="s">
        <v>4</v>
      </c>
      <c r="G99" s="3" t="s">
        <v>5</v>
      </c>
      <c r="H99" s="3" t="s">
        <v>6</v>
      </c>
      <c r="I99" s="3" t="s">
        <v>7</v>
      </c>
      <c r="J99" s="3" t="s">
        <v>8</v>
      </c>
      <c r="K99" s="3" t="s">
        <v>9</v>
      </c>
      <c r="L99" s="3" t="s">
        <v>10</v>
      </c>
      <c r="M99" s="3" t="s">
        <v>11</v>
      </c>
      <c r="N99" s="3" t="s">
        <v>12</v>
      </c>
    </row>
    <row r="100" customFormat="false" ht="13.5" hidden="false" customHeight="false" outlineLevel="0" collapsed="false">
      <c r="A100" s="4" t="n">
        <v>46050</v>
      </c>
      <c r="B100" s="5" t="n">
        <v>172560</v>
      </c>
      <c r="C100" s="6" t="s">
        <v>202</v>
      </c>
      <c r="D100" s="6" t="s">
        <v>14</v>
      </c>
      <c r="E100" s="6"/>
      <c r="F100" s="32" t="s">
        <v>203</v>
      </c>
      <c r="G100" s="32"/>
      <c r="H100" s="32" t="n">
        <v>1</v>
      </c>
      <c r="I100" s="45" t="s">
        <v>204</v>
      </c>
      <c r="J100" s="32" t="s">
        <v>154</v>
      </c>
      <c r="K100" s="32" t="s">
        <v>205</v>
      </c>
      <c r="L100" s="20"/>
      <c r="M100" s="20"/>
      <c r="N100" s="20" t="s">
        <v>37</v>
      </c>
    </row>
    <row r="101" customFormat="false" ht="13.5" hidden="false" customHeight="false" outlineLevel="0" collapsed="false">
      <c r="A101" s="3" t="s">
        <v>0</v>
      </c>
      <c r="B101" s="3" t="s">
        <v>1</v>
      </c>
      <c r="C101" s="3" t="s">
        <v>2</v>
      </c>
      <c r="D101" s="3" t="s">
        <v>3</v>
      </c>
      <c r="E101" s="3"/>
      <c r="F101" s="3" t="s">
        <v>4</v>
      </c>
      <c r="G101" s="3" t="s">
        <v>5</v>
      </c>
      <c r="H101" s="3" t="s">
        <v>6</v>
      </c>
      <c r="I101" s="3" t="s">
        <v>7</v>
      </c>
      <c r="J101" s="3" t="s">
        <v>8</v>
      </c>
      <c r="K101" s="3" t="s">
        <v>9</v>
      </c>
      <c r="L101" s="3" t="s">
        <v>10</v>
      </c>
      <c r="M101" s="3" t="s">
        <v>11</v>
      </c>
      <c r="N101" s="3" t="s">
        <v>12</v>
      </c>
    </row>
    <row r="102" customFormat="false" ht="26.85" hidden="false" customHeight="true" outlineLevel="0" collapsed="false">
      <c r="A102" s="4" t="n">
        <v>46051</v>
      </c>
      <c r="B102" s="5" t="n">
        <v>172702</v>
      </c>
      <c r="C102" s="6" t="s">
        <v>206</v>
      </c>
      <c r="D102" s="6" t="s">
        <v>14</v>
      </c>
      <c r="E102" s="30"/>
      <c r="F102" s="31" t="n">
        <v>1301100</v>
      </c>
      <c r="G102" s="31" t="s">
        <v>207</v>
      </c>
      <c r="H102" s="31" t="n">
        <v>1</v>
      </c>
      <c r="I102" s="27" t="s">
        <v>208</v>
      </c>
      <c r="J102" s="31" t="s">
        <v>191</v>
      </c>
      <c r="K102" s="46" t="s">
        <v>209</v>
      </c>
      <c r="L102" s="39" t="n">
        <v>419.78</v>
      </c>
      <c r="M102" s="47" t="n">
        <v>25186.62</v>
      </c>
      <c r="N102" s="9" t="s">
        <v>18</v>
      </c>
    </row>
    <row r="103" customFormat="false" ht="26.85" hidden="false" customHeight="false" outlineLevel="0" collapsed="false">
      <c r="A103" s="4"/>
      <c r="B103" s="5"/>
      <c r="C103" s="6"/>
      <c r="D103" s="6"/>
      <c r="E103" s="17"/>
      <c r="F103" s="31" t="n">
        <v>402019</v>
      </c>
      <c r="G103" s="31" t="n">
        <v>141885</v>
      </c>
      <c r="H103" s="31" t="s">
        <v>159</v>
      </c>
      <c r="I103" s="27" t="s">
        <v>210</v>
      </c>
      <c r="J103" s="31" t="n">
        <v>24</v>
      </c>
      <c r="K103" s="46" t="s">
        <v>24</v>
      </c>
      <c r="L103" s="47" t="n">
        <v>286.18</v>
      </c>
      <c r="M103" s="47" t="n">
        <v>686.82</v>
      </c>
      <c r="N103" s="9" t="s">
        <v>18</v>
      </c>
    </row>
    <row r="104" customFormat="false" ht="13.5" hidden="false" customHeight="false" outlineLevel="0" collapsed="false">
      <c r="A104" s="4"/>
      <c r="B104" s="5"/>
      <c r="C104" s="6"/>
      <c r="D104" s="6"/>
      <c r="E104" s="16"/>
      <c r="F104" s="31" t="s">
        <v>211</v>
      </c>
      <c r="G104" s="31" t="n">
        <v>141885</v>
      </c>
      <c r="H104" s="31" t="n">
        <v>3</v>
      </c>
      <c r="I104" s="27" t="s">
        <v>212</v>
      </c>
      <c r="J104" s="31" t="n">
        <v>2.4</v>
      </c>
      <c r="K104" s="46" t="s">
        <v>209</v>
      </c>
      <c r="L104" s="39" t="n">
        <v>444.77</v>
      </c>
      <c r="M104" s="47" t="n">
        <v>10674.54</v>
      </c>
      <c r="N104" s="9" t="s">
        <v>18</v>
      </c>
    </row>
    <row r="105" customFormat="false" ht="13.5" hidden="false" customHeight="false" outlineLevel="0" collapsed="false">
      <c r="A105" s="3" t="s">
        <v>0</v>
      </c>
      <c r="B105" s="3" t="s">
        <v>1</v>
      </c>
      <c r="C105" s="3" t="s">
        <v>2</v>
      </c>
      <c r="D105" s="3" t="s">
        <v>3</v>
      </c>
      <c r="E105" s="3"/>
      <c r="F105" s="3" t="s">
        <v>4</v>
      </c>
      <c r="G105" s="3" t="s">
        <v>5</v>
      </c>
      <c r="H105" s="3" t="s">
        <v>6</v>
      </c>
      <c r="I105" s="3" t="s">
        <v>7</v>
      </c>
      <c r="J105" s="3" t="s">
        <v>8</v>
      </c>
      <c r="K105" s="3" t="s">
        <v>9</v>
      </c>
      <c r="L105" s="3" t="s">
        <v>10</v>
      </c>
      <c r="M105" s="3" t="s">
        <v>11</v>
      </c>
      <c r="N105" s="3" t="s">
        <v>12</v>
      </c>
    </row>
    <row r="106" customFormat="false" ht="26.85" hidden="false" customHeight="false" outlineLevel="0" collapsed="false">
      <c r="A106" s="48"/>
      <c r="B106" s="48"/>
      <c r="C106" s="48"/>
      <c r="D106" s="48"/>
      <c r="E106" s="48"/>
      <c r="F106" s="49" t="s">
        <v>213</v>
      </c>
      <c r="G106" s="5" t="n">
        <v>143975</v>
      </c>
      <c r="H106" s="49" t="s">
        <v>154</v>
      </c>
      <c r="I106" s="50" t="s">
        <v>214</v>
      </c>
      <c r="J106" s="49" t="s">
        <v>215</v>
      </c>
      <c r="K106" s="49" t="s">
        <v>216</v>
      </c>
      <c r="L106" s="51" t="n">
        <v>7726.8535</v>
      </c>
      <c r="M106" s="51" t="n">
        <v>370888.97</v>
      </c>
      <c r="N106" s="52" t="s">
        <v>217</v>
      </c>
    </row>
    <row r="107" customFormat="false" ht="26.85" hidden="false" customHeight="true" outlineLevel="0" collapsed="false">
      <c r="A107" s="14" t="n">
        <v>46052</v>
      </c>
      <c r="B107" s="15" t="n">
        <v>172807</v>
      </c>
      <c r="C107" s="16" t="s">
        <v>218</v>
      </c>
      <c r="D107" s="16" t="s">
        <v>14</v>
      </c>
      <c r="E107" s="17"/>
      <c r="F107" s="49" t="s">
        <v>219</v>
      </c>
      <c r="G107" s="5" t="n">
        <v>143975</v>
      </c>
      <c r="H107" s="49" t="s">
        <v>159</v>
      </c>
      <c r="I107" s="50" t="s">
        <v>220</v>
      </c>
      <c r="J107" s="49" t="s">
        <v>221</v>
      </c>
      <c r="K107" s="49" t="s">
        <v>216</v>
      </c>
      <c r="L107" s="51" t="n">
        <v>5470.0745</v>
      </c>
      <c r="M107" s="51" t="n">
        <v>361024.92</v>
      </c>
      <c r="N107" s="52" t="s">
        <v>217</v>
      </c>
    </row>
    <row r="108" customFormat="false" ht="26.85" hidden="false" customHeight="false" outlineLevel="0" collapsed="false">
      <c r="A108" s="14"/>
      <c r="B108" s="15"/>
      <c r="C108" s="16"/>
      <c r="D108" s="16"/>
      <c r="E108" s="17"/>
      <c r="F108" s="31" t="s">
        <v>87</v>
      </c>
      <c r="G108" s="53" t="n">
        <v>143976</v>
      </c>
      <c r="H108" s="31" t="s">
        <v>99</v>
      </c>
      <c r="I108" s="10" t="s">
        <v>222</v>
      </c>
      <c r="J108" s="31" t="n">
        <v>3</v>
      </c>
      <c r="K108" s="31" t="s">
        <v>21</v>
      </c>
      <c r="L108" s="39" t="n">
        <v>23000</v>
      </c>
      <c r="M108" s="39" t="n">
        <v>69000</v>
      </c>
      <c r="N108" s="9" t="s">
        <v>223</v>
      </c>
    </row>
    <row r="109" customFormat="false" ht="26.85" hidden="false" customHeight="false" outlineLevel="0" collapsed="false">
      <c r="A109" s="14"/>
      <c r="B109" s="15"/>
      <c r="C109" s="16"/>
      <c r="D109" s="16"/>
      <c r="E109" s="17"/>
      <c r="F109" s="31" t="s">
        <v>73</v>
      </c>
      <c r="G109" s="53" t="n">
        <v>143976</v>
      </c>
      <c r="H109" s="31" t="s">
        <v>224</v>
      </c>
      <c r="I109" s="10" t="s">
        <v>225</v>
      </c>
      <c r="J109" s="31" t="n">
        <v>1</v>
      </c>
      <c r="K109" s="31" t="s">
        <v>21</v>
      </c>
      <c r="L109" s="39" t="n">
        <v>17000</v>
      </c>
      <c r="M109" s="39" t="n">
        <v>17000</v>
      </c>
      <c r="N109" s="9" t="s">
        <v>223</v>
      </c>
    </row>
    <row r="110" customFormat="false" ht="26.85" hidden="false" customHeight="false" outlineLevel="0" collapsed="false">
      <c r="A110" s="14"/>
      <c r="B110" s="15"/>
      <c r="C110" s="16"/>
      <c r="D110" s="16"/>
      <c r="E110" s="17"/>
      <c r="F110" s="31" t="s">
        <v>226</v>
      </c>
      <c r="G110" s="53" t="n">
        <v>143976</v>
      </c>
      <c r="H110" s="31" t="s">
        <v>119</v>
      </c>
      <c r="I110" s="10" t="s">
        <v>227</v>
      </c>
      <c r="J110" s="31" t="n">
        <v>3</v>
      </c>
      <c r="K110" s="31" t="s">
        <v>21</v>
      </c>
      <c r="L110" s="39" t="n">
        <v>9000</v>
      </c>
      <c r="M110" s="39" t="n">
        <v>27000</v>
      </c>
      <c r="N110" s="9" t="s">
        <v>223</v>
      </c>
    </row>
    <row r="111" customFormat="false" ht="26.85" hidden="false" customHeight="false" outlineLevel="0" collapsed="false">
      <c r="A111" s="14"/>
      <c r="B111" s="15"/>
      <c r="C111" s="16"/>
      <c r="D111" s="16"/>
      <c r="E111" s="17"/>
      <c r="F111" s="31" t="s">
        <v>228</v>
      </c>
      <c r="G111" s="53" t="n">
        <v>143976</v>
      </c>
      <c r="H111" s="31" t="s">
        <v>229</v>
      </c>
      <c r="I111" s="10" t="s">
        <v>230</v>
      </c>
      <c r="J111" s="31" t="n">
        <v>1</v>
      </c>
      <c r="K111" s="31" t="s">
        <v>21</v>
      </c>
      <c r="L111" s="39" t="n">
        <v>39500</v>
      </c>
      <c r="M111" s="39" t="n">
        <v>39500</v>
      </c>
      <c r="N111" s="9" t="s">
        <v>223</v>
      </c>
    </row>
    <row r="112" customFormat="false" ht="39.55" hidden="false" customHeight="false" outlineLevel="0" collapsed="false">
      <c r="A112" s="14"/>
      <c r="B112" s="15"/>
      <c r="C112" s="16"/>
      <c r="D112" s="16"/>
      <c r="E112" s="17"/>
      <c r="F112" s="31" t="s">
        <v>231</v>
      </c>
      <c r="G112" s="53" t="n">
        <v>143976</v>
      </c>
      <c r="H112" s="31" t="s">
        <v>232</v>
      </c>
      <c r="I112" s="10" t="s">
        <v>233</v>
      </c>
      <c r="J112" s="31" t="s">
        <v>154</v>
      </c>
      <c r="K112" s="31" t="s">
        <v>21</v>
      </c>
      <c r="L112" s="39" t="n">
        <v>16000</v>
      </c>
      <c r="M112" s="39" t="n">
        <v>16000</v>
      </c>
      <c r="N112" s="9" t="s">
        <v>223</v>
      </c>
    </row>
    <row r="113" customFormat="false" ht="26.85" hidden="false" customHeight="false" outlineLevel="0" collapsed="false">
      <c r="A113" s="14"/>
      <c r="B113" s="15"/>
      <c r="C113" s="16"/>
      <c r="D113" s="16"/>
      <c r="E113" s="17"/>
      <c r="F113" s="49" t="s">
        <v>234</v>
      </c>
      <c r="G113" s="5" t="n">
        <v>143973</v>
      </c>
      <c r="H113" s="49" t="s">
        <v>235</v>
      </c>
      <c r="I113" s="50" t="s">
        <v>236</v>
      </c>
      <c r="J113" s="49" t="s">
        <v>154</v>
      </c>
      <c r="K113" s="49" t="s">
        <v>21</v>
      </c>
      <c r="L113" s="51" t="n">
        <v>1507.5104</v>
      </c>
      <c r="M113" s="51" t="n">
        <v>1507.51</v>
      </c>
      <c r="N113" s="52" t="s">
        <v>237</v>
      </c>
    </row>
    <row r="114" customFormat="false" ht="26.85" hidden="false" customHeight="false" outlineLevel="0" collapsed="false">
      <c r="A114" s="14"/>
      <c r="B114" s="15"/>
      <c r="C114" s="16"/>
      <c r="D114" s="16"/>
      <c r="E114" s="17"/>
      <c r="F114" s="31" t="s">
        <v>238</v>
      </c>
      <c r="G114" s="53" t="n">
        <v>143974</v>
      </c>
      <c r="H114" s="31" t="s">
        <v>239</v>
      </c>
      <c r="I114" s="10" t="s">
        <v>240</v>
      </c>
      <c r="J114" s="31" t="s">
        <v>109</v>
      </c>
      <c r="K114" s="31" t="s">
        <v>21</v>
      </c>
      <c r="L114" s="39" t="n">
        <v>400</v>
      </c>
      <c r="M114" s="39" t="n">
        <v>8000</v>
      </c>
      <c r="N114" s="9" t="s">
        <v>223</v>
      </c>
    </row>
    <row r="115" customFormat="false" ht="26.85" hidden="false" customHeight="false" outlineLevel="0" collapsed="false">
      <c r="A115" s="14"/>
      <c r="B115" s="15"/>
      <c r="C115" s="16"/>
      <c r="D115" s="16"/>
      <c r="E115" s="17"/>
      <c r="F115" s="31" t="s">
        <v>241</v>
      </c>
      <c r="G115" s="53" t="n">
        <v>143976</v>
      </c>
      <c r="H115" s="31" t="s">
        <v>141</v>
      </c>
      <c r="I115" s="10" t="s">
        <v>242</v>
      </c>
      <c r="J115" s="31" t="s">
        <v>154</v>
      </c>
      <c r="K115" s="31" t="s">
        <v>21</v>
      </c>
      <c r="L115" s="39" t="n">
        <v>18000</v>
      </c>
      <c r="M115" s="39" t="n">
        <v>18000</v>
      </c>
      <c r="N115" s="9" t="s">
        <v>223</v>
      </c>
    </row>
    <row r="116" customFormat="false" ht="26.85" hidden="false" customHeight="false" outlineLevel="0" collapsed="false">
      <c r="A116" s="14"/>
      <c r="B116" s="15"/>
      <c r="C116" s="16"/>
      <c r="D116" s="16"/>
      <c r="E116" s="17"/>
      <c r="F116" s="31" t="s">
        <v>243</v>
      </c>
      <c r="G116" s="53" t="n">
        <v>143976</v>
      </c>
      <c r="H116" s="31" t="s">
        <v>244</v>
      </c>
      <c r="I116" s="10" t="s">
        <v>245</v>
      </c>
      <c r="J116" s="31" t="s">
        <v>154</v>
      </c>
      <c r="K116" s="31" t="s">
        <v>21</v>
      </c>
      <c r="L116" s="39" t="n">
        <v>4700</v>
      </c>
      <c r="M116" s="39" t="n">
        <v>4700</v>
      </c>
      <c r="N116" s="9" t="s">
        <v>223</v>
      </c>
    </row>
    <row r="117" customFormat="false" ht="26.85" hidden="false" customHeight="false" outlineLevel="0" collapsed="false">
      <c r="A117" s="14"/>
      <c r="B117" s="15"/>
      <c r="C117" s="16"/>
      <c r="D117" s="16"/>
      <c r="E117" s="17"/>
      <c r="F117" s="49" t="s">
        <v>162</v>
      </c>
      <c r="G117" s="5" t="n">
        <v>143975</v>
      </c>
      <c r="H117" s="49" t="s">
        <v>246</v>
      </c>
      <c r="I117" s="50" t="s">
        <v>163</v>
      </c>
      <c r="J117" s="49" t="s">
        <v>246</v>
      </c>
      <c r="K117" s="49" t="s">
        <v>216</v>
      </c>
      <c r="L117" s="51" t="n">
        <v>1615.7074</v>
      </c>
      <c r="M117" s="51" t="n">
        <v>19388.49</v>
      </c>
      <c r="N117" s="52" t="s">
        <v>217</v>
      </c>
    </row>
    <row r="118" customFormat="false" ht="26.85" hidden="false" customHeight="false" outlineLevel="0" collapsed="false">
      <c r="A118" s="14"/>
      <c r="B118" s="15"/>
      <c r="C118" s="16"/>
      <c r="D118" s="16"/>
      <c r="E118" s="17"/>
      <c r="F118" s="49" t="s">
        <v>247</v>
      </c>
      <c r="G118" s="5" t="n">
        <v>143975</v>
      </c>
      <c r="H118" s="49" t="s">
        <v>248</v>
      </c>
      <c r="I118" s="50" t="s">
        <v>249</v>
      </c>
      <c r="J118" s="49" t="s">
        <v>229</v>
      </c>
      <c r="K118" s="49" t="s">
        <v>216</v>
      </c>
      <c r="L118" s="51" t="n">
        <v>847.2843</v>
      </c>
      <c r="M118" s="51" t="n">
        <v>5083.71</v>
      </c>
      <c r="N118" s="52" t="s">
        <v>217</v>
      </c>
    </row>
    <row r="119" customFormat="false" ht="26.85" hidden="false" customHeight="false" outlineLevel="0" collapsed="false">
      <c r="A119" s="14"/>
      <c r="B119" s="15"/>
      <c r="C119" s="16"/>
      <c r="D119" s="16"/>
      <c r="E119" s="17"/>
      <c r="F119" s="49" t="s">
        <v>250</v>
      </c>
      <c r="G119" s="5" t="n">
        <v>143975</v>
      </c>
      <c r="H119" s="49" t="s">
        <v>181</v>
      </c>
      <c r="I119" s="50" t="s">
        <v>251</v>
      </c>
      <c r="J119" s="49" t="s">
        <v>246</v>
      </c>
      <c r="K119" s="49" t="s">
        <v>216</v>
      </c>
      <c r="L119" s="51" t="n">
        <v>284.0387</v>
      </c>
      <c r="M119" s="51" t="n">
        <v>3408.46</v>
      </c>
      <c r="N119" s="52" t="s">
        <v>217</v>
      </c>
    </row>
    <row r="120" customFormat="false" ht="26.85" hidden="false" customHeight="false" outlineLevel="0" collapsed="false">
      <c r="A120" s="14"/>
      <c r="B120" s="15"/>
      <c r="C120" s="16"/>
      <c r="D120" s="16"/>
      <c r="E120" s="17"/>
      <c r="F120" s="31" t="s">
        <v>252</v>
      </c>
      <c r="G120" s="53" t="n">
        <v>143976</v>
      </c>
      <c r="H120" s="31" t="s">
        <v>183</v>
      </c>
      <c r="I120" s="10" t="s">
        <v>253</v>
      </c>
      <c r="J120" s="31" t="s">
        <v>154</v>
      </c>
      <c r="K120" s="31" t="s">
        <v>21</v>
      </c>
      <c r="L120" s="39" t="n">
        <v>1300</v>
      </c>
      <c r="M120" s="39" t="n">
        <v>1300</v>
      </c>
      <c r="N120" s="9" t="s">
        <v>223</v>
      </c>
    </row>
    <row r="121" customFormat="false" ht="26.85" hidden="false" customHeight="false" outlineLevel="0" collapsed="false">
      <c r="A121" s="14"/>
      <c r="B121" s="15"/>
      <c r="C121" s="16"/>
      <c r="D121" s="16"/>
      <c r="E121" s="17"/>
      <c r="F121" s="31" t="s">
        <v>254</v>
      </c>
      <c r="G121" s="53" t="n">
        <v>143976</v>
      </c>
      <c r="H121" s="31" t="s">
        <v>255</v>
      </c>
      <c r="I121" s="10" t="s">
        <v>256</v>
      </c>
      <c r="J121" s="31" t="s">
        <v>159</v>
      </c>
      <c r="K121" s="31" t="s">
        <v>21</v>
      </c>
      <c r="L121" s="39" t="n">
        <v>800</v>
      </c>
      <c r="M121" s="39" t="n">
        <v>1600</v>
      </c>
      <c r="N121" s="9" t="s">
        <v>223</v>
      </c>
    </row>
    <row r="122" customFormat="false" ht="26.85" hidden="false" customHeight="false" outlineLevel="0" collapsed="false">
      <c r="A122" s="14"/>
      <c r="B122" s="15"/>
      <c r="C122" s="16"/>
      <c r="D122" s="16"/>
      <c r="E122" s="17"/>
      <c r="F122" s="31" t="s">
        <v>257</v>
      </c>
      <c r="G122" s="53" t="n">
        <v>143976</v>
      </c>
      <c r="H122" s="31" t="s">
        <v>258</v>
      </c>
      <c r="I122" s="10" t="s">
        <v>259</v>
      </c>
      <c r="J122" s="31" t="s">
        <v>154</v>
      </c>
      <c r="K122" s="31" t="s">
        <v>21</v>
      </c>
      <c r="L122" s="39" t="n">
        <v>90</v>
      </c>
      <c r="M122" s="39" t="n">
        <v>90</v>
      </c>
      <c r="N122" s="9" t="s">
        <v>223</v>
      </c>
    </row>
    <row r="123" customFormat="false" ht="26.85" hidden="false" customHeight="false" outlineLevel="0" collapsed="false">
      <c r="A123" s="14"/>
      <c r="B123" s="15"/>
      <c r="C123" s="16"/>
      <c r="D123" s="16"/>
      <c r="E123" s="17"/>
      <c r="F123" s="31" t="s">
        <v>260</v>
      </c>
      <c r="G123" s="53" t="n">
        <v>143976</v>
      </c>
      <c r="H123" s="31" t="s">
        <v>261</v>
      </c>
      <c r="I123" s="10" t="s">
        <v>262</v>
      </c>
      <c r="J123" s="31" t="s">
        <v>154</v>
      </c>
      <c r="K123" s="31" t="s">
        <v>21</v>
      </c>
      <c r="L123" s="39" t="n">
        <v>1300</v>
      </c>
      <c r="M123" s="39" t="n">
        <v>1300</v>
      </c>
      <c r="N123" s="9" t="s">
        <v>223</v>
      </c>
    </row>
    <row r="124" customFormat="false" ht="26.85" hidden="false" customHeight="false" outlineLevel="0" collapsed="false">
      <c r="A124" s="14"/>
      <c r="B124" s="15"/>
      <c r="C124" s="16"/>
      <c r="D124" s="16"/>
      <c r="E124" s="17"/>
      <c r="F124" s="31" t="s">
        <v>263</v>
      </c>
      <c r="G124" s="53" t="n">
        <v>143976</v>
      </c>
      <c r="H124" s="31" t="s">
        <v>264</v>
      </c>
      <c r="I124" s="10" t="s">
        <v>265</v>
      </c>
      <c r="J124" s="31" t="s">
        <v>154</v>
      </c>
      <c r="K124" s="31" t="s">
        <v>21</v>
      </c>
      <c r="L124" s="39" t="n">
        <v>600</v>
      </c>
      <c r="M124" s="39" t="n">
        <v>600</v>
      </c>
      <c r="N124" s="9" t="s">
        <v>223</v>
      </c>
    </row>
    <row r="125" customFormat="false" ht="39.55" hidden="false" customHeight="false" outlineLevel="0" collapsed="false">
      <c r="A125" s="14"/>
      <c r="B125" s="15"/>
      <c r="C125" s="16"/>
      <c r="D125" s="16"/>
      <c r="E125" s="17"/>
      <c r="F125" s="31" t="s">
        <v>266</v>
      </c>
      <c r="G125" s="53" t="n">
        <v>143976</v>
      </c>
      <c r="H125" s="31" t="s">
        <v>109</v>
      </c>
      <c r="I125" s="10" t="s">
        <v>267</v>
      </c>
      <c r="J125" s="31" t="s">
        <v>99</v>
      </c>
      <c r="K125" s="31" t="s">
        <v>21</v>
      </c>
      <c r="L125" s="39" t="n">
        <v>2000</v>
      </c>
      <c r="M125" s="39" t="n">
        <v>6000</v>
      </c>
      <c r="N125" s="9" t="s">
        <v>223</v>
      </c>
    </row>
    <row r="126" customFormat="false" ht="52.2" hidden="false" customHeight="false" outlineLevel="0" collapsed="false">
      <c r="A126" s="14"/>
      <c r="B126" s="15"/>
      <c r="C126" s="16"/>
      <c r="D126" s="16"/>
      <c r="E126" s="17"/>
      <c r="F126" s="49" t="s">
        <v>167</v>
      </c>
      <c r="G126" s="5" t="n">
        <v>143973</v>
      </c>
      <c r="H126" s="49" t="s">
        <v>268</v>
      </c>
      <c r="I126" s="50" t="s">
        <v>168</v>
      </c>
      <c r="J126" s="49" t="s">
        <v>99</v>
      </c>
      <c r="K126" s="49" t="s">
        <v>21</v>
      </c>
      <c r="L126" s="51" t="n">
        <v>304.2286</v>
      </c>
      <c r="M126" s="51" t="n">
        <v>912.69</v>
      </c>
      <c r="N126" s="52" t="s">
        <v>237</v>
      </c>
    </row>
    <row r="127" customFormat="false" ht="26.85" hidden="false" customHeight="false" outlineLevel="0" collapsed="false">
      <c r="A127" s="14"/>
      <c r="B127" s="15"/>
      <c r="C127" s="16"/>
      <c r="D127" s="16"/>
      <c r="E127" s="17"/>
      <c r="F127" s="31" t="s">
        <v>269</v>
      </c>
      <c r="G127" s="53" t="n">
        <v>143974</v>
      </c>
      <c r="H127" s="31" t="s">
        <v>270</v>
      </c>
      <c r="I127" s="10" t="s">
        <v>271</v>
      </c>
      <c r="J127" s="31" t="s">
        <v>272</v>
      </c>
      <c r="K127" s="31" t="s">
        <v>21</v>
      </c>
      <c r="L127" s="39" t="n">
        <v>130</v>
      </c>
      <c r="M127" s="39" t="n">
        <v>4160</v>
      </c>
      <c r="N127" s="9" t="s">
        <v>223</v>
      </c>
    </row>
    <row r="128" customFormat="false" ht="39.55" hidden="false" customHeight="false" outlineLevel="0" collapsed="false">
      <c r="A128" s="14"/>
      <c r="B128" s="15"/>
      <c r="C128" s="16"/>
      <c r="D128" s="16"/>
      <c r="E128" s="17"/>
      <c r="F128" s="31" t="s">
        <v>273</v>
      </c>
      <c r="G128" s="53" t="n">
        <v>143976</v>
      </c>
      <c r="H128" s="31" t="s">
        <v>274</v>
      </c>
      <c r="I128" s="10" t="s">
        <v>275</v>
      </c>
      <c r="J128" s="31" t="s">
        <v>99</v>
      </c>
      <c r="K128" s="31" t="s">
        <v>21</v>
      </c>
      <c r="L128" s="39" t="n">
        <v>1000</v>
      </c>
      <c r="M128" s="39" t="n">
        <v>3000</v>
      </c>
      <c r="N128" s="9" t="s">
        <v>223</v>
      </c>
    </row>
    <row r="129" customFormat="false" ht="39.55" hidden="false" customHeight="false" outlineLevel="0" collapsed="false">
      <c r="A129" s="14"/>
      <c r="B129" s="15"/>
      <c r="C129" s="16"/>
      <c r="D129" s="16"/>
      <c r="E129" s="17"/>
      <c r="F129" s="49" t="s">
        <v>276</v>
      </c>
      <c r="G129" s="5" t="n">
        <v>143973</v>
      </c>
      <c r="H129" s="49" t="s">
        <v>277</v>
      </c>
      <c r="I129" s="50" t="s">
        <v>278</v>
      </c>
      <c r="J129" s="49" t="s">
        <v>99</v>
      </c>
      <c r="K129" s="49" t="s">
        <v>21</v>
      </c>
      <c r="L129" s="51" t="n">
        <v>203.2792</v>
      </c>
      <c r="M129" s="51" t="n">
        <v>609.84</v>
      </c>
      <c r="N129" s="52" t="s">
        <v>237</v>
      </c>
    </row>
    <row r="130" customFormat="false" ht="26.85" hidden="false" customHeight="false" outlineLevel="0" collapsed="false">
      <c r="A130" s="14"/>
      <c r="B130" s="15"/>
      <c r="C130" s="16"/>
      <c r="D130" s="16"/>
      <c r="E130" s="17"/>
      <c r="F130" s="31" t="s">
        <v>279</v>
      </c>
      <c r="G130" s="53" t="n">
        <v>143974</v>
      </c>
      <c r="H130" s="31" t="s">
        <v>280</v>
      </c>
      <c r="I130" s="10" t="s">
        <v>281</v>
      </c>
      <c r="J130" s="31" t="s">
        <v>277</v>
      </c>
      <c r="K130" s="31" t="s">
        <v>21</v>
      </c>
      <c r="L130" s="39" t="n">
        <v>110</v>
      </c>
      <c r="M130" s="39" t="n">
        <v>2640</v>
      </c>
      <c r="N130" s="9" t="s">
        <v>223</v>
      </c>
    </row>
    <row r="131" customFormat="false" ht="77.6" hidden="false" customHeight="false" outlineLevel="0" collapsed="false">
      <c r="A131" s="14"/>
      <c r="B131" s="15"/>
      <c r="C131" s="16"/>
      <c r="D131" s="16"/>
      <c r="E131" s="17"/>
      <c r="F131" s="7" t="s">
        <v>282</v>
      </c>
      <c r="G131" s="53" t="n">
        <v>143976</v>
      </c>
      <c r="H131" s="31" t="s">
        <v>283</v>
      </c>
      <c r="I131" s="10" t="s">
        <v>284</v>
      </c>
      <c r="J131" s="31" t="n">
        <v>1</v>
      </c>
      <c r="K131" s="31" t="s">
        <v>21</v>
      </c>
      <c r="L131" s="39" t="n">
        <v>51780</v>
      </c>
      <c r="M131" s="39" t="n">
        <v>51780</v>
      </c>
      <c r="N131" s="9" t="s">
        <v>223</v>
      </c>
    </row>
    <row r="132" customFormat="false" ht="64.9" hidden="false" customHeight="false" outlineLevel="0" collapsed="false">
      <c r="A132" s="14"/>
      <c r="B132" s="15"/>
      <c r="C132" s="16"/>
      <c r="D132" s="16"/>
      <c r="E132" s="17"/>
      <c r="F132" s="7" t="s">
        <v>285</v>
      </c>
      <c r="G132" s="53" t="n">
        <v>143976</v>
      </c>
      <c r="H132" s="31" t="s">
        <v>286</v>
      </c>
      <c r="I132" s="10" t="s">
        <v>287</v>
      </c>
      <c r="J132" s="31" t="n">
        <v>1</v>
      </c>
      <c r="K132" s="31" t="s">
        <v>21</v>
      </c>
      <c r="L132" s="39" t="n">
        <v>43000</v>
      </c>
      <c r="M132" s="39" t="n">
        <v>43000</v>
      </c>
      <c r="N132" s="9" t="s">
        <v>223</v>
      </c>
    </row>
    <row r="133" customFormat="false" ht="39.55" hidden="false" customHeight="false" outlineLevel="0" collapsed="false">
      <c r="A133" s="14"/>
      <c r="B133" s="15"/>
      <c r="C133" s="16"/>
      <c r="D133" s="16"/>
      <c r="E133" s="17"/>
      <c r="F133" s="7" t="s">
        <v>288</v>
      </c>
      <c r="G133" s="53" t="n">
        <v>143976</v>
      </c>
      <c r="H133" s="31" t="s">
        <v>289</v>
      </c>
      <c r="I133" s="10" t="s">
        <v>290</v>
      </c>
      <c r="J133" s="31" t="n">
        <v>1</v>
      </c>
      <c r="K133" s="31" t="s">
        <v>21</v>
      </c>
      <c r="L133" s="39" t="n">
        <v>370</v>
      </c>
      <c r="M133" s="39" t="n">
        <v>370</v>
      </c>
      <c r="N133" s="9" t="s">
        <v>223</v>
      </c>
    </row>
    <row r="134" customFormat="false" ht="26.85" hidden="false" customHeight="false" outlineLevel="0" collapsed="false">
      <c r="A134" s="14"/>
      <c r="B134" s="15"/>
      <c r="C134" s="16"/>
      <c r="D134" s="16"/>
      <c r="E134" s="17"/>
      <c r="F134" s="54" t="s">
        <v>291</v>
      </c>
      <c r="G134" s="5" t="n">
        <v>143973</v>
      </c>
      <c r="H134" s="49" t="s">
        <v>292</v>
      </c>
      <c r="I134" s="50" t="s">
        <v>293</v>
      </c>
      <c r="J134" s="49" t="n">
        <v>1</v>
      </c>
      <c r="K134" s="49" t="s">
        <v>21</v>
      </c>
      <c r="L134" s="51" t="n">
        <v>140.2937</v>
      </c>
      <c r="M134" s="51" t="n">
        <v>140.29</v>
      </c>
      <c r="N134" s="52" t="s">
        <v>237</v>
      </c>
    </row>
    <row r="135" customFormat="false" ht="26.85" hidden="false" customHeight="false" outlineLevel="0" collapsed="false">
      <c r="A135" s="14"/>
      <c r="B135" s="15"/>
      <c r="C135" s="16"/>
      <c r="D135" s="16"/>
      <c r="E135" s="17"/>
      <c r="F135" s="9" t="s">
        <v>294</v>
      </c>
      <c r="G135" s="53" t="n">
        <v>143974</v>
      </c>
      <c r="H135" s="31" t="s">
        <v>295</v>
      </c>
      <c r="I135" s="10" t="s">
        <v>296</v>
      </c>
      <c r="J135" s="31" t="n">
        <v>8</v>
      </c>
      <c r="K135" s="31" t="s">
        <v>21</v>
      </c>
      <c r="L135" s="39" t="n">
        <v>45</v>
      </c>
      <c r="M135" s="39" t="n">
        <v>360</v>
      </c>
      <c r="N135" s="9" t="s">
        <v>223</v>
      </c>
    </row>
    <row r="136" customFormat="false" ht="26.85" hidden="false" customHeight="false" outlineLevel="0" collapsed="false">
      <c r="A136" s="14"/>
      <c r="B136" s="15"/>
      <c r="C136" s="16"/>
      <c r="D136" s="16"/>
      <c r="E136" s="17"/>
      <c r="F136" s="9" t="n">
        <v>201127</v>
      </c>
      <c r="G136" s="53" t="n">
        <v>143976</v>
      </c>
      <c r="H136" s="31" t="s">
        <v>297</v>
      </c>
      <c r="I136" s="10" t="s">
        <v>298</v>
      </c>
      <c r="J136" s="31" t="n">
        <v>5</v>
      </c>
      <c r="K136" s="31" t="s">
        <v>21</v>
      </c>
      <c r="L136" s="39" t="n">
        <v>5000</v>
      </c>
      <c r="M136" s="39" t="n">
        <v>25000</v>
      </c>
      <c r="N136" s="9" t="s">
        <v>223</v>
      </c>
    </row>
    <row r="137" customFormat="false" ht="26.85" hidden="false" customHeight="false" outlineLevel="0" collapsed="false">
      <c r="A137" s="14"/>
      <c r="B137" s="15"/>
      <c r="C137" s="16"/>
      <c r="D137" s="16"/>
      <c r="E137" s="17"/>
      <c r="F137" s="9" t="n">
        <v>202081</v>
      </c>
      <c r="G137" s="53" t="n">
        <v>143976</v>
      </c>
      <c r="H137" s="31" t="s">
        <v>272</v>
      </c>
      <c r="I137" s="10" t="s">
        <v>299</v>
      </c>
      <c r="J137" s="31" t="n">
        <v>1</v>
      </c>
      <c r="K137" s="31" t="s">
        <v>21</v>
      </c>
      <c r="L137" s="39" t="n">
        <v>14900</v>
      </c>
      <c r="M137" s="39" t="n">
        <v>14900</v>
      </c>
      <c r="N137" s="9" t="s">
        <v>223</v>
      </c>
    </row>
    <row r="138" customFormat="false" ht="39.55" hidden="false" customHeight="false" outlineLevel="0" collapsed="false">
      <c r="A138" s="14"/>
      <c r="B138" s="15"/>
      <c r="C138" s="16"/>
      <c r="D138" s="16"/>
      <c r="E138" s="17"/>
      <c r="F138" s="31" t="s">
        <v>300</v>
      </c>
      <c r="G138" s="53" t="n">
        <v>143976</v>
      </c>
      <c r="H138" s="31" t="s">
        <v>301</v>
      </c>
      <c r="I138" s="10" t="s">
        <v>302</v>
      </c>
      <c r="J138" s="31" t="s">
        <v>99</v>
      </c>
      <c r="K138" s="31" t="s">
        <v>21</v>
      </c>
      <c r="L138" s="39" t="n">
        <v>7000</v>
      </c>
      <c r="M138" s="39" t="n">
        <v>21000</v>
      </c>
      <c r="N138" s="9" t="s">
        <v>223</v>
      </c>
    </row>
    <row r="139" customFormat="false" ht="52.2" hidden="false" customHeight="false" outlineLevel="0" collapsed="false">
      <c r="A139" s="14"/>
      <c r="B139" s="15"/>
      <c r="C139" s="16"/>
      <c r="D139" s="16"/>
      <c r="E139" s="17"/>
      <c r="F139" s="55" t="s">
        <v>303</v>
      </c>
      <c r="G139" s="5" t="n">
        <v>143973</v>
      </c>
      <c r="H139" s="49" t="s">
        <v>304</v>
      </c>
      <c r="I139" s="50" t="s">
        <v>305</v>
      </c>
      <c r="J139" s="55" t="s">
        <v>99</v>
      </c>
      <c r="K139" s="55" t="s">
        <v>21</v>
      </c>
      <c r="L139" s="51" t="n">
        <v>581.8824</v>
      </c>
      <c r="M139" s="51" t="n">
        <v>1745.65</v>
      </c>
      <c r="N139" s="52" t="s">
        <v>237</v>
      </c>
    </row>
    <row r="140" customFormat="false" ht="26.85" hidden="false" customHeight="false" outlineLevel="0" collapsed="false">
      <c r="A140" s="14"/>
      <c r="B140" s="15"/>
      <c r="C140" s="16"/>
      <c r="D140" s="16"/>
      <c r="E140" s="17"/>
      <c r="F140" s="31" t="s">
        <v>306</v>
      </c>
      <c r="G140" s="53" t="n">
        <v>143974</v>
      </c>
      <c r="H140" s="31" t="s">
        <v>307</v>
      </c>
      <c r="I140" s="10" t="s">
        <v>308</v>
      </c>
      <c r="J140" s="31" t="s">
        <v>191</v>
      </c>
      <c r="K140" s="31" t="s">
        <v>21</v>
      </c>
      <c r="L140" s="39" t="n">
        <v>260</v>
      </c>
      <c r="M140" s="39" t="n">
        <v>15600</v>
      </c>
      <c r="N140" s="9" t="s">
        <v>223</v>
      </c>
    </row>
    <row r="141" customFormat="false" ht="39.55" hidden="false" customHeight="false" outlineLevel="0" collapsed="false">
      <c r="A141" s="14"/>
      <c r="B141" s="15"/>
      <c r="C141" s="16"/>
      <c r="D141" s="16"/>
      <c r="E141" s="17"/>
      <c r="F141" s="31" t="s">
        <v>309</v>
      </c>
      <c r="G141" s="53" t="n">
        <v>143976</v>
      </c>
      <c r="H141" s="31" t="s">
        <v>310</v>
      </c>
      <c r="I141" s="10" t="s">
        <v>311</v>
      </c>
      <c r="J141" s="31" t="s">
        <v>154</v>
      </c>
      <c r="K141" s="31" t="s">
        <v>21</v>
      </c>
      <c r="L141" s="39" t="n">
        <v>7000</v>
      </c>
      <c r="M141" s="39" t="n">
        <v>7000</v>
      </c>
      <c r="N141" s="9" t="s">
        <v>223</v>
      </c>
    </row>
    <row r="142" customFormat="false" ht="26.85" hidden="false" customHeight="false" outlineLevel="0" collapsed="false">
      <c r="A142" s="14"/>
      <c r="B142" s="15"/>
      <c r="C142" s="16"/>
      <c r="D142" s="16"/>
      <c r="E142" s="17"/>
      <c r="F142" s="55" t="s">
        <v>312</v>
      </c>
      <c r="G142" s="5" t="n">
        <v>143973</v>
      </c>
      <c r="H142" s="49" t="s">
        <v>313</v>
      </c>
      <c r="I142" s="50" t="s">
        <v>314</v>
      </c>
      <c r="J142" s="55" t="s">
        <v>154</v>
      </c>
      <c r="K142" s="55" t="s">
        <v>21</v>
      </c>
      <c r="L142" s="51" t="n">
        <v>1335.4651</v>
      </c>
      <c r="M142" s="51" t="n">
        <v>1335.47</v>
      </c>
      <c r="N142" s="52" t="s">
        <v>237</v>
      </c>
    </row>
    <row r="143" customFormat="false" ht="26.85" hidden="false" customHeight="false" outlineLevel="0" collapsed="false">
      <c r="A143" s="14"/>
      <c r="B143" s="15"/>
      <c r="C143" s="16"/>
      <c r="D143" s="16"/>
      <c r="E143" s="16"/>
      <c r="F143" s="31" t="s">
        <v>315</v>
      </c>
      <c r="G143" s="53" t="n">
        <v>143974</v>
      </c>
      <c r="H143" s="31" t="s">
        <v>316</v>
      </c>
      <c r="I143" s="10" t="s">
        <v>317</v>
      </c>
      <c r="J143" s="31" t="s">
        <v>109</v>
      </c>
      <c r="K143" s="31" t="s">
        <v>21</v>
      </c>
      <c r="L143" s="39" t="n">
        <v>290</v>
      </c>
      <c r="M143" s="39" t="n">
        <v>5800</v>
      </c>
      <c r="N143" s="9" t="s">
        <v>223</v>
      </c>
    </row>
    <row r="144" customFormat="false" ht="13.5" hidden="false" customHeight="false" outlineLevel="0" collapsed="false">
      <c r="A144" s="56" t="s">
        <v>0</v>
      </c>
      <c r="B144" s="56" t="s">
        <v>1</v>
      </c>
      <c r="C144" s="56" t="s">
        <v>2</v>
      </c>
      <c r="D144" s="56" t="s">
        <v>3</v>
      </c>
      <c r="E144" s="56"/>
      <c r="F144" s="56" t="s">
        <v>4</v>
      </c>
      <c r="G144" s="56" t="s">
        <v>5</v>
      </c>
      <c r="H144" s="56" t="s">
        <v>6</v>
      </c>
      <c r="I144" s="56" t="s">
        <v>7</v>
      </c>
      <c r="J144" s="56" t="s">
        <v>8</v>
      </c>
      <c r="K144" s="56" t="s">
        <v>9</v>
      </c>
      <c r="L144" s="57" t="s">
        <v>10</v>
      </c>
      <c r="M144" s="57" t="s">
        <v>11</v>
      </c>
      <c r="N144" s="56" t="s">
        <v>12</v>
      </c>
    </row>
    <row r="145" customFormat="false" ht="26.85" hidden="false" customHeight="true" outlineLevel="0" collapsed="false">
      <c r="A145" s="4" t="n">
        <v>46056</v>
      </c>
      <c r="B145" s="5" t="n">
        <v>172968</v>
      </c>
      <c r="C145" s="6" t="s">
        <v>318</v>
      </c>
      <c r="D145" s="6" t="s">
        <v>14</v>
      </c>
      <c r="E145" s="6" t="s">
        <v>319</v>
      </c>
      <c r="F145" s="31" t="s">
        <v>320</v>
      </c>
      <c r="G145" s="31" t="n">
        <v>143131</v>
      </c>
      <c r="H145" s="31" t="n">
        <v>1</v>
      </c>
      <c r="I145" s="27" t="s">
        <v>321</v>
      </c>
      <c r="J145" s="31" t="s">
        <v>154</v>
      </c>
      <c r="K145" s="46" t="s">
        <v>322</v>
      </c>
      <c r="L145" s="58" t="n">
        <v>33239.7</v>
      </c>
      <c r="M145" s="58" t="n">
        <v>33239.7</v>
      </c>
      <c r="N145" s="9" t="s">
        <v>18</v>
      </c>
    </row>
    <row r="146" customFormat="false" ht="26.85" hidden="false" customHeight="false" outlineLevel="0" collapsed="false">
      <c r="A146" s="4"/>
      <c r="B146" s="5"/>
      <c r="C146" s="6"/>
      <c r="D146" s="6"/>
      <c r="E146" s="6" t="s">
        <v>319</v>
      </c>
      <c r="F146" s="31" t="s">
        <v>323</v>
      </c>
      <c r="G146" s="31" t="n">
        <v>143131</v>
      </c>
      <c r="H146" s="31" t="s">
        <v>159</v>
      </c>
      <c r="I146" s="27" t="s">
        <v>324</v>
      </c>
      <c r="J146" s="31" t="s">
        <v>99</v>
      </c>
      <c r="K146" s="46" t="s">
        <v>322</v>
      </c>
      <c r="L146" s="58" t="n">
        <v>18360</v>
      </c>
      <c r="M146" s="58" t="n">
        <v>55080</v>
      </c>
      <c r="N146" s="9" t="s">
        <v>18</v>
      </c>
    </row>
    <row r="147" customFormat="false" ht="13.5" hidden="false" customHeight="false" outlineLevel="0" collapsed="false">
      <c r="A147" s="56" t="s">
        <v>0</v>
      </c>
      <c r="B147" s="56" t="s">
        <v>1</v>
      </c>
      <c r="C147" s="56" t="s">
        <v>2</v>
      </c>
      <c r="D147" s="56" t="s">
        <v>3</v>
      </c>
      <c r="E147" s="56" t="s">
        <v>325</v>
      </c>
      <c r="F147" s="56" t="s">
        <v>4</v>
      </c>
      <c r="G147" s="56" t="s">
        <v>5</v>
      </c>
      <c r="H147" s="56" t="s">
        <v>6</v>
      </c>
      <c r="I147" s="56" t="s">
        <v>7</v>
      </c>
      <c r="J147" s="56" t="s">
        <v>8</v>
      </c>
      <c r="K147" s="56" t="s">
        <v>9</v>
      </c>
      <c r="L147" s="56" t="s">
        <v>10</v>
      </c>
      <c r="M147" s="56" t="s">
        <v>11</v>
      </c>
      <c r="N147" s="56" t="s">
        <v>12</v>
      </c>
    </row>
    <row r="148" customFormat="false" ht="26.85" hidden="false" customHeight="true" outlineLevel="0" collapsed="false">
      <c r="A148" s="4" t="n">
        <v>46051</v>
      </c>
      <c r="B148" s="5" t="n">
        <v>173172</v>
      </c>
      <c r="C148" s="6" t="s">
        <v>326</v>
      </c>
      <c r="D148" s="6" t="s">
        <v>14</v>
      </c>
      <c r="E148" s="6" t="s">
        <v>327</v>
      </c>
      <c r="F148" s="31" t="s">
        <v>328</v>
      </c>
      <c r="G148" s="31" t="n">
        <v>142534</v>
      </c>
      <c r="H148" s="31" t="n">
        <v>1</v>
      </c>
      <c r="I148" s="10" t="s">
        <v>329</v>
      </c>
      <c r="J148" s="31" t="s">
        <v>277</v>
      </c>
      <c r="K148" s="31" t="s">
        <v>31</v>
      </c>
      <c r="L148" s="58" t="n">
        <v>3330.83</v>
      </c>
      <c r="M148" s="58" t="n">
        <v>79939.91</v>
      </c>
      <c r="N148" s="9" t="s">
        <v>18</v>
      </c>
    </row>
    <row r="149" customFormat="false" ht="26.85" hidden="false" customHeight="false" outlineLevel="0" collapsed="false">
      <c r="A149" s="4"/>
      <c r="B149" s="5"/>
      <c r="C149" s="6"/>
      <c r="D149" s="6"/>
      <c r="E149" s="6" t="s">
        <v>327</v>
      </c>
      <c r="F149" s="31" t="s">
        <v>330</v>
      </c>
      <c r="G149" s="31" t="n">
        <v>142534</v>
      </c>
      <c r="H149" s="31" t="s">
        <v>159</v>
      </c>
      <c r="I149" s="10" t="s">
        <v>331</v>
      </c>
      <c r="J149" s="31" t="s">
        <v>229</v>
      </c>
      <c r="K149" s="31" t="s">
        <v>164</v>
      </c>
      <c r="L149" s="58" t="n">
        <v>1629.4693</v>
      </c>
      <c r="M149" s="58" t="n">
        <v>9776.82</v>
      </c>
      <c r="N149" s="9" t="s">
        <v>18</v>
      </c>
    </row>
    <row r="150" customFormat="false" ht="26.85" hidden="false" customHeight="false" outlineLevel="0" collapsed="false">
      <c r="A150" s="4"/>
      <c r="B150" s="5"/>
      <c r="C150" s="6"/>
      <c r="D150" s="6"/>
      <c r="E150" s="6" t="s">
        <v>327</v>
      </c>
      <c r="F150" s="31" t="s">
        <v>332</v>
      </c>
      <c r="G150" s="31" t="n">
        <v>142535</v>
      </c>
      <c r="H150" s="31" t="s">
        <v>99</v>
      </c>
      <c r="I150" s="10" t="s">
        <v>333</v>
      </c>
      <c r="J150" s="31" t="s">
        <v>159</v>
      </c>
      <c r="K150" s="31" t="s">
        <v>21</v>
      </c>
      <c r="L150" s="58" t="n">
        <v>3800</v>
      </c>
      <c r="M150" s="58" t="n">
        <v>7600</v>
      </c>
      <c r="N150" s="9" t="s">
        <v>18</v>
      </c>
    </row>
    <row r="151" customFormat="false" ht="26.85" hidden="false" customHeight="false" outlineLevel="0" collapsed="false">
      <c r="A151" s="4"/>
      <c r="B151" s="5"/>
      <c r="C151" s="6"/>
      <c r="D151" s="6"/>
      <c r="E151" s="6" t="s">
        <v>327</v>
      </c>
      <c r="F151" s="31" t="s">
        <v>334</v>
      </c>
      <c r="G151" s="31" t="n">
        <v>142536</v>
      </c>
      <c r="H151" s="31" t="s">
        <v>224</v>
      </c>
      <c r="I151" s="10" t="s">
        <v>335</v>
      </c>
      <c r="J151" s="31" t="n">
        <v>1</v>
      </c>
      <c r="K151" s="31" t="s">
        <v>21</v>
      </c>
      <c r="L151" s="58" t="n">
        <v>1400</v>
      </c>
      <c r="M151" s="58" t="n">
        <v>1400</v>
      </c>
      <c r="N151" s="9" t="s">
        <v>18</v>
      </c>
    </row>
    <row r="152" customFormat="false" ht="26.85" hidden="false" customHeight="false" outlineLevel="0" collapsed="false">
      <c r="A152" s="4"/>
      <c r="B152" s="5"/>
      <c r="C152" s="6"/>
      <c r="D152" s="6"/>
      <c r="E152" s="6" t="s">
        <v>327</v>
      </c>
      <c r="F152" s="31" t="s">
        <v>336</v>
      </c>
      <c r="G152" s="31" t="n">
        <v>142535</v>
      </c>
      <c r="H152" s="31" t="s">
        <v>119</v>
      </c>
      <c r="I152" s="10" t="s">
        <v>337</v>
      </c>
      <c r="J152" s="31" t="n">
        <v>1</v>
      </c>
      <c r="K152" s="31" t="s">
        <v>21</v>
      </c>
      <c r="L152" s="58" t="n">
        <v>37700</v>
      </c>
      <c r="M152" s="58" t="n">
        <v>37700</v>
      </c>
      <c r="N152" s="9" t="s">
        <v>18</v>
      </c>
    </row>
    <row r="153" customFormat="false" ht="26.85" hidden="false" customHeight="false" outlineLevel="0" collapsed="false">
      <c r="A153" s="4"/>
      <c r="B153" s="5"/>
      <c r="C153" s="6"/>
      <c r="D153" s="6"/>
      <c r="E153" s="6" t="s">
        <v>327</v>
      </c>
      <c r="F153" s="31" t="s">
        <v>338</v>
      </c>
      <c r="G153" s="31" t="n">
        <v>142536</v>
      </c>
      <c r="H153" s="31" t="s">
        <v>229</v>
      </c>
      <c r="I153" s="10" t="s">
        <v>339</v>
      </c>
      <c r="J153" s="31" t="s">
        <v>154</v>
      </c>
      <c r="K153" s="31" t="s">
        <v>21</v>
      </c>
      <c r="L153" s="58" t="n">
        <v>6000</v>
      </c>
      <c r="M153" s="58" t="n">
        <v>6000</v>
      </c>
      <c r="N153" s="9" t="s">
        <v>18</v>
      </c>
    </row>
    <row r="154" customFormat="false" ht="26.85" hidden="false" customHeight="false" outlineLevel="0" collapsed="false">
      <c r="A154" s="4"/>
      <c r="B154" s="5"/>
      <c r="C154" s="6"/>
      <c r="D154" s="6"/>
      <c r="E154" s="6" t="s">
        <v>327</v>
      </c>
      <c r="F154" s="31" t="s">
        <v>340</v>
      </c>
      <c r="G154" s="31" t="n">
        <v>142536</v>
      </c>
      <c r="H154" s="31" t="s">
        <v>232</v>
      </c>
      <c r="I154" s="10" t="s">
        <v>341</v>
      </c>
      <c r="J154" s="31" t="n">
        <v>1</v>
      </c>
      <c r="K154" s="31" t="s">
        <v>21</v>
      </c>
      <c r="L154" s="58" t="n">
        <v>3300</v>
      </c>
      <c r="M154" s="58" t="n">
        <v>3300</v>
      </c>
      <c r="N154" s="9" t="s">
        <v>18</v>
      </c>
    </row>
    <row r="155" customFormat="false" ht="26.85" hidden="false" customHeight="false" outlineLevel="0" collapsed="false">
      <c r="A155" s="4"/>
      <c r="B155" s="5"/>
      <c r="C155" s="6"/>
      <c r="D155" s="6"/>
      <c r="E155" s="6" t="s">
        <v>327</v>
      </c>
      <c r="F155" s="31" t="s">
        <v>342</v>
      </c>
      <c r="G155" s="31" t="n">
        <v>142535</v>
      </c>
      <c r="H155" s="31" t="s">
        <v>235</v>
      </c>
      <c r="I155" s="10" t="s">
        <v>343</v>
      </c>
      <c r="J155" s="31" t="n">
        <v>1</v>
      </c>
      <c r="K155" s="31" t="s">
        <v>21</v>
      </c>
      <c r="L155" s="58" t="n">
        <v>1960</v>
      </c>
      <c r="M155" s="58" t="n">
        <v>1960</v>
      </c>
      <c r="N155" s="9" t="s">
        <v>18</v>
      </c>
    </row>
    <row r="156" customFormat="false" ht="26.85" hidden="false" customHeight="false" outlineLevel="0" collapsed="false">
      <c r="A156" s="4"/>
      <c r="B156" s="5"/>
      <c r="C156" s="6"/>
      <c r="D156" s="6"/>
      <c r="E156" s="6" t="s">
        <v>327</v>
      </c>
      <c r="F156" s="31" t="s">
        <v>344</v>
      </c>
      <c r="G156" s="31" t="n">
        <v>142535</v>
      </c>
      <c r="H156" s="31" t="s">
        <v>239</v>
      </c>
      <c r="I156" s="10" t="s">
        <v>345</v>
      </c>
      <c r="J156" s="31" t="n">
        <v>1</v>
      </c>
      <c r="K156" s="31" t="s">
        <v>21</v>
      </c>
      <c r="L156" s="58" t="n">
        <v>10300</v>
      </c>
      <c r="M156" s="58" t="n">
        <v>10300</v>
      </c>
      <c r="N156" s="9" t="s">
        <v>18</v>
      </c>
    </row>
    <row r="157" customFormat="false" ht="39.55" hidden="false" customHeight="false" outlineLevel="0" collapsed="false">
      <c r="A157" s="4"/>
      <c r="B157" s="5"/>
      <c r="C157" s="6"/>
      <c r="D157" s="6"/>
      <c r="E157" s="6" t="s">
        <v>327</v>
      </c>
      <c r="F157" s="31" t="s">
        <v>346</v>
      </c>
      <c r="G157" s="31" t="n">
        <v>142535</v>
      </c>
      <c r="H157" s="31" t="s">
        <v>141</v>
      </c>
      <c r="I157" s="10" t="s">
        <v>347</v>
      </c>
      <c r="J157" s="31" t="n">
        <v>1</v>
      </c>
      <c r="K157" s="31" t="s">
        <v>21</v>
      </c>
      <c r="L157" s="58" t="n">
        <v>4200</v>
      </c>
      <c r="M157" s="58" t="n">
        <v>4200</v>
      </c>
      <c r="N157" s="9" t="s">
        <v>18</v>
      </c>
    </row>
    <row r="158" customFormat="false" ht="52.2" hidden="false" customHeight="false" outlineLevel="0" collapsed="false">
      <c r="A158" s="4"/>
      <c r="B158" s="5"/>
      <c r="C158" s="6"/>
      <c r="D158" s="6"/>
      <c r="E158" s="6" t="s">
        <v>327</v>
      </c>
      <c r="F158" s="31" t="s">
        <v>348</v>
      </c>
      <c r="G158" s="31" t="n">
        <v>142536</v>
      </c>
      <c r="H158" s="31" t="s">
        <v>244</v>
      </c>
      <c r="I158" s="10" t="s">
        <v>349</v>
      </c>
      <c r="J158" s="31" t="n">
        <v>1</v>
      </c>
      <c r="K158" s="31" t="s">
        <v>21</v>
      </c>
      <c r="L158" s="58" t="n">
        <v>925</v>
      </c>
      <c r="M158" s="58" t="n">
        <v>925</v>
      </c>
      <c r="N158" s="9" t="s">
        <v>18</v>
      </c>
    </row>
    <row r="159" customFormat="false" ht="26.85" hidden="false" customHeight="false" outlineLevel="0" collapsed="false">
      <c r="A159" s="4"/>
      <c r="B159" s="5"/>
      <c r="C159" s="6"/>
      <c r="D159" s="6"/>
      <c r="E159" s="6" t="s">
        <v>327</v>
      </c>
      <c r="F159" s="31" t="s">
        <v>350</v>
      </c>
      <c r="G159" s="31" t="n">
        <v>142536</v>
      </c>
      <c r="H159" s="31" t="s">
        <v>246</v>
      </c>
      <c r="I159" s="10" t="s">
        <v>351</v>
      </c>
      <c r="J159" s="31" t="n">
        <v>16</v>
      </c>
      <c r="K159" s="31" t="s">
        <v>21</v>
      </c>
      <c r="L159" s="58" t="n">
        <v>110</v>
      </c>
      <c r="M159" s="58" t="n">
        <v>1760</v>
      </c>
      <c r="N159" s="9" t="s">
        <v>18</v>
      </c>
    </row>
    <row r="160" customFormat="false" ht="26.85" hidden="false" customHeight="false" outlineLevel="0" collapsed="false">
      <c r="A160" s="4"/>
      <c r="B160" s="5"/>
      <c r="C160" s="6"/>
      <c r="D160" s="6"/>
      <c r="E160" s="6" t="s">
        <v>327</v>
      </c>
      <c r="F160" s="31" t="s">
        <v>352</v>
      </c>
      <c r="G160" s="31" t="n">
        <v>142536</v>
      </c>
      <c r="H160" s="31" t="s">
        <v>248</v>
      </c>
      <c r="I160" s="10" t="s">
        <v>353</v>
      </c>
      <c r="J160" s="31" t="n">
        <v>5</v>
      </c>
      <c r="K160" s="31" t="s">
        <v>21</v>
      </c>
      <c r="L160" s="58" t="n">
        <v>3500</v>
      </c>
      <c r="M160" s="58" t="n">
        <v>17500</v>
      </c>
      <c r="N160" s="9" t="s">
        <v>18</v>
      </c>
    </row>
    <row r="161" customFormat="false" ht="52.2" hidden="false" customHeight="false" outlineLevel="0" collapsed="false">
      <c r="A161" s="4"/>
      <c r="B161" s="5"/>
      <c r="C161" s="6"/>
      <c r="D161" s="6"/>
      <c r="E161" s="6" t="s">
        <v>327</v>
      </c>
      <c r="F161" s="31" t="s">
        <v>354</v>
      </c>
      <c r="G161" s="31" t="n">
        <v>142536</v>
      </c>
      <c r="H161" s="31" t="s">
        <v>181</v>
      </c>
      <c r="I161" s="10" t="s">
        <v>355</v>
      </c>
      <c r="J161" s="31" t="n">
        <v>5</v>
      </c>
      <c r="K161" s="31" t="s">
        <v>21</v>
      </c>
      <c r="L161" s="58" t="n">
        <v>565</v>
      </c>
      <c r="M161" s="58" t="n">
        <v>2825</v>
      </c>
      <c r="N161" s="9" t="s">
        <v>18</v>
      </c>
    </row>
    <row r="162" customFormat="false" ht="26.85" hidden="false" customHeight="false" outlineLevel="0" collapsed="false">
      <c r="A162" s="4"/>
      <c r="B162" s="5"/>
      <c r="C162" s="6"/>
      <c r="D162" s="6"/>
      <c r="E162" s="6" t="s">
        <v>327</v>
      </c>
      <c r="F162" s="31" t="s">
        <v>356</v>
      </c>
      <c r="G162" s="31" t="n">
        <v>142536</v>
      </c>
      <c r="H162" s="31" t="s">
        <v>183</v>
      </c>
      <c r="I162" s="10" t="s">
        <v>357</v>
      </c>
      <c r="J162" s="31" t="n">
        <v>60</v>
      </c>
      <c r="K162" s="31" t="s">
        <v>21</v>
      </c>
      <c r="L162" s="58" t="n">
        <v>90</v>
      </c>
      <c r="M162" s="58" t="n">
        <v>5400</v>
      </c>
      <c r="N162" s="9" t="s">
        <v>18</v>
      </c>
    </row>
    <row r="163" customFormat="false" ht="39.55" hidden="false" customHeight="false" outlineLevel="0" collapsed="false">
      <c r="A163" s="4"/>
      <c r="B163" s="5"/>
      <c r="C163" s="6"/>
      <c r="D163" s="6"/>
      <c r="E163" s="6" t="s">
        <v>327</v>
      </c>
      <c r="F163" s="31" t="s">
        <v>358</v>
      </c>
      <c r="G163" s="31" t="n">
        <v>142536</v>
      </c>
      <c r="H163" s="31" t="s">
        <v>255</v>
      </c>
      <c r="I163" s="10" t="s">
        <v>359</v>
      </c>
      <c r="J163" s="31" t="n">
        <v>1</v>
      </c>
      <c r="K163" s="31" t="s">
        <v>21</v>
      </c>
      <c r="L163" s="58" t="n">
        <v>700</v>
      </c>
      <c r="M163" s="58" t="n">
        <v>700</v>
      </c>
      <c r="N163" s="9" t="s">
        <v>18</v>
      </c>
    </row>
    <row r="164" customFormat="false" ht="52.2" hidden="false" customHeight="false" outlineLevel="0" collapsed="false">
      <c r="A164" s="4"/>
      <c r="B164" s="5"/>
      <c r="C164" s="6"/>
      <c r="D164" s="6"/>
      <c r="E164" s="6" t="s">
        <v>327</v>
      </c>
      <c r="F164" s="31" t="s">
        <v>360</v>
      </c>
      <c r="G164" s="31" t="n">
        <v>142536</v>
      </c>
      <c r="H164" s="31" t="s">
        <v>258</v>
      </c>
      <c r="I164" s="10" t="s">
        <v>361</v>
      </c>
      <c r="J164" s="31" t="n">
        <v>1</v>
      </c>
      <c r="K164" s="31" t="s">
        <v>21</v>
      </c>
      <c r="L164" s="58" t="n">
        <v>375</v>
      </c>
      <c r="M164" s="58" t="n">
        <v>375</v>
      </c>
      <c r="N164" s="9" t="s">
        <v>18</v>
      </c>
    </row>
    <row r="165" customFormat="false" ht="26.85" hidden="false" customHeight="false" outlineLevel="0" collapsed="false">
      <c r="A165" s="4"/>
      <c r="B165" s="5"/>
      <c r="C165" s="6"/>
      <c r="D165" s="6"/>
      <c r="E165" s="6" t="s">
        <v>327</v>
      </c>
      <c r="F165" s="31" t="s">
        <v>362</v>
      </c>
      <c r="G165" s="31" t="n">
        <v>142536</v>
      </c>
      <c r="H165" s="31" t="s">
        <v>261</v>
      </c>
      <c r="I165" s="10" t="s">
        <v>363</v>
      </c>
      <c r="J165" s="31" t="n">
        <v>8</v>
      </c>
      <c r="K165" s="31" t="s">
        <v>21</v>
      </c>
      <c r="L165" s="58" t="n">
        <v>55</v>
      </c>
      <c r="M165" s="58" t="n">
        <v>440</v>
      </c>
      <c r="N165" s="9" t="s">
        <v>18</v>
      </c>
    </row>
    <row r="166" customFormat="false" ht="64.9" hidden="false" customHeight="false" outlineLevel="0" collapsed="false">
      <c r="A166" s="4"/>
      <c r="B166" s="5"/>
      <c r="C166" s="6"/>
      <c r="D166" s="6"/>
      <c r="E166" s="6" t="s">
        <v>327</v>
      </c>
      <c r="F166" s="32" t="s">
        <v>364</v>
      </c>
      <c r="G166" s="32"/>
      <c r="H166" s="32" t="s">
        <v>264</v>
      </c>
      <c r="I166" s="21" t="s">
        <v>365</v>
      </c>
      <c r="J166" s="32" t="n">
        <v>1</v>
      </c>
      <c r="K166" s="32" t="s">
        <v>21</v>
      </c>
      <c r="L166" s="59"/>
      <c r="M166" s="59"/>
      <c r="N166" s="20" t="s">
        <v>366</v>
      </c>
    </row>
    <row r="167" customFormat="false" ht="26.85" hidden="false" customHeight="false" outlineLevel="0" collapsed="false">
      <c r="A167" s="4"/>
      <c r="B167" s="5"/>
      <c r="C167" s="6"/>
      <c r="D167" s="6"/>
      <c r="E167" s="6" t="s">
        <v>327</v>
      </c>
      <c r="F167" s="7" t="s">
        <v>367</v>
      </c>
      <c r="G167" s="31" t="n">
        <v>142536</v>
      </c>
      <c r="H167" s="31" t="s">
        <v>264</v>
      </c>
      <c r="I167" s="10" t="s">
        <v>368</v>
      </c>
      <c r="J167" s="31" t="n">
        <v>1</v>
      </c>
      <c r="K167" s="31" t="s">
        <v>21</v>
      </c>
      <c r="L167" s="58" t="n">
        <v>70785</v>
      </c>
      <c r="M167" s="58" t="n">
        <v>70785</v>
      </c>
      <c r="N167" s="9" t="s">
        <v>18</v>
      </c>
    </row>
    <row r="168" customFormat="false" ht="39.55" hidden="false" customHeight="false" outlineLevel="0" collapsed="false">
      <c r="A168" s="4"/>
      <c r="B168" s="5"/>
      <c r="C168" s="6"/>
      <c r="D168" s="6"/>
      <c r="E168" s="6" t="s">
        <v>327</v>
      </c>
      <c r="F168" s="7" t="s">
        <v>369</v>
      </c>
      <c r="G168" s="31" t="n">
        <v>142536</v>
      </c>
      <c r="H168" s="31" t="s">
        <v>109</v>
      </c>
      <c r="I168" s="10" t="s">
        <v>370</v>
      </c>
      <c r="J168" s="31" t="n">
        <v>5</v>
      </c>
      <c r="K168" s="31" t="s">
        <v>21</v>
      </c>
      <c r="L168" s="58" t="n">
        <v>2000</v>
      </c>
      <c r="M168" s="58" t="n">
        <v>10000</v>
      </c>
      <c r="N168" s="9" t="s">
        <v>18</v>
      </c>
    </row>
    <row r="169" customFormat="false" ht="26.85" hidden="false" customHeight="false" outlineLevel="0" collapsed="false">
      <c r="A169" s="4"/>
      <c r="B169" s="5"/>
      <c r="C169" s="6"/>
      <c r="D169" s="6"/>
      <c r="E169" s="6" t="s">
        <v>327</v>
      </c>
      <c r="F169" s="7" t="s">
        <v>371</v>
      </c>
      <c r="G169" s="31" t="n">
        <v>142535</v>
      </c>
      <c r="H169" s="31" t="s">
        <v>268</v>
      </c>
      <c r="I169" s="10" t="s">
        <v>372</v>
      </c>
      <c r="J169" s="31" t="n">
        <v>5</v>
      </c>
      <c r="K169" s="31" t="s">
        <v>21</v>
      </c>
      <c r="L169" s="58" t="n">
        <v>140</v>
      </c>
      <c r="M169" s="58" t="n">
        <v>700</v>
      </c>
      <c r="N169" s="9" t="s">
        <v>18</v>
      </c>
    </row>
    <row r="170" customFormat="false" ht="26.85" hidden="false" customHeight="false" outlineLevel="0" collapsed="false">
      <c r="A170" s="4"/>
      <c r="B170" s="5"/>
      <c r="C170" s="6"/>
      <c r="D170" s="6"/>
      <c r="E170" s="6" t="s">
        <v>327</v>
      </c>
      <c r="F170" s="7" t="s">
        <v>373</v>
      </c>
      <c r="G170" s="31" t="n">
        <v>142536</v>
      </c>
      <c r="H170" s="31" t="s">
        <v>270</v>
      </c>
      <c r="I170" s="10" t="s">
        <v>374</v>
      </c>
      <c r="J170" s="31" t="n">
        <v>5</v>
      </c>
      <c r="K170" s="31" t="s">
        <v>21</v>
      </c>
      <c r="L170" s="58" t="n">
        <v>50</v>
      </c>
      <c r="M170" s="58" t="n">
        <v>250</v>
      </c>
      <c r="N170" s="9" t="s">
        <v>18</v>
      </c>
    </row>
    <row r="171" customFormat="false" ht="26.85" hidden="false" customHeight="false" outlineLevel="0" collapsed="false">
      <c r="A171" s="4"/>
      <c r="B171" s="5"/>
      <c r="C171" s="6"/>
      <c r="D171" s="6"/>
      <c r="E171" s="6" t="s">
        <v>327</v>
      </c>
      <c r="F171" s="7" t="s">
        <v>375</v>
      </c>
      <c r="G171" s="31" t="n">
        <v>142536</v>
      </c>
      <c r="H171" s="31" t="s">
        <v>274</v>
      </c>
      <c r="I171" s="10" t="s">
        <v>376</v>
      </c>
      <c r="J171" s="31" t="n">
        <v>5</v>
      </c>
      <c r="K171" s="31" t="s">
        <v>21</v>
      </c>
      <c r="L171" s="58" t="n">
        <v>45</v>
      </c>
      <c r="M171" s="58" t="n">
        <v>225</v>
      </c>
      <c r="N171" s="9" t="s">
        <v>18</v>
      </c>
    </row>
    <row r="172" customFormat="false" ht="26.85" hidden="false" customHeight="false" outlineLevel="0" collapsed="false">
      <c r="A172" s="4"/>
      <c r="B172" s="5"/>
      <c r="C172" s="6"/>
      <c r="D172" s="6"/>
      <c r="E172" s="6" t="s">
        <v>327</v>
      </c>
      <c r="F172" s="7" t="s">
        <v>377</v>
      </c>
      <c r="G172" s="31" t="n">
        <v>142536</v>
      </c>
      <c r="H172" s="31" t="s">
        <v>277</v>
      </c>
      <c r="I172" s="10" t="s">
        <v>378</v>
      </c>
      <c r="J172" s="31" t="n">
        <v>5</v>
      </c>
      <c r="K172" s="31" t="s">
        <v>21</v>
      </c>
      <c r="L172" s="58" t="n">
        <v>45</v>
      </c>
      <c r="M172" s="58" t="n">
        <v>225</v>
      </c>
      <c r="N172" s="9" t="s">
        <v>18</v>
      </c>
    </row>
    <row r="173" customFormat="false" ht="13.5" hidden="false" customHeight="false" outlineLevel="0" collapsed="false">
      <c r="A173" s="56" t="s">
        <v>0</v>
      </c>
      <c r="B173" s="56" t="s">
        <v>1</v>
      </c>
      <c r="C173" s="56" t="s">
        <v>2</v>
      </c>
      <c r="D173" s="56" t="s">
        <v>3</v>
      </c>
      <c r="E173" s="56" t="s">
        <v>325</v>
      </c>
      <c r="F173" s="56" t="s">
        <v>4</v>
      </c>
      <c r="G173" s="56" t="s">
        <v>5</v>
      </c>
      <c r="H173" s="56" t="s">
        <v>6</v>
      </c>
      <c r="I173" s="56" t="s">
        <v>7</v>
      </c>
      <c r="J173" s="56" t="s">
        <v>8</v>
      </c>
      <c r="K173" s="56" t="s">
        <v>9</v>
      </c>
      <c r="L173" s="56" t="s">
        <v>10</v>
      </c>
      <c r="M173" s="56" t="s">
        <v>11</v>
      </c>
      <c r="N173" s="56" t="s">
        <v>12</v>
      </c>
    </row>
    <row r="174" customFormat="false" ht="26.85" hidden="false" customHeight="true" outlineLevel="0" collapsed="false">
      <c r="A174" s="4" t="n">
        <v>46056</v>
      </c>
      <c r="B174" s="5" t="n">
        <v>173173</v>
      </c>
      <c r="C174" s="6" t="s">
        <v>379</v>
      </c>
      <c r="D174" s="6" t="s">
        <v>14</v>
      </c>
      <c r="E174" s="6" t="s">
        <v>327</v>
      </c>
      <c r="F174" s="31" t="s">
        <v>380</v>
      </c>
      <c r="G174" s="53" t="n">
        <v>142534</v>
      </c>
      <c r="H174" s="31" t="n">
        <v>1</v>
      </c>
      <c r="I174" s="27" t="s">
        <v>381</v>
      </c>
      <c r="J174" s="31" t="s">
        <v>246</v>
      </c>
      <c r="K174" s="31" t="s">
        <v>164</v>
      </c>
      <c r="L174" s="39" t="n">
        <v>3676.3584</v>
      </c>
      <c r="M174" s="39" t="n">
        <v>44116.3</v>
      </c>
      <c r="N174" s="9" t="s">
        <v>18</v>
      </c>
    </row>
    <row r="175" customFormat="false" ht="26.85" hidden="false" customHeight="false" outlineLevel="0" collapsed="false">
      <c r="A175" s="4"/>
      <c r="B175" s="5"/>
      <c r="C175" s="6"/>
      <c r="D175" s="6"/>
      <c r="E175" s="6" t="s">
        <v>327</v>
      </c>
      <c r="F175" s="31" t="s">
        <v>382</v>
      </c>
      <c r="G175" s="53" t="n">
        <v>142535</v>
      </c>
      <c r="H175" s="31" t="s">
        <v>159</v>
      </c>
      <c r="I175" s="27" t="s">
        <v>383</v>
      </c>
      <c r="J175" s="31" t="s">
        <v>224</v>
      </c>
      <c r="K175" s="31" t="s">
        <v>40</v>
      </c>
      <c r="L175" s="39" t="n">
        <v>2600</v>
      </c>
      <c r="M175" s="39" t="n">
        <v>10400</v>
      </c>
      <c r="N175" s="9" t="s">
        <v>18</v>
      </c>
    </row>
    <row r="176" customFormat="false" ht="26.85" hidden="false" customHeight="false" outlineLevel="0" collapsed="false">
      <c r="A176" s="4"/>
      <c r="B176" s="5"/>
      <c r="C176" s="6"/>
      <c r="D176" s="6"/>
      <c r="E176" s="6" t="s">
        <v>327</v>
      </c>
      <c r="F176" s="31" t="s">
        <v>384</v>
      </c>
      <c r="G176" s="53" t="n">
        <v>142536</v>
      </c>
      <c r="H176" s="31" t="s">
        <v>99</v>
      </c>
      <c r="I176" s="27" t="s">
        <v>385</v>
      </c>
      <c r="J176" s="9" t="n">
        <v>1</v>
      </c>
      <c r="K176" s="31" t="s">
        <v>40</v>
      </c>
      <c r="L176" s="39" t="n">
        <v>16500</v>
      </c>
      <c r="M176" s="39" t="n">
        <v>16500</v>
      </c>
      <c r="N176" s="9" t="s">
        <v>18</v>
      </c>
    </row>
    <row r="177" customFormat="false" ht="26.85" hidden="false" customHeight="false" outlineLevel="0" collapsed="false">
      <c r="A177" s="4"/>
      <c r="B177" s="5"/>
      <c r="C177" s="6"/>
      <c r="D177" s="6"/>
      <c r="E177" s="6" t="s">
        <v>327</v>
      </c>
      <c r="F177" s="31" t="s">
        <v>386</v>
      </c>
      <c r="G177" s="53" t="n">
        <v>142535</v>
      </c>
      <c r="H177" s="31" t="s">
        <v>224</v>
      </c>
      <c r="I177" s="27" t="s">
        <v>387</v>
      </c>
      <c r="J177" s="9" t="n">
        <v>1</v>
      </c>
      <c r="K177" s="31" t="s">
        <v>40</v>
      </c>
      <c r="L177" s="39" t="n">
        <v>6100</v>
      </c>
      <c r="M177" s="39" t="n">
        <v>6100</v>
      </c>
      <c r="N177" s="9" t="s">
        <v>18</v>
      </c>
    </row>
    <row r="178" customFormat="false" ht="26.85" hidden="false" customHeight="false" outlineLevel="0" collapsed="false">
      <c r="A178" s="4"/>
      <c r="B178" s="5"/>
      <c r="C178" s="6"/>
      <c r="D178" s="6"/>
      <c r="E178" s="6" t="s">
        <v>327</v>
      </c>
      <c r="F178" s="31" t="s">
        <v>388</v>
      </c>
      <c r="G178" s="53" t="n">
        <v>142536</v>
      </c>
      <c r="H178" s="31" t="s">
        <v>119</v>
      </c>
      <c r="I178" s="27" t="s">
        <v>389</v>
      </c>
      <c r="J178" s="9" t="n">
        <v>1</v>
      </c>
      <c r="K178" s="31" t="s">
        <v>40</v>
      </c>
      <c r="L178" s="39" t="n">
        <v>15500</v>
      </c>
      <c r="M178" s="39" t="n">
        <v>15500</v>
      </c>
      <c r="N178" s="9" t="s">
        <v>18</v>
      </c>
    </row>
    <row r="179" customFormat="false" ht="26.85" hidden="false" customHeight="false" outlineLevel="0" collapsed="false">
      <c r="A179" s="4"/>
      <c r="B179" s="5"/>
      <c r="C179" s="6"/>
      <c r="D179" s="6"/>
      <c r="E179" s="6" t="s">
        <v>327</v>
      </c>
      <c r="F179" s="31" t="s">
        <v>390</v>
      </c>
      <c r="G179" s="53" t="n">
        <v>142535</v>
      </c>
      <c r="H179" s="31" t="s">
        <v>229</v>
      </c>
      <c r="I179" s="27" t="s">
        <v>391</v>
      </c>
      <c r="J179" s="9" t="n">
        <v>2</v>
      </c>
      <c r="K179" s="31" t="s">
        <v>40</v>
      </c>
      <c r="L179" s="39" t="n">
        <v>7100</v>
      </c>
      <c r="M179" s="39" t="n">
        <v>14200</v>
      </c>
      <c r="N179" s="9" t="s">
        <v>18</v>
      </c>
    </row>
    <row r="180" customFormat="false" ht="39.55" hidden="false" customHeight="false" outlineLevel="0" collapsed="false">
      <c r="A180" s="4"/>
      <c r="B180" s="5"/>
      <c r="C180" s="6"/>
      <c r="D180" s="6"/>
      <c r="E180" s="6" t="s">
        <v>327</v>
      </c>
      <c r="F180" s="31" t="s">
        <v>300</v>
      </c>
      <c r="G180" s="53" t="n">
        <v>142536</v>
      </c>
      <c r="H180" s="31" t="s">
        <v>232</v>
      </c>
      <c r="I180" s="27" t="s">
        <v>302</v>
      </c>
      <c r="J180" s="9" t="n">
        <v>1</v>
      </c>
      <c r="K180" s="31" t="s">
        <v>40</v>
      </c>
      <c r="L180" s="39" t="n">
        <v>7000</v>
      </c>
      <c r="M180" s="39" t="n">
        <v>7000</v>
      </c>
      <c r="N180" s="9" t="s">
        <v>18</v>
      </c>
    </row>
    <row r="181" customFormat="false" ht="52.2" hidden="false" customHeight="false" outlineLevel="0" collapsed="false">
      <c r="A181" s="4"/>
      <c r="B181" s="5"/>
      <c r="C181" s="6"/>
      <c r="D181" s="6"/>
      <c r="E181" s="6" t="s">
        <v>327</v>
      </c>
      <c r="F181" s="31" t="s">
        <v>392</v>
      </c>
      <c r="G181" s="53" t="n">
        <v>142536</v>
      </c>
      <c r="H181" s="31" t="s">
        <v>235</v>
      </c>
      <c r="I181" s="27" t="s">
        <v>393</v>
      </c>
      <c r="J181" s="9" t="n">
        <v>1</v>
      </c>
      <c r="K181" s="31" t="s">
        <v>40</v>
      </c>
      <c r="L181" s="39" t="n">
        <v>750</v>
      </c>
      <c r="M181" s="39" t="n">
        <v>750</v>
      </c>
      <c r="N181" s="9" t="s">
        <v>18</v>
      </c>
    </row>
    <row r="182" customFormat="false" ht="26.85" hidden="false" customHeight="false" outlineLevel="0" collapsed="false">
      <c r="A182" s="4"/>
      <c r="B182" s="5"/>
      <c r="C182" s="6"/>
      <c r="D182" s="6"/>
      <c r="E182" s="6" t="s">
        <v>327</v>
      </c>
      <c r="F182" s="31" t="s">
        <v>306</v>
      </c>
      <c r="G182" s="53" t="n">
        <v>142536</v>
      </c>
      <c r="H182" s="31" t="s">
        <v>239</v>
      </c>
      <c r="I182" s="27" t="s">
        <v>308</v>
      </c>
      <c r="J182" s="9" t="n">
        <v>20</v>
      </c>
      <c r="K182" s="31" t="s">
        <v>40</v>
      </c>
      <c r="L182" s="39" t="n">
        <v>270</v>
      </c>
      <c r="M182" s="39" t="n">
        <v>5400</v>
      </c>
      <c r="N182" s="9" t="s">
        <v>18</v>
      </c>
    </row>
    <row r="183" customFormat="false" ht="39.55" hidden="false" customHeight="false" outlineLevel="0" collapsed="false">
      <c r="A183" s="4"/>
      <c r="B183" s="5"/>
      <c r="C183" s="6"/>
      <c r="D183" s="6"/>
      <c r="E183" s="6" t="s">
        <v>327</v>
      </c>
      <c r="F183" s="31" t="s">
        <v>394</v>
      </c>
      <c r="G183" s="53" t="n">
        <v>142536</v>
      </c>
      <c r="H183" s="31" t="s">
        <v>141</v>
      </c>
      <c r="I183" s="27" t="s">
        <v>395</v>
      </c>
      <c r="J183" s="9" t="n">
        <v>2</v>
      </c>
      <c r="K183" s="31" t="s">
        <v>40</v>
      </c>
      <c r="L183" s="39" t="n">
        <v>6200</v>
      </c>
      <c r="M183" s="39" t="n">
        <v>12400</v>
      </c>
      <c r="N183" s="9" t="s">
        <v>18</v>
      </c>
    </row>
    <row r="184" customFormat="false" ht="52.2" hidden="false" customHeight="false" outlineLevel="0" collapsed="false">
      <c r="A184" s="4"/>
      <c r="B184" s="5"/>
      <c r="C184" s="6"/>
      <c r="D184" s="6"/>
      <c r="E184" s="6" t="s">
        <v>327</v>
      </c>
      <c r="F184" s="31" t="s">
        <v>396</v>
      </c>
      <c r="G184" s="53" t="n">
        <v>142536</v>
      </c>
      <c r="H184" s="31" t="s">
        <v>244</v>
      </c>
      <c r="I184" s="27" t="s">
        <v>397</v>
      </c>
      <c r="J184" s="9" t="n">
        <v>3</v>
      </c>
      <c r="K184" s="31" t="s">
        <v>40</v>
      </c>
      <c r="L184" s="39" t="n">
        <v>670</v>
      </c>
      <c r="M184" s="39" t="n">
        <v>2010</v>
      </c>
      <c r="N184" s="9" t="s">
        <v>18</v>
      </c>
    </row>
    <row r="185" customFormat="false" ht="26.85" hidden="false" customHeight="false" outlineLevel="0" collapsed="false">
      <c r="A185" s="4"/>
      <c r="B185" s="5"/>
      <c r="C185" s="6"/>
      <c r="D185" s="6"/>
      <c r="E185" s="6" t="s">
        <v>327</v>
      </c>
      <c r="F185" s="31" t="s">
        <v>398</v>
      </c>
      <c r="G185" s="53" t="n">
        <v>142536</v>
      </c>
      <c r="H185" s="31" t="s">
        <v>246</v>
      </c>
      <c r="I185" s="27" t="s">
        <v>399</v>
      </c>
      <c r="J185" s="9" t="n">
        <v>48</v>
      </c>
      <c r="K185" s="31" t="s">
        <v>40</v>
      </c>
      <c r="L185" s="39" t="n">
        <v>260</v>
      </c>
      <c r="M185" s="39" t="n">
        <v>12480</v>
      </c>
      <c r="N185" s="9" t="s">
        <v>18</v>
      </c>
    </row>
    <row r="186" customFormat="false" ht="39.55" hidden="false" customHeight="false" outlineLevel="0" collapsed="false">
      <c r="A186" s="4"/>
      <c r="B186" s="5"/>
      <c r="C186" s="6"/>
      <c r="D186" s="6"/>
      <c r="E186" s="6" t="s">
        <v>327</v>
      </c>
      <c r="F186" s="31" t="s">
        <v>400</v>
      </c>
      <c r="G186" s="53" t="n">
        <v>142536</v>
      </c>
      <c r="H186" s="31" t="s">
        <v>248</v>
      </c>
      <c r="I186" s="27" t="s">
        <v>401</v>
      </c>
      <c r="J186" s="9" t="n">
        <v>1</v>
      </c>
      <c r="K186" s="31" t="s">
        <v>40</v>
      </c>
      <c r="L186" s="39" t="n">
        <v>2200</v>
      </c>
      <c r="M186" s="39" t="n">
        <v>2200</v>
      </c>
      <c r="N186" s="9" t="s">
        <v>18</v>
      </c>
    </row>
    <row r="187" customFormat="false" ht="52.2" hidden="false" customHeight="false" outlineLevel="0" collapsed="false">
      <c r="A187" s="4"/>
      <c r="B187" s="5"/>
      <c r="C187" s="6"/>
      <c r="D187" s="6"/>
      <c r="E187" s="6" t="s">
        <v>327</v>
      </c>
      <c r="F187" s="31" t="s">
        <v>402</v>
      </c>
      <c r="G187" s="53" t="n">
        <v>142536</v>
      </c>
      <c r="H187" s="31" t="s">
        <v>181</v>
      </c>
      <c r="I187" s="27" t="s">
        <v>403</v>
      </c>
      <c r="J187" s="9" t="n">
        <v>1</v>
      </c>
      <c r="K187" s="31" t="s">
        <v>40</v>
      </c>
      <c r="L187" s="39" t="n">
        <v>460</v>
      </c>
      <c r="M187" s="39" t="n">
        <v>460</v>
      </c>
      <c r="N187" s="9" t="s">
        <v>18</v>
      </c>
    </row>
    <row r="188" customFormat="false" ht="26.85" hidden="false" customHeight="false" outlineLevel="0" collapsed="false">
      <c r="A188" s="4"/>
      <c r="B188" s="5"/>
      <c r="C188" s="6"/>
      <c r="D188" s="6"/>
      <c r="E188" s="6" t="s">
        <v>327</v>
      </c>
      <c r="F188" s="31" t="s">
        <v>404</v>
      </c>
      <c r="G188" s="53" t="n">
        <v>142536</v>
      </c>
      <c r="H188" s="31" t="s">
        <v>183</v>
      </c>
      <c r="I188" s="27" t="s">
        <v>405</v>
      </c>
      <c r="J188" s="9" t="n">
        <v>12</v>
      </c>
      <c r="K188" s="31" t="s">
        <v>40</v>
      </c>
      <c r="L188" s="39" t="n">
        <v>130</v>
      </c>
      <c r="M188" s="39" t="n">
        <v>130</v>
      </c>
      <c r="N188" s="9" t="s">
        <v>18</v>
      </c>
    </row>
    <row r="189" customFormat="false" ht="64.9" hidden="false" customHeight="false" outlineLevel="0" collapsed="false">
      <c r="A189" s="4"/>
      <c r="B189" s="5"/>
      <c r="C189" s="6"/>
      <c r="D189" s="6"/>
      <c r="E189" s="6" t="s">
        <v>327</v>
      </c>
      <c r="F189" s="32" t="s">
        <v>406</v>
      </c>
      <c r="G189" s="60"/>
      <c r="H189" s="32" t="s">
        <v>255</v>
      </c>
      <c r="I189" s="61" t="s">
        <v>407</v>
      </c>
      <c r="J189" s="20" t="n">
        <v>1</v>
      </c>
      <c r="K189" s="32" t="s">
        <v>40</v>
      </c>
      <c r="L189" s="44"/>
      <c r="M189" s="44"/>
      <c r="N189" s="20" t="s">
        <v>366</v>
      </c>
    </row>
    <row r="190" customFormat="false" ht="52.2" hidden="false" customHeight="false" outlineLevel="0" collapsed="false">
      <c r="A190" s="4"/>
      <c r="B190" s="5"/>
      <c r="C190" s="6"/>
      <c r="D190" s="6"/>
      <c r="E190" s="6" t="s">
        <v>327</v>
      </c>
      <c r="F190" s="32" t="s">
        <v>408</v>
      </c>
      <c r="G190" s="60"/>
      <c r="H190" s="32" t="s">
        <v>258</v>
      </c>
      <c r="I190" s="61" t="s">
        <v>409</v>
      </c>
      <c r="J190" s="20" t="n">
        <v>1</v>
      </c>
      <c r="K190" s="32" t="s">
        <v>40</v>
      </c>
      <c r="L190" s="23"/>
      <c r="M190" s="23"/>
      <c r="N190" s="20" t="s">
        <v>366</v>
      </c>
    </row>
    <row r="191" customFormat="false" ht="39.55" hidden="false" customHeight="false" outlineLevel="0" collapsed="false">
      <c r="A191" s="4"/>
      <c r="B191" s="5"/>
      <c r="C191" s="6"/>
      <c r="D191" s="6"/>
      <c r="E191" s="6" t="s">
        <v>327</v>
      </c>
      <c r="F191" s="31" t="s">
        <v>369</v>
      </c>
      <c r="G191" s="53" t="n">
        <v>142536</v>
      </c>
      <c r="H191" s="31" t="s">
        <v>261</v>
      </c>
      <c r="I191" s="27" t="s">
        <v>370</v>
      </c>
      <c r="J191" s="9" t="n">
        <v>3</v>
      </c>
      <c r="K191" s="31" t="s">
        <v>40</v>
      </c>
      <c r="L191" s="39" t="n">
        <v>2000</v>
      </c>
      <c r="M191" s="39" t="n">
        <v>6000</v>
      </c>
      <c r="N191" s="9" t="s">
        <v>18</v>
      </c>
    </row>
    <row r="192" customFormat="false" ht="26.85" hidden="false" customHeight="false" outlineLevel="0" collapsed="false">
      <c r="A192" s="4"/>
      <c r="B192" s="5"/>
      <c r="C192" s="6"/>
      <c r="D192" s="6"/>
      <c r="E192" s="6" t="s">
        <v>327</v>
      </c>
      <c r="F192" s="7" t="s">
        <v>371</v>
      </c>
      <c r="G192" s="53" t="n">
        <v>142535</v>
      </c>
      <c r="H192" s="31" t="s">
        <v>264</v>
      </c>
      <c r="I192" s="10" t="s">
        <v>372</v>
      </c>
      <c r="J192" s="9" t="n">
        <v>3</v>
      </c>
      <c r="K192" s="31" t="s">
        <v>40</v>
      </c>
      <c r="L192" s="39" t="n">
        <v>310</v>
      </c>
      <c r="M192" s="39" t="n">
        <v>930</v>
      </c>
      <c r="N192" s="9" t="s">
        <v>18</v>
      </c>
    </row>
    <row r="193" customFormat="false" ht="26.85" hidden="false" customHeight="false" outlineLevel="0" collapsed="false">
      <c r="A193" s="4"/>
      <c r="B193" s="5"/>
      <c r="C193" s="6"/>
      <c r="D193" s="6"/>
      <c r="E193" s="6" t="s">
        <v>327</v>
      </c>
      <c r="F193" s="7" t="s">
        <v>373</v>
      </c>
      <c r="G193" s="53" t="n">
        <v>142536</v>
      </c>
      <c r="H193" s="31" t="s">
        <v>109</v>
      </c>
      <c r="I193" s="10" t="s">
        <v>374</v>
      </c>
      <c r="J193" s="9" t="n">
        <v>3</v>
      </c>
      <c r="K193" s="31" t="s">
        <v>40</v>
      </c>
      <c r="L193" s="39" t="n">
        <v>50</v>
      </c>
      <c r="M193" s="39" t="n">
        <v>150</v>
      </c>
      <c r="N193" s="9" t="s">
        <v>18</v>
      </c>
    </row>
    <row r="194" customFormat="false" ht="26.85" hidden="false" customHeight="false" outlineLevel="0" collapsed="false">
      <c r="A194" s="4"/>
      <c r="B194" s="5"/>
      <c r="C194" s="6"/>
      <c r="D194" s="6"/>
      <c r="E194" s="6" t="s">
        <v>327</v>
      </c>
      <c r="F194" s="7" t="s">
        <v>375</v>
      </c>
      <c r="G194" s="53" t="n">
        <v>142536</v>
      </c>
      <c r="H194" s="31" t="s">
        <v>268</v>
      </c>
      <c r="I194" s="10" t="s">
        <v>376</v>
      </c>
      <c r="J194" s="9" t="n">
        <v>3</v>
      </c>
      <c r="K194" s="31" t="s">
        <v>40</v>
      </c>
      <c r="L194" s="39" t="n">
        <v>45</v>
      </c>
      <c r="M194" s="39" t="n">
        <v>135</v>
      </c>
      <c r="N194" s="9" t="s">
        <v>18</v>
      </c>
    </row>
    <row r="195" customFormat="false" ht="26.85" hidden="false" customHeight="false" outlineLevel="0" collapsed="false">
      <c r="A195" s="4"/>
      <c r="B195" s="5"/>
      <c r="C195" s="6"/>
      <c r="D195" s="6"/>
      <c r="E195" s="6" t="s">
        <v>327</v>
      </c>
      <c r="F195" s="7" t="s">
        <v>377</v>
      </c>
      <c r="G195" s="53" t="n">
        <v>142536</v>
      </c>
      <c r="H195" s="31" t="s">
        <v>270</v>
      </c>
      <c r="I195" s="10" t="s">
        <v>378</v>
      </c>
      <c r="J195" s="9" t="n">
        <v>3</v>
      </c>
      <c r="K195" s="31" t="s">
        <v>40</v>
      </c>
      <c r="L195" s="39" t="n">
        <v>45</v>
      </c>
      <c r="M195" s="39" t="n">
        <v>135</v>
      </c>
      <c r="N195" s="9" t="s">
        <v>18</v>
      </c>
    </row>
    <row r="196" customFormat="false" ht="13.5" hidden="false" customHeight="false" outlineLevel="0" collapsed="false">
      <c r="A196" s="56" t="s">
        <v>0</v>
      </c>
      <c r="B196" s="56" t="s">
        <v>1</v>
      </c>
      <c r="C196" s="56" t="s">
        <v>2</v>
      </c>
      <c r="D196" s="56" t="s">
        <v>3</v>
      </c>
      <c r="E196" s="56" t="s">
        <v>325</v>
      </c>
      <c r="F196" s="56" t="s">
        <v>4</v>
      </c>
      <c r="G196" s="56" t="s">
        <v>5</v>
      </c>
      <c r="H196" s="56" t="s">
        <v>6</v>
      </c>
      <c r="I196" s="56" t="s">
        <v>7</v>
      </c>
      <c r="J196" s="56" t="s">
        <v>8</v>
      </c>
      <c r="K196" s="56" t="s">
        <v>9</v>
      </c>
      <c r="L196" s="56" t="s">
        <v>10</v>
      </c>
      <c r="M196" s="56" t="s">
        <v>11</v>
      </c>
      <c r="N196" s="56" t="s">
        <v>12</v>
      </c>
    </row>
    <row r="197" customFormat="false" ht="13.5" hidden="false" customHeight="false" outlineLevel="0" collapsed="false">
      <c r="A197" s="62" t="n">
        <v>46056</v>
      </c>
      <c r="B197" s="53" t="n">
        <v>173528</v>
      </c>
      <c r="C197" s="29" t="s">
        <v>410</v>
      </c>
      <c r="D197" s="29" t="s">
        <v>14</v>
      </c>
      <c r="E197" s="29" t="s">
        <v>319</v>
      </c>
      <c r="F197" s="31" t="s">
        <v>411</v>
      </c>
      <c r="G197" s="31" t="s">
        <v>412</v>
      </c>
      <c r="H197" s="31" t="n">
        <v>1</v>
      </c>
      <c r="I197" s="27" t="s">
        <v>413</v>
      </c>
      <c r="J197" s="31" t="s">
        <v>159</v>
      </c>
      <c r="K197" s="31" t="s">
        <v>414</v>
      </c>
      <c r="L197" s="9"/>
      <c r="M197" s="9"/>
      <c r="N197" s="9" t="s">
        <v>18</v>
      </c>
    </row>
    <row r="198" customFormat="false" ht="13.5" hidden="false" customHeight="false" outlineLevel="0" collapsed="false">
      <c r="A198" s="56" t="s">
        <v>0</v>
      </c>
      <c r="B198" s="56" t="s">
        <v>415</v>
      </c>
      <c r="C198" s="56" t="s">
        <v>2</v>
      </c>
      <c r="D198" s="56" t="s">
        <v>3</v>
      </c>
      <c r="E198" s="56" t="s">
        <v>325</v>
      </c>
      <c r="F198" s="56" t="s">
        <v>4</v>
      </c>
      <c r="G198" s="56" t="s">
        <v>5</v>
      </c>
      <c r="H198" s="56" t="s">
        <v>6</v>
      </c>
      <c r="I198" s="56" t="s">
        <v>7</v>
      </c>
      <c r="J198" s="56" t="s">
        <v>8</v>
      </c>
      <c r="K198" s="56" t="s">
        <v>9</v>
      </c>
      <c r="L198" s="56" t="s">
        <v>10</v>
      </c>
      <c r="M198" s="56" t="s">
        <v>11</v>
      </c>
      <c r="N198" s="56" t="s">
        <v>12</v>
      </c>
    </row>
    <row r="199" customFormat="false" ht="26.85" hidden="false" customHeight="true" outlineLevel="0" collapsed="false">
      <c r="A199" s="4" t="n">
        <v>46062</v>
      </c>
      <c r="B199" s="5" t="n">
        <v>173848</v>
      </c>
      <c r="C199" s="6" t="s">
        <v>416</v>
      </c>
      <c r="D199" s="6" t="s">
        <v>14</v>
      </c>
      <c r="E199" s="6" t="s">
        <v>327</v>
      </c>
      <c r="F199" s="31" t="s">
        <v>162</v>
      </c>
      <c r="G199" s="53" t="n">
        <v>148407</v>
      </c>
      <c r="H199" s="31" t="n">
        <v>1</v>
      </c>
      <c r="I199" s="10" t="s">
        <v>163</v>
      </c>
      <c r="J199" s="31" t="s">
        <v>246</v>
      </c>
      <c r="K199" s="31" t="s">
        <v>164</v>
      </c>
      <c r="L199" s="39" t="n">
        <v>1639.6298</v>
      </c>
      <c r="M199" s="39" t="n">
        <v>19675.56</v>
      </c>
      <c r="N199" s="9" t="s">
        <v>18</v>
      </c>
    </row>
    <row r="200" customFormat="false" ht="26.85" hidden="false" customHeight="false" outlineLevel="0" collapsed="false">
      <c r="A200" s="4"/>
      <c r="B200" s="5"/>
      <c r="C200" s="6"/>
      <c r="D200" s="6"/>
      <c r="E200" s="6" t="s">
        <v>327</v>
      </c>
      <c r="F200" s="31" t="s">
        <v>417</v>
      </c>
      <c r="G200" s="53" t="n">
        <v>148407</v>
      </c>
      <c r="H200" s="31" t="s">
        <v>159</v>
      </c>
      <c r="I200" s="10" t="s">
        <v>418</v>
      </c>
      <c r="J200" s="31" t="s">
        <v>246</v>
      </c>
      <c r="K200" s="31" t="s">
        <v>40</v>
      </c>
      <c r="L200" s="39" t="n">
        <v>1039.3253</v>
      </c>
      <c r="M200" s="39" t="n">
        <v>12471.9</v>
      </c>
      <c r="N200" s="9" t="s">
        <v>18</v>
      </c>
    </row>
    <row r="201" customFormat="false" ht="26.85" hidden="false" customHeight="false" outlineLevel="0" collapsed="false">
      <c r="A201" s="4"/>
      <c r="B201" s="5"/>
      <c r="C201" s="6"/>
      <c r="D201" s="6"/>
      <c r="E201" s="6" t="s">
        <v>327</v>
      </c>
      <c r="F201" s="31" t="s">
        <v>247</v>
      </c>
      <c r="G201" s="53" t="n">
        <v>148407</v>
      </c>
      <c r="H201" s="31" t="s">
        <v>99</v>
      </c>
      <c r="I201" s="10" t="s">
        <v>249</v>
      </c>
      <c r="J201" s="9" t="n">
        <v>6</v>
      </c>
      <c r="K201" s="31" t="s">
        <v>40</v>
      </c>
      <c r="L201" s="39" t="n">
        <v>820.7781</v>
      </c>
      <c r="M201" s="39" t="n">
        <v>4924.67</v>
      </c>
      <c r="N201" s="9" t="s">
        <v>18</v>
      </c>
    </row>
    <row r="202" customFormat="false" ht="26.85" hidden="false" customHeight="false" outlineLevel="0" collapsed="false">
      <c r="A202" s="4"/>
      <c r="B202" s="5"/>
      <c r="C202" s="6"/>
      <c r="D202" s="6"/>
      <c r="E202" s="6" t="s">
        <v>327</v>
      </c>
      <c r="F202" s="31" t="s">
        <v>160</v>
      </c>
      <c r="G202" s="53" t="n">
        <v>148408</v>
      </c>
      <c r="H202" s="31" t="s">
        <v>224</v>
      </c>
      <c r="I202" s="10" t="s">
        <v>161</v>
      </c>
      <c r="J202" s="9" t="n">
        <v>3</v>
      </c>
      <c r="K202" s="31" t="s">
        <v>40</v>
      </c>
      <c r="L202" s="39" t="n">
        <v>1100</v>
      </c>
      <c r="M202" s="39" t="n">
        <v>3300</v>
      </c>
      <c r="N202" s="9" t="s">
        <v>18</v>
      </c>
    </row>
    <row r="203" customFormat="false" ht="26.85" hidden="false" customHeight="false" outlineLevel="0" collapsed="false">
      <c r="A203" s="4"/>
      <c r="B203" s="5"/>
      <c r="C203" s="6"/>
      <c r="D203" s="6"/>
      <c r="E203" s="6" t="s">
        <v>327</v>
      </c>
      <c r="F203" s="31" t="s">
        <v>419</v>
      </c>
      <c r="G203" s="53" t="n">
        <v>148408</v>
      </c>
      <c r="H203" s="31" t="s">
        <v>119</v>
      </c>
      <c r="I203" s="10" t="s">
        <v>420</v>
      </c>
      <c r="J203" s="9" t="n">
        <v>1</v>
      </c>
      <c r="K203" s="31" t="s">
        <v>40</v>
      </c>
      <c r="L203" s="39" t="n">
        <v>490</v>
      </c>
      <c r="M203" s="39" t="n">
        <v>490</v>
      </c>
      <c r="N203" s="9" t="s">
        <v>18</v>
      </c>
    </row>
    <row r="204" customFormat="false" ht="26.85" hidden="false" customHeight="false" outlineLevel="0" collapsed="false">
      <c r="A204" s="4"/>
      <c r="B204" s="5"/>
      <c r="C204" s="6"/>
      <c r="D204" s="6"/>
      <c r="E204" s="6" t="s">
        <v>327</v>
      </c>
      <c r="F204" s="31" t="s">
        <v>421</v>
      </c>
      <c r="G204" s="53" t="n">
        <v>148408</v>
      </c>
      <c r="H204" s="31" t="s">
        <v>229</v>
      </c>
      <c r="I204" s="10" t="s">
        <v>422</v>
      </c>
      <c r="J204" s="9" t="n">
        <v>4</v>
      </c>
      <c r="K204" s="31" t="s">
        <v>40</v>
      </c>
      <c r="L204" s="39" t="n">
        <v>820</v>
      </c>
      <c r="M204" s="39" t="n">
        <v>3280</v>
      </c>
      <c r="N204" s="9" t="s">
        <v>18</v>
      </c>
    </row>
    <row r="205" customFormat="false" ht="26.85" hidden="false" customHeight="false" outlineLevel="0" collapsed="false">
      <c r="A205" s="4"/>
      <c r="B205" s="5"/>
      <c r="C205" s="6"/>
      <c r="D205" s="6"/>
      <c r="E205" s="6" t="s">
        <v>327</v>
      </c>
      <c r="F205" s="31" t="s">
        <v>423</v>
      </c>
      <c r="G205" s="53" t="n">
        <v>148408</v>
      </c>
      <c r="H205" s="31" t="s">
        <v>232</v>
      </c>
      <c r="I205" s="10" t="s">
        <v>424</v>
      </c>
      <c r="J205" s="9" t="n">
        <v>2</v>
      </c>
      <c r="K205" s="31" t="s">
        <v>40</v>
      </c>
      <c r="L205" s="39" t="n">
        <v>2550</v>
      </c>
      <c r="M205" s="39" t="n">
        <v>5100</v>
      </c>
      <c r="N205" s="9" t="s">
        <v>18</v>
      </c>
    </row>
    <row r="206" customFormat="false" ht="26.85" hidden="false" customHeight="false" outlineLevel="0" collapsed="false">
      <c r="A206" s="4"/>
      <c r="B206" s="5"/>
      <c r="C206" s="6"/>
      <c r="D206" s="6"/>
      <c r="E206" s="6" t="s">
        <v>327</v>
      </c>
      <c r="F206" s="31" t="s">
        <v>425</v>
      </c>
      <c r="G206" s="53" t="n">
        <v>148408</v>
      </c>
      <c r="H206" s="31" t="s">
        <v>235</v>
      </c>
      <c r="I206" s="10" t="s">
        <v>426</v>
      </c>
      <c r="J206" s="9" t="n">
        <v>1</v>
      </c>
      <c r="K206" s="31" t="s">
        <v>40</v>
      </c>
      <c r="L206" s="39" t="n">
        <v>1450</v>
      </c>
      <c r="M206" s="39" t="n">
        <v>1450</v>
      </c>
      <c r="N206" s="9" t="s">
        <v>18</v>
      </c>
    </row>
    <row r="207" customFormat="false" ht="26.85" hidden="false" customHeight="false" outlineLevel="0" collapsed="false">
      <c r="A207" s="4"/>
      <c r="B207" s="5"/>
      <c r="C207" s="6"/>
      <c r="D207" s="6"/>
      <c r="E207" s="6" t="s">
        <v>327</v>
      </c>
      <c r="F207" s="31" t="s">
        <v>427</v>
      </c>
      <c r="G207" s="53" t="n">
        <v>148409</v>
      </c>
      <c r="H207" s="31" t="s">
        <v>239</v>
      </c>
      <c r="I207" s="10" t="s">
        <v>428</v>
      </c>
      <c r="J207" s="9" t="n">
        <v>2</v>
      </c>
      <c r="K207" s="31" t="s">
        <v>40</v>
      </c>
      <c r="L207" s="39" t="n">
        <v>608.0097</v>
      </c>
      <c r="M207" s="39" t="n">
        <v>1216.02</v>
      </c>
      <c r="N207" s="9" t="s">
        <v>18</v>
      </c>
    </row>
    <row r="208" customFormat="false" ht="39.55" hidden="false" customHeight="false" outlineLevel="0" collapsed="false">
      <c r="A208" s="4"/>
      <c r="B208" s="5"/>
      <c r="C208" s="6"/>
      <c r="D208" s="6"/>
      <c r="E208" s="6" t="s">
        <v>327</v>
      </c>
      <c r="F208" s="31" t="s">
        <v>400</v>
      </c>
      <c r="G208" s="53" t="n">
        <v>148408</v>
      </c>
      <c r="H208" s="31" t="s">
        <v>141</v>
      </c>
      <c r="I208" s="10" t="s">
        <v>401</v>
      </c>
      <c r="J208" s="9" t="n">
        <v>2</v>
      </c>
      <c r="K208" s="31" t="s">
        <v>40</v>
      </c>
      <c r="L208" s="39" t="n">
        <v>2580</v>
      </c>
      <c r="M208" s="39" t="n">
        <v>5160</v>
      </c>
      <c r="N208" s="9" t="s">
        <v>18</v>
      </c>
    </row>
    <row r="209" customFormat="false" ht="52.2" hidden="false" customHeight="false" outlineLevel="0" collapsed="false">
      <c r="A209" s="4"/>
      <c r="B209" s="5"/>
      <c r="C209" s="6"/>
      <c r="D209" s="6"/>
      <c r="E209" s="6" t="s">
        <v>327</v>
      </c>
      <c r="F209" s="31" t="s">
        <v>402</v>
      </c>
      <c r="G209" s="53" t="n">
        <v>148410</v>
      </c>
      <c r="H209" s="31" t="s">
        <v>244</v>
      </c>
      <c r="I209" s="10" t="s">
        <v>403</v>
      </c>
      <c r="J209" s="9" t="n">
        <v>2</v>
      </c>
      <c r="K209" s="31" t="s">
        <v>40</v>
      </c>
      <c r="L209" s="39" t="n">
        <v>194.76</v>
      </c>
      <c r="M209" s="39" t="n">
        <v>389.52</v>
      </c>
      <c r="N209" s="9" t="s">
        <v>18</v>
      </c>
    </row>
    <row r="210" customFormat="false" ht="26.85" hidden="false" customHeight="false" outlineLevel="0" collapsed="false">
      <c r="A210" s="4"/>
      <c r="B210" s="5"/>
      <c r="C210" s="6"/>
      <c r="D210" s="6"/>
      <c r="E210" s="6" t="s">
        <v>327</v>
      </c>
      <c r="F210" s="31" t="s">
        <v>429</v>
      </c>
      <c r="G210" s="53" t="n">
        <v>148410</v>
      </c>
      <c r="H210" s="31" t="s">
        <v>246</v>
      </c>
      <c r="I210" s="10" t="s">
        <v>430</v>
      </c>
      <c r="J210" s="9" t="n">
        <v>24</v>
      </c>
      <c r="K210" s="31" t="s">
        <v>40</v>
      </c>
      <c r="L210" s="39" t="n">
        <v>99.3</v>
      </c>
      <c r="M210" s="39" t="n">
        <v>2383.2</v>
      </c>
      <c r="N210" s="9" t="s">
        <v>18</v>
      </c>
    </row>
    <row r="211" customFormat="false" ht="39.55" hidden="false" customHeight="false" outlineLevel="0" collapsed="false">
      <c r="A211" s="4"/>
      <c r="B211" s="5"/>
      <c r="C211" s="6"/>
      <c r="D211" s="6"/>
      <c r="E211" s="6" t="s">
        <v>327</v>
      </c>
      <c r="F211" s="31" t="s">
        <v>431</v>
      </c>
      <c r="G211" s="53" t="n">
        <v>148410</v>
      </c>
      <c r="H211" s="31" t="s">
        <v>248</v>
      </c>
      <c r="I211" s="10" t="s">
        <v>432</v>
      </c>
      <c r="J211" s="9" t="n">
        <v>4</v>
      </c>
      <c r="K211" s="31" t="s">
        <v>40</v>
      </c>
      <c r="L211" s="39" t="n">
        <v>1370.3</v>
      </c>
      <c r="M211" s="39" t="n">
        <v>5481.2</v>
      </c>
      <c r="N211" s="9" t="s">
        <v>18</v>
      </c>
    </row>
    <row r="212" customFormat="false" ht="39.55" hidden="false" customHeight="false" outlineLevel="0" collapsed="false">
      <c r="A212" s="4"/>
      <c r="B212" s="5"/>
      <c r="C212" s="6"/>
      <c r="D212" s="6"/>
      <c r="E212" s="6" t="s">
        <v>327</v>
      </c>
      <c r="F212" s="31" t="s">
        <v>276</v>
      </c>
      <c r="G212" s="53" t="n">
        <v>148410</v>
      </c>
      <c r="H212" s="31" t="s">
        <v>181</v>
      </c>
      <c r="I212" s="10" t="s">
        <v>278</v>
      </c>
      <c r="J212" s="9" t="n">
        <v>4</v>
      </c>
      <c r="K212" s="31" t="s">
        <v>40</v>
      </c>
      <c r="L212" s="39" t="n">
        <v>125.46</v>
      </c>
      <c r="M212" s="39" t="n">
        <v>501.84</v>
      </c>
      <c r="N212" s="9" t="s">
        <v>18</v>
      </c>
    </row>
    <row r="213" customFormat="false" ht="26.85" hidden="false" customHeight="false" outlineLevel="0" collapsed="false">
      <c r="A213" s="4"/>
      <c r="B213" s="5"/>
      <c r="C213" s="6"/>
      <c r="D213" s="6"/>
      <c r="E213" s="6" t="s">
        <v>327</v>
      </c>
      <c r="F213" s="31" t="s">
        <v>279</v>
      </c>
      <c r="G213" s="53" t="n">
        <v>148410</v>
      </c>
      <c r="H213" s="31" t="s">
        <v>183</v>
      </c>
      <c r="I213" s="10" t="s">
        <v>281</v>
      </c>
      <c r="J213" s="9" t="n">
        <v>32</v>
      </c>
      <c r="K213" s="31" t="s">
        <v>40</v>
      </c>
      <c r="L213" s="39" t="n">
        <v>66.71</v>
      </c>
      <c r="M213" s="39" t="n">
        <v>2134.72</v>
      </c>
      <c r="N213" s="9" t="s">
        <v>18</v>
      </c>
    </row>
    <row r="214" customFormat="false" ht="39.55" hidden="false" customHeight="false" outlineLevel="0" collapsed="false">
      <c r="A214" s="4"/>
      <c r="B214" s="5"/>
      <c r="C214" s="6"/>
      <c r="D214" s="6"/>
      <c r="E214" s="6" t="s">
        <v>327</v>
      </c>
      <c r="F214" s="31" t="s">
        <v>433</v>
      </c>
      <c r="G214" s="53" t="n">
        <v>148409</v>
      </c>
      <c r="H214" s="31" t="s">
        <v>255</v>
      </c>
      <c r="I214" s="10" t="s">
        <v>434</v>
      </c>
      <c r="J214" s="9" t="n">
        <v>1</v>
      </c>
      <c r="K214" s="31" t="s">
        <v>40</v>
      </c>
      <c r="L214" s="39" t="n">
        <v>37906.0423</v>
      </c>
      <c r="M214" s="39" t="n">
        <v>37906.04</v>
      </c>
      <c r="N214" s="9" t="s">
        <v>18</v>
      </c>
    </row>
    <row r="215" customFormat="false" ht="52.2" hidden="false" customHeight="false" outlineLevel="0" collapsed="false">
      <c r="A215" s="4"/>
      <c r="B215" s="5"/>
      <c r="C215" s="6"/>
      <c r="D215" s="6"/>
      <c r="E215" s="6" t="s">
        <v>327</v>
      </c>
      <c r="F215" s="31" t="s">
        <v>435</v>
      </c>
      <c r="G215" s="53" t="n">
        <v>148409</v>
      </c>
      <c r="H215" s="31" t="s">
        <v>258</v>
      </c>
      <c r="I215" s="10" t="s">
        <v>436</v>
      </c>
      <c r="J215" s="9" t="n">
        <v>1</v>
      </c>
      <c r="K215" s="31" t="s">
        <v>40</v>
      </c>
      <c r="L215" s="39" t="n">
        <v>23434.2908</v>
      </c>
      <c r="M215" s="39" t="n">
        <v>23434.29</v>
      </c>
      <c r="N215" s="9" t="s">
        <v>18</v>
      </c>
    </row>
    <row r="216" customFormat="false" ht="39.55" hidden="false" customHeight="false" outlineLevel="0" collapsed="false">
      <c r="A216" s="4"/>
      <c r="B216" s="5"/>
      <c r="C216" s="6"/>
      <c r="D216" s="6"/>
      <c r="E216" s="6" t="s">
        <v>327</v>
      </c>
      <c r="F216" s="31" t="s">
        <v>369</v>
      </c>
      <c r="G216" s="53" t="n">
        <v>148409</v>
      </c>
      <c r="H216" s="31" t="s">
        <v>261</v>
      </c>
      <c r="I216" s="10" t="s">
        <v>370</v>
      </c>
      <c r="J216" s="9" t="n">
        <v>2</v>
      </c>
      <c r="K216" s="31" t="s">
        <v>40</v>
      </c>
      <c r="L216" s="39" t="n">
        <v>625.6966</v>
      </c>
      <c r="M216" s="39" t="n">
        <v>1251.39</v>
      </c>
      <c r="N216" s="9" t="s">
        <v>18</v>
      </c>
    </row>
    <row r="217" customFormat="false" ht="26.85" hidden="false" customHeight="false" outlineLevel="0" collapsed="false">
      <c r="A217" s="4"/>
      <c r="B217" s="5"/>
      <c r="C217" s="6"/>
      <c r="D217" s="6"/>
      <c r="E217" s="6" t="s">
        <v>327</v>
      </c>
      <c r="F217" s="7" t="s">
        <v>371</v>
      </c>
      <c r="G217" s="53" t="n">
        <v>148408</v>
      </c>
      <c r="H217" s="31" t="s">
        <v>264</v>
      </c>
      <c r="I217" s="10" t="s">
        <v>372</v>
      </c>
      <c r="J217" s="9" t="n">
        <v>2</v>
      </c>
      <c r="K217" s="31" t="s">
        <v>40</v>
      </c>
      <c r="L217" s="39" t="n">
        <v>160</v>
      </c>
      <c r="M217" s="39" t="n">
        <v>320</v>
      </c>
      <c r="N217" s="9" t="s">
        <v>18</v>
      </c>
    </row>
    <row r="218" customFormat="false" ht="26.85" hidden="false" customHeight="false" outlineLevel="0" collapsed="false">
      <c r="A218" s="4"/>
      <c r="B218" s="5"/>
      <c r="C218" s="6"/>
      <c r="D218" s="6"/>
      <c r="E218" s="6" t="s">
        <v>327</v>
      </c>
      <c r="F218" s="7" t="s">
        <v>373</v>
      </c>
      <c r="G218" s="53" t="n">
        <v>148408</v>
      </c>
      <c r="H218" s="31" t="s">
        <v>109</v>
      </c>
      <c r="I218" s="10" t="s">
        <v>374</v>
      </c>
      <c r="J218" s="9" t="n">
        <v>2</v>
      </c>
      <c r="K218" s="31" t="s">
        <v>40</v>
      </c>
      <c r="L218" s="39" t="n">
        <v>70</v>
      </c>
      <c r="M218" s="39" t="n">
        <v>140</v>
      </c>
      <c r="N218" s="9" t="s">
        <v>18</v>
      </c>
    </row>
    <row r="219" customFormat="false" ht="26.85" hidden="false" customHeight="false" outlineLevel="0" collapsed="false">
      <c r="A219" s="4"/>
      <c r="B219" s="5"/>
      <c r="C219" s="6"/>
      <c r="D219" s="6"/>
      <c r="E219" s="6" t="s">
        <v>327</v>
      </c>
      <c r="F219" s="7" t="s">
        <v>375</v>
      </c>
      <c r="G219" s="53" t="n">
        <v>148408</v>
      </c>
      <c r="H219" s="31" t="s">
        <v>268</v>
      </c>
      <c r="I219" s="10" t="s">
        <v>376</v>
      </c>
      <c r="J219" s="9" t="n">
        <v>2</v>
      </c>
      <c r="K219" s="31" t="s">
        <v>40</v>
      </c>
      <c r="L219" s="39" t="n">
        <v>70</v>
      </c>
      <c r="M219" s="39" t="n">
        <v>140</v>
      </c>
      <c r="N219" s="9" t="s">
        <v>18</v>
      </c>
    </row>
    <row r="220" customFormat="false" ht="26.85" hidden="false" customHeight="false" outlineLevel="0" collapsed="false">
      <c r="A220" s="4"/>
      <c r="B220" s="5"/>
      <c r="C220" s="6"/>
      <c r="D220" s="6"/>
      <c r="E220" s="6" t="s">
        <v>327</v>
      </c>
      <c r="F220" s="7" t="s">
        <v>377</v>
      </c>
      <c r="G220" s="53" t="n">
        <v>148408</v>
      </c>
      <c r="H220" s="31" t="s">
        <v>270</v>
      </c>
      <c r="I220" s="10" t="s">
        <v>378</v>
      </c>
      <c r="J220" s="9" t="n">
        <v>2</v>
      </c>
      <c r="K220" s="31" t="s">
        <v>40</v>
      </c>
      <c r="L220" s="39" t="n">
        <v>70</v>
      </c>
      <c r="M220" s="39" t="n">
        <v>140</v>
      </c>
      <c r="N220" s="9" t="s">
        <v>18</v>
      </c>
    </row>
    <row r="221" customFormat="false" ht="14.15" hidden="false" customHeight="false" outlineLevel="0" collapsed="false">
      <c r="A221" s="56" t="s">
        <v>0</v>
      </c>
      <c r="B221" s="56" t="s">
        <v>1</v>
      </c>
      <c r="C221" s="56" t="s">
        <v>2</v>
      </c>
      <c r="D221" s="63" t="s">
        <v>437</v>
      </c>
      <c r="E221" s="56" t="s">
        <v>325</v>
      </c>
      <c r="F221" s="56" t="s">
        <v>4</v>
      </c>
      <c r="G221" s="56" t="s">
        <v>5</v>
      </c>
      <c r="H221" s="56" t="s">
        <v>6</v>
      </c>
      <c r="I221" s="56" t="s">
        <v>7</v>
      </c>
      <c r="J221" s="56" t="s">
        <v>8</v>
      </c>
      <c r="K221" s="56" t="s">
        <v>9</v>
      </c>
      <c r="L221" s="56" t="s">
        <v>10</v>
      </c>
      <c r="M221" s="56" t="s">
        <v>11</v>
      </c>
      <c r="N221" s="56" t="s">
        <v>12</v>
      </c>
    </row>
    <row r="222" customFormat="false" ht="14.15" hidden="false" customHeight="true" outlineLevel="0" collapsed="false">
      <c r="A222" s="4" t="n">
        <v>46076</v>
      </c>
      <c r="B222" s="6" t="n">
        <v>175006</v>
      </c>
      <c r="C222" s="6" t="s">
        <v>438</v>
      </c>
      <c r="D222" s="6" t="s">
        <v>14</v>
      </c>
      <c r="E222" s="6" t="s">
        <v>319</v>
      </c>
      <c r="F222" s="7" t="s">
        <v>132</v>
      </c>
      <c r="G222" s="53" t="n">
        <v>143997</v>
      </c>
      <c r="H222" s="31" t="n">
        <v>1</v>
      </c>
      <c r="I222" s="27" t="s">
        <v>133</v>
      </c>
      <c r="J222" s="31" t="s">
        <v>439</v>
      </c>
      <c r="K222" s="31" t="s">
        <v>21</v>
      </c>
      <c r="L222" s="39" t="n">
        <v>89</v>
      </c>
      <c r="M222" s="39" t="n">
        <v>17800</v>
      </c>
      <c r="N222" s="9" t="s">
        <v>18</v>
      </c>
    </row>
    <row r="223" customFormat="false" ht="14.15" hidden="false" customHeight="false" outlineLevel="0" collapsed="false">
      <c r="A223" s="4"/>
      <c r="B223" s="6"/>
      <c r="C223" s="6"/>
      <c r="D223" s="6"/>
      <c r="E223" s="6" t="s">
        <v>319</v>
      </c>
      <c r="F223" s="7" t="s">
        <v>187</v>
      </c>
      <c r="G223" s="53" t="n">
        <v>143997</v>
      </c>
      <c r="H223" s="31" t="n">
        <v>2</v>
      </c>
      <c r="I223" s="27" t="s">
        <v>188</v>
      </c>
      <c r="J223" s="31" t="s">
        <v>439</v>
      </c>
      <c r="K223" s="31" t="s">
        <v>21</v>
      </c>
      <c r="L223" s="39" t="n">
        <v>89</v>
      </c>
      <c r="M223" s="39" t="n">
        <v>17800</v>
      </c>
      <c r="N223" s="9" t="s">
        <v>18</v>
      </c>
    </row>
    <row r="224" customFormat="false" ht="14.15" hidden="false" customHeight="false" outlineLevel="0" collapsed="false">
      <c r="A224" s="4"/>
      <c r="B224" s="6"/>
      <c r="C224" s="6"/>
      <c r="D224" s="6"/>
      <c r="E224" s="6" t="s">
        <v>319</v>
      </c>
      <c r="F224" s="7" t="n">
        <v>1204077</v>
      </c>
      <c r="G224" s="53" t="n">
        <v>143997</v>
      </c>
      <c r="H224" s="31" t="n">
        <v>3</v>
      </c>
      <c r="I224" s="27" t="s">
        <v>129</v>
      </c>
      <c r="J224" s="31" t="s">
        <v>130</v>
      </c>
      <c r="K224" s="31" t="s">
        <v>40</v>
      </c>
      <c r="L224" s="39" t="n">
        <v>124</v>
      </c>
      <c r="M224" s="39" t="n">
        <v>12400</v>
      </c>
      <c r="N224" s="9" t="s">
        <v>18</v>
      </c>
    </row>
    <row r="225" customFormat="false" ht="14.15" hidden="false" customHeight="false" outlineLevel="0" collapsed="false">
      <c r="A225" s="4"/>
      <c r="B225" s="6"/>
      <c r="C225" s="6"/>
      <c r="D225" s="6"/>
      <c r="E225" s="6" t="s">
        <v>319</v>
      </c>
      <c r="F225" s="7" t="n">
        <v>1204015</v>
      </c>
      <c r="G225" s="53" t="n">
        <v>143997</v>
      </c>
      <c r="H225" s="31" t="n">
        <v>4</v>
      </c>
      <c r="I225" s="27" t="s">
        <v>131</v>
      </c>
      <c r="J225" s="31" t="s">
        <v>130</v>
      </c>
      <c r="K225" s="31" t="s">
        <v>40</v>
      </c>
      <c r="L225" s="39" t="n">
        <v>124</v>
      </c>
      <c r="M225" s="39" t="n">
        <v>12400</v>
      </c>
      <c r="N225" s="9" t="s">
        <v>18</v>
      </c>
    </row>
    <row r="226" customFormat="false" ht="14.15" hidden="false" customHeight="false" outlineLevel="0" collapsed="false">
      <c r="A226" s="4"/>
      <c r="B226" s="6"/>
      <c r="C226" s="6"/>
      <c r="D226" s="6"/>
      <c r="E226" s="6" t="s">
        <v>319</v>
      </c>
      <c r="F226" s="26" t="n">
        <v>1206016</v>
      </c>
      <c r="G226" s="60" t="n">
        <v>143998</v>
      </c>
      <c r="H226" s="32" t="n">
        <v>5</v>
      </c>
      <c r="I226" s="61" t="s">
        <v>200</v>
      </c>
      <c r="J226" s="32" t="s">
        <v>124</v>
      </c>
      <c r="K226" s="32" t="s">
        <v>21</v>
      </c>
      <c r="L226" s="44" t="n">
        <v>180</v>
      </c>
      <c r="M226" s="44" t="n">
        <v>9000</v>
      </c>
      <c r="N226" s="20" t="s">
        <v>440</v>
      </c>
    </row>
    <row r="227" customFormat="false" ht="14.15" hidden="false" customHeight="false" outlineLevel="0" collapsed="false">
      <c r="A227" s="4"/>
      <c r="B227" s="6"/>
      <c r="C227" s="6"/>
      <c r="D227" s="6"/>
      <c r="E227" s="6" t="s">
        <v>319</v>
      </c>
      <c r="F227" s="7" t="s">
        <v>441</v>
      </c>
      <c r="G227" s="53" t="n">
        <v>143997</v>
      </c>
      <c r="H227" s="31" t="n">
        <v>6</v>
      </c>
      <c r="I227" s="27" t="s">
        <v>442</v>
      </c>
      <c r="J227" s="31" t="n">
        <v>300</v>
      </c>
      <c r="K227" s="31" t="s">
        <v>443</v>
      </c>
      <c r="L227" s="39" t="n">
        <v>15</v>
      </c>
      <c r="M227" s="39" t="n">
        <v>4500</v>
      </c>
      <c r="N227" s="9" t="s">
        <v>18</v>
      </c>
    </row>
    <row r="228" customFormat="false" ht="26.85" hidden="false" customHeight="false" outlineLevel="0" collapsed="false">
      <c r="A228" s="4"/>
      <c r="B228" s="6"/>
      <c r="C228" s="6"/>
      <c r="D228" s="6"/>
      <c r="E228" s="6" t="s">
        <v>319</v>
      </c>
      <c r="F228" s="7" t="n">
        <v>1204049</v>
      </c>
      <c r="G228" s="53" t="n">
        <v>143997</v>
      </c>
      <c r="H228" s="31" t="n">
        <v>7</v>
      </c>
      <c r="I228" s="27" t="s">
        <v>195</v>
      </c>
      <c r="J228" s="31" t="s">
        <v>439</v>
      </c>
      <c r="K228" s="31" t="s">
        <v>21</v>
      </c>
      <c r="L228" s="39" t="n">
        <v>22</v>
      </c>
      <c r="M228" s="39" t="n">
        <v>4400</v>
      </c>
      <c r="N228" s="9" t="s">
        <v>18</v>
      </c>
    </row>
    <row r="229" customFormat="false" ht="26.85" hidden="false" customHeight="false" outlineLevel="0" collapsed="false">
      <c r="A229" s="4"/>
      <c r="B229" s="6"/>
      <c r="C229" s="6"/>
      <c r="D229" s="6"/>
      <c r="E229" s="6" t="s">
        <v>319</v>
      </c>
      <c r="F229" s="7" t="s">
        <v>444</v>
      </c>
      <c r="G229" s="53" t="n">
        <v>143997</v>
      </c>
      <c r="H229" s="31" t="n">
        <v>8</v>
      </c>
      <c r="I229" s="27" t="s">
        <v>445</v>
      </c>
      <c r="J229" s="31" t="s">
        <v>99</v>
      </c>
      <c r="K229" s="31" t="s">
        <v>21</v>
      </c>
      <c r="L229" s="39" t="n">
        <v>176</v>
      </c>
      <c r="M229" s="39" t="n">
        <v>528</v>
      </c>
      <c r="N229" s="9" t="s">
        <v>18</v>
      </c>
    </row>
    <row r="230" customFormat="false" ht="14.15" hidden="false" customHeight="false" outlineLevel="0" collapsed="false">
      <c r="A230" s="4"/>
      <c r="B230" s="6"/>
      <c r="C230" s="6"/>
      <c r="D230" s="6"/>
      <c r="E230" s="6" t="s">
        <v>319</v>
      </c>
      <c r="F230" s="26" t="s">
        <v>111</v>
      </c>
      <c r="G230" s="60" t="n">
        <v>143997</v>
      </c>
      <c r="H230" s="32" t="n">
        <v>9</v>
      </c>
      <c r="I230" s="61" t="s">
        <v>112</v>
      </c>
      <c r="J230" s="32" t="s">
        <v>109</v>
      </c>
      <c r="K230" s="32" t="s">
        <v>40</v>
      </c>
      <c r="L230" s="44" t="n">
        <v>49</v>
      </c>
      <c r="M230" s="44" t="n">
        <v>980</v>
      </c>
      <c r="N230" s="20" t="s">
        <v>440</v>
      </c>
    </row>
    <row r="231" customFormat="false" ht="14.15" hidden="false" customHeight="false" outlineLevel="0" collapsed="false">
      <c r="A231" s="4"/>
      <c r="B231" s="6"/>
      <c r="C231" s="6"/>
      <c r="D231" s="6"/>
      <c r="E231" s="6" t="s">
        <v>319</v>
      </c>
      <c r="F231" s="26" t="s">
        <v>113</v>
      </c>
      <c r="G231" s="60" t="n">
        <v>143997</v>
      </c>
      <c r="H231" s="32" t="n">
        <v>10</v>
      </c>
      <c r="I231" s="61" t="s">
        <v>114</v>
      </c>
      <c r="J231" s="32" t="s">
        <v>109</v>
      </c>
      <c r="K231" s="32" t="s">
        <v>40</v>
      </c>
      <c r="L231" s="44" t="n">
        <v>45</v>
      </c>
      <c r="M231" s="44" t="n">
        <v>900</v>
      </c>
      <c r="N231" s="20" t="s">
        <v>366</v>
      </c>
    </row>
    <row r="232" customFormat="false" ht="14.15" hidden="false" customHeight="false" outlineLevel="0" collapsed="false">
      <c r="A232" s="4"/>
      <c r="B232" s="6"/>
      <c r="C232" s="6"/>
      <c r="D232" s="6"/>
      <c r="E232" s="6" t="s">
        <v>319</v>
      </c>
      <c r="F232" s="7" t="s">
        <v>117</v>
      </c>
      <c r="G232" s="53" t="n">
        <v>143997</v>
      </c>
      <c r="H232" s="31" t="n">
        <v>11</v>
      </c>
      <c r="I232" s="27" t="s">
        <v>118</v>
      </c>
      <c r="J232" s="31" t="s">
        <v>141</v>
      </c>
      <c r="K232" s="31" t="s">
        <v>40</v>
      </c>
      <c r="L232" s="39" t="n">
        <v>60</v>
      </c>
      <c r="M232" s="39" t="n">
        <v>600</v>
      </c>
      <c r="N232" s="9" t="s">
        <v>18</v>
      </c>
    </row>
    <row r="233" customFormat="false" ht="14.15" hidden="false" customHeight="false" outlineLevel="0" collapsed="false">
      <c r="A233" s="4"/>
      <c r="B233" s="6"/>
      <c r="C233" s="6"/>
      <c r="D233" s="6"/>
      <c r="E233" s="6" t="s">
        <v>319</v>
      </c>
      <c r="F233" s="7" t="s">
        <v>120</v>
      </c>
      <c r="G233" s="53" t="n">
        <v>143997</v>
      </c>
      <c r="H233" s="31" t="n">
        <v>12</v>
      </c>
      <c r="I233" s="27" t="s">
        <v>121</v>
      </c>
      <c r="J233" s="31" t="s">
        <v>141</v>
      </c>
      <c r="K233" s="31" t="s">
        <v>40</v>
      </c>
      <c r="L233" s="39" t="n">
        <v>60</v>
      </c>
      <c r="M233" s="39" t="n">
        <v>600</v>
      </c>
      <c r="N233" s="9" t="s">
        <v>18</v>
      </c>
    </row>
    <row r="234" customFormat="false" ht="14.15" hidden="false" customHeight="false" outlineLevel="0" collapsed="false">
      <c r="A234" s="4"/>
      <c r="B234" s="6"/>
      <c r="C234" s="6"/>
      <c r="D234" s="6"/>
      <c r="E234" s="6" t="s">
        <v>319</v>
      </c>
      <c r="F234" s="7" t="s">
        <v>136</v>
      </c>
      <c r="G234" s="53" t="n">
        <v>143997</v>
      </c>
      <c r="H234" s="31" t="n">
        <v>13</v>
      </c>
      <c r="I234" s="27" t="s">
        <v>138</v>
      </c>
      <c r="J234" s="31" t="s">
        <v>109</v>
      </c>
      <c r="K234" s="31" t="s">
        <v>40</v>
      </c>
      <c r="L234" s="39" t="n">
        <v>8.4</v>
      </c>
      <c r="M234" s="39" t="n">
        <v>168</v>
      </c>
      <c r="N234" s="9" t="s">
        <v>18</v>
      </c>
    </row>
    <row r="235" customFormat="false" ht="14.15" hidden="false" customHeight="false" outlineLevel="0" collapsed="false">
      <c r="A235" s="4"/>
      <c r="B235" s="6"/>
      <c r="C235" s="6"/>
      <c r="D235" s="6"/>
      <c r="E235" s="6" t="s">
        <v>319</v>
      </c>
      <c r="F235" s="7" t="s">
        <v>139</v>
      </c>
      <c r="G235" s="53" t="n">
        <v>143997</v>
      </c>
      <c r="H235" s="31" t="n">
        <v>14</v>
      </c>
      <c r="I235" s="27" t="s">
        <v>140</v>
      </c>
      <c r="J235" s="31" t="s">
        <v>109</v>
      </c>
      <c r="K235" s="31" t="s">
        <v>40</v>
      </c>
      <c r="L235" s="39" t="n">
        <v>9.6</v>
      </c>
      <c r="M235" s="39" t="n">
        <v>192</v>
      </c>
      <c r="N235" s="9" t="s">
        <v>18</v>
      </c>
    </row>
    <row r="236" customFormat="false" ht="14.15" hidden="false" customHeight="false" outlineLevel="0" collapsed="false">
      <c r="A236" s="4"/>
      <c r="B236" s="6"/>
      <c r="C236" s="6"/>
      <c r="D236" s="6"/>
      <c r="E236" s="6" t="s">
        <v>319</v>
      </c>
      <c r="F236" s="7" t="s">
        <v>144</v>
      </c>
      <c r="G236" s="53" t="n">
        <v>143997</v>
      </c>
      <c r="H236" s="31" t="n">
        <v>15</v>
      </c>
      <c r="I236" s="27" t="s">
        <v>145</v>
      </c>
      <c r="J236" s="31" t="n">
        <v>5</v>
      </c>
      <c r="K236" s="31" t="s">
        <v>40</v>
      </c>
      <c r="L236" s="39" t="n">
        <v>360</v>
      </c>
      <c r="M236" s="39" t="n">
        <v>1800</v>
      </c>
      <c r="N236" s="9" t="s">
        <v>18</v>
      </c>
    </row>
    <row r="237" customFormat="false" ht="14.15" hidden="false" customHeight="false" outlineLevel="0" collapsed="false">
      <c r="A237" s="4"/>
      <c r="B237" s="6"/>
      <c r="C237" s="6"/>
      <c r="D237" s="6"/>
      <c r="E237" s="6" t="s">
        <v>319</v>
      </c>
      <c r="F237" s="7" t="s">
        <v>446</v>
      </c>
      <c r="G237" s="53" t="n">
        <v>143997</v>
      </c>
      <c r="H237" s="31" t="n">
        <v>16</v>
      </c>
      <c r="I237" s="27" t="s">
        <v>447</v>
      </c>
      <c r="J237" s="31" t="n">
        <v>500</v>
      </c>
      <c r="K237" s="31" t="s">
        <v>31</v>
      </c>
      <c r="L237" s="39" t="n">
        <v>58</v>
      </c>
      <c r="M237" s="39" t="n">
        <v>29000</v>
      </c>
      <c r="N237" s="9" t="s">
        <v>18</v>
      </c>
    </row>
    <row r="238" customFormat="false" ht="26.85" hidden="false" customHeight="false" outlineLevel="0" collapsed="false">
      <c r="A238" s="4"/>
      <c r="B238" s="6"/>
      <c r="C238" s="6"/>
      <c r="D238" s="6"/>
      <c r="E238" s="6" t="s">
        <v>319</v>
      </c>
      <c r="F238" s="26" t="s">
        <v>448</v>
      </c>
      <c r="G238" s="60" t="n">
        <v>143999</v>
      </c>
      <c r="H238" s="32" t="n">
        <v>17</v>
      </c>
      <c r="I238" s="61" t="s">
        <v>449</v>
      </c>
      <c r="J238" s="32" t="s">
        <v>141</v>
      </c>
      <c r="K238" s="32"/>
      <c r="L238" s="44" t="n">
        <v>1804.7</v>
      </c>
      <c r="M238" s="44" t="n">
        <v>18047</v>
      </c>
      <c r="N238" s="20" t="s">
        <v>440</v>
      </c>
    </row>
    <row r="239" customFormat="false" ht="14.15" hidden="false" customHeight="false" outlineLevel="0" collapsed="false">
      <c r="A239" s="4"/>
      <c r="B239" s="6"/>
      <c r="C239" s="6"/>
      <c r="D239" s="6"/>
      <c r="E239" s="6" t="s">
        <v>319</v>
      </c>
      <c r="F239" s="7" t="s">
        <v>450</v>
      </c>
      <c r="G239" s="53" t="n">
        <v>143997</v>
      </c>
      <c r="H239" s="31" t="n">
        <v>18</v>
      </c>
      <c r="I239" s="27" t="s">
        <v>451</v>
      </c>
      <c r="J239" s="31" t="s">
        <v>109</v>
      </c>
      <c r="K239" s="31" t="s">
        <v>452</v>
      </c>
      <c r="L239" s="39" t="n">
        <v>270</v>
      </c>
      <c r="M239" s="39" t="n">
        <v>5400</v>
      </c>
      <c r="N239" s="9" t="s">
        <v>18</v>
      </c>
    </row>
    <row r="240" customFormat="false" ht="14.15" hidden="false" customHeight="false" outlineLevel="0" collapsed="false">
      <c r="A240" s="4"/>
      <c r="B240" s="6"/>
      <c r="C240" s="6"/>
      <c r="D240" s="6"/>
      <c r="E240" s="6" t="s">
        <v>319</v>
      </c>
      <c r="F240" s="26" t="s">
        <v>453</v>
      </c>
      <c r="G240" s="60" t="n">
        <v>144210</v>
      </c>
      <c r="H240" s="32" t="n">
        <v>19</v>
      </c>
      <c r="I240" s="61" t="s">
        <v>454</v>
      </c>
      <c r="J240" s="32" t="s">
        <v>109</v>
      </c>
      <c r="K240" s="32" t="s">
        <v>40</v>
      </c>
      <c r="L240" s="44" t="n">
        <v>112.33</v>
      </c>
      <c r="M240" s="44" t="n">
        <v>2246.6</v>
      </c>
      <c r="N240" s="20" t="s">
        <v>440</v>
      </c>
    </row>
    <row r="241" customFormat="false" ht="14.15" hidden="false" customHeight="false" outlineLevel="0" collapsed="false">
      <c r="A241" s="4"/>
      <c r="B241" s="6"/>
      <c r="C241" s="6"/>
      <c r="D241" s="6"/>
      <c r="E241" s="6" t="s">
        <v>319</v>
      </c>
      <c r="F241" s="7" t="s">
        <v>455</v>
      </c>
      <c r="G241" s="53" t="n">
        <v>143997</v>
      </c>
      <c r="H241" s="31" t="n">
        <v>20</v>
      </c>
      <c r="I241" s="27" t="s">
        <v>456</v>
      </c>
      <c r="J241" s="31" t="s">
        <v>109</v>
      </c>
      <c r="K241" s="31" t="s">
        <v>452</v>
      </c>
      <c r="L241" s="39" t="n">
        <v>85</v>
      </c>
      <c r="M241" s="39" t="n">
        <v>1700</v>
      </c>
      <c r="N241" s="9" t="s">
        <v>18</v>
      </c>
    </row>
    <row r="242" customFormat="false" ht="14.15" hidden="false" customHeight="false" outlineLevel="0" collapsed="false">
      <c r="A242" s="4"/>
      <c r="B242" s="6"/>
      <c r="C242" s="6"/>
      <c r="D242" s="6"/>
      <c r="E242" s="6" t="s">
        <v>319</v>
      </c>
      <c r="F242" s="7" t="s">
        <v>457</v>
      </c>
      <c r="G242" s="53" t="n">
        <v>143997</v>
      </c>
      <c r="H242" s="31" t="n">
        <v>21</v>
      </c>
      <c r="I242" s="27" t="s">
        <v>458</v>
      </c>
      <c r="J242" s="31" t="s">
        <v>119</v>
      </c>
      <c r="K242" s="31" t="s">
        <v>21</v>
      </c>
      <c r="L242" s="39" t="n">
        <v>250</v>
      </c>
      <c r="M242" s="39" t="n">
        <v>1250</v>
      </c>
      <c r="N242" s="9" t="s">
        <v>18</v>
      </c>
    </row>
    <row r="243" customFormat="false" ht="14.15" hidden="false" customHeight="false" outlineLevel="0" collapsed="false">
      <c r="A243" s="4"/>
      <c r="B243" s="6"/>
      <c r="C243" s="6"/>
      <c r="D243" s="6"/>
      <c r="E243" s="6" t="s">
        <v>319</v>
      </c>
      <c r="F243" s="7" t="s">
        <v>459</v>
      </c>
      <c r="G243" s="53" t="n">
        <v>143997</v>
      </c>
      <c r="H243" s="31" t="n">
        <v>22</v>
      </c>
      <c r="I243" s="27" t="s">
        <v>460</v>
      </c>
      <c r="J243" s="31" t="n">
        <v>20</v>
      </c>
      <c r="K243" s="31" t="s">
        <v>21</v>
      </c>
      <c r="L243" s="39" t="n">
        <v>444</v>
      </c>
      <c r="M243" s="39" t="n">
        <v>8880</v>
      </c>
      <c r="N243" s="9" t="s">
        <v>18</v>
      </c>
    </row>
    <row r="244" customFormat="false" ht="14.15" hidden="false" customHeight="false" outlineLevel="0" collapsed="false">
      <c r="A244" s="4"/>
      <c r="B244" s="6"/>
      <c r="C244" s="6"/>
      <c r="D244" s="6"/>
      <c r="E244" s="6" t="s">
        <v>319</v>
      </c>
      <c r="F244" s="26" t="s">
        <v>461</v>
      </c>
      <c r="G244" s="60" t="n">
        <v>143997</v>
      </c>
      <c r="H244" s="32" t="n">
        <v>23</v>
      </c>
      <c r="I244" s="61" t="s">
        <v>462</v>
      </c>
      <c r="J244" s="32" t="n">
        <v>20</v>
      </c>
      <c r="K244" s="32" t="s">
        <v>21</v>
      </c>
      <c r="L244" s="44" t="n">
        <v>240</v>
      </c>
      <c r="M244" s="44" t="n">
        <v>4800</v>
      </c>
      <c r="N244" s="20" t="s">
        <v>440</v>
      </c>
    </row>
    <row r="245" customFormat="false" ht="14.15" hidden="false" customHeight="false" outlineLevel="0" collapsed="false">
      <c r="A245" s="4"/>
      <c r="B245" s="6"/>
      <c r="C245" s="6"/>
      <c r="D245" s="6"/>
      <c r="E245" s="6" t="s">
        <v>319</v>
      </c>
      <c r="F245" s="7" t="s">
        <v>463</v>
      </c>
      <c r="G245" s="53" t="n">
        <v>143997</v>
      </c>
      <c r="H245" s="31" t="n">
        <v>24</v>
      </c>
      <c r="I245" s="27" t="s">
        <v>464</v>
      </c>
      <c r="J245" s="31" t="n">
        <v>10</v>
      </c>
      <c r="K245" s="31" t="s">
        <v>21</v>
      </c>
      <c r="L245" s="39" t="n">
        <v>150</v>
      </c>
      <c r="M245" s="39" t="n">
        <v>1500</v>
      </c>
      <c r="N245" s="9" t="s">
        <v>18</v>
      </c>
    </row>
    <row r="246" customFormat="false" ht="14.15" hidden="false" customHeight="false" outlineLevel="0" collapsed="false">
      <c r="A246" s="4"/>
      <c r="B246" s="6"/>
      <c r="C246" s="6"/>
      <c r="D246" s="6"/>
      <c r="E246" s="6" t="s">
        <v>319</v>
      </c>
      <c r="F246" s="26" t="s">
        <v>465</v>
      </c>
      <c r="G246" s="60" t="n">
        <v>143999</v>
      </c>
      <c r="H246" s="32" t="n">
        <v>25</v>
      </c>
      <c r="I246" s="61" t="s">
        <v>466</v>
      </c>
      <c r="J246" s="32" t="n">
        <v>10</v>
      </c>
      <c r="K246" s="32" t="s">
        <v>21</v>
      </c>
      <c r="L246" s="44" t="n">
        <v>145.58</v>
      </c>
      <c r="M246" s="44" t="n">
        <v>1455.8</v>
      </c>
      <c r="N246" s="20" t="s">
        <v>440</v>
      </c>
    </row>
    <row r="247" customFormat="false" ht="26.85" hidden="false" customHeight="false" outlineLevel="0" collapsed="false">
      <c r="A247" s="4"/>
      <c r="B247" s="6"/>
      <c r="C247" s="6"/>
      <c r="D247" s="6"/>
      <c r="E247" s="6" t="s">
        <v>319</v>
      </c>
      <c r="F247" s="7" t="s">
        <v>467</v>
      </c>
      <c r="G247" s="53" t="n">
        <v>144000</v>
      </c>
      <c r="H247" s="31" t="n">
        <v>26</v>
      </c>
      <c r="I247" s="27" t="s">
        <v>308</v>
      </c>
      <c r="J247" s="31" t="s">
        <v>246</v>
      </c>
      <c r="K247" s="31" t="s">
        <v>21</v>
      </c>
      <c r="L247" s="39" t="n">
        <v>260</v>
      </c>
      <c r="M247" s="39" t="n">
        <v>3120</v>
      </c>
      <c r="N247" s="9" t="s">
        <v>18</v>
      </c>
    </row>
    <row r="248" customFormat="false" ht="26.85" hidden="false" customHeight="false" outlineLevel="0" collapsed="false">
      <c r="A248" s="4"/>
      <c r="B248" s="6"/>
      <c r="C248" s="6"/>
      <c r="D248" s="6"/>
      <c r="E248" s="6" t="s">
        <v>319</v>
      </c>
      <c r="F248" s="7" t="s">
        <v>468</v>
      </c>
      <c r="G248" s="53" t="n">
        <v>144001</v>
      </c>
      <c r="H248" s="31" t="n">
        <v>27</v>
      </c>
      <c r="I248" s="27" t="s">
        <v>469</v>
      </c>
      <c r="J248" s="31" t="s">
        <v>130</v>
      </c>
      <c r="K248" s="31" t="s">
        <v>21</v>
      </c>
      <c r="L248" s="39" t="n">
        <v>4.42</v>
      </c>
      <c r="M248" s="39" t="n">
        <v>442</v>
      </c>
      <c r="N248" s="9" t="s">
        <v>18</v>
      </c>
    </row>
    <row r="249" customFormat="false" ht="26.85" hidden="false" customHeight="false" outlineLevel="0" collapsed="false">
      <c r="A249" s="4"/>
      <c r="B249" s="6"/>
      <c r="C249" s="6"/>
      <c r="D249" s="6"/>
      <c r="E249" s="6" t="s">
        <v>327</v>
      </c>
      <c r="F249" s="7" t="s">
        <v>80</v>
      </c>
      <c r="G249" s="53" t="n">
        <v>144000</v>
      </c>
      <c r="H249" s="31" t="n">
        <v>28</v>
      </c>
      <c r="I249" s="27" t="s">
        <v>81</v>
      </c>
      <c r="J249" s="7" t="s">
        <v>224</v>
      </c>
      <c r="K249" s="7" t="s">
        <v>21</v>
      </c>
      <c r="L249" s="39" t="n">
        <v>15000</v>
      </c>
      <c r="M249" s="39" t="n">
        <v>60000</v>
      </c>
      <c r="N249" s="9" t="s">
        <v>18</v>
      </c>
    </row>
    <row r="250" customFormat="false" ht="26.85" hidden="false" customHeight="false" outlineLevel="0" collapsed="false">
      <c r="A250" s="4"/>
      <c r="B250" s="6"/>
      <c r="C250" s="6"/>
      <c r="D250" s="6"/>
      <c r="E250" s="6" t="s">
        <v>327</v>
      </c>
      <c r="F250" s="26" t="s">
        <v>470</v>
      </c>
      <c r="G250" s="60" t="n">
        <v>144002</v>
      </c>
      <c r="H250" s="32" t="n">
        <v>29</v>
      </c>
      <c r="I250" s="61" t="s">
        <v>471</v>
      </c>
      <c r="J250" s="32" t="n">
        <v>1</v>
      </c>
      <c r="K250" s="26" t="s">
        <v>21</v>
      </c>
      <c r="L250" s="44" t="n">
        <v>9549.809</v>
      </c>
      <c r="M250" s="44" t="n">
        <v>9549.81</v>
      </c>
      <c r="N250" s="20" t="s">
        <v>472</v>
      </c>
    </row>
    <row r="251" customFormat="false" ht="14.15" hidden="false" customHeight="false" outlineLevel="0" collapsed="false">
      <c r="A251" s="56" t="s">
        <v>0</v>
      </c>
      <c r="B251" s="56" t="s">
        <v>415</v>
      </c>
      <c r="C251" s="56" t="s">
        <v>2</v>
      </c>
      <c r="D251" s="56" t="s">
        <v>3</v>
      </c>
      <c r="E251" s="56" t="s">
        <v>325</v>
      </c>
      <c r="F251" s="56" t="s">
        <v>4</v>
      </c>
      <c r="G251" s="56" t="s">
        <v>5</v>
      </c>
      <c r="H251" s="56" t="s">
        <v>6</v>
      </c>
      <c r="I251" s="63" t="s">
        <v>7</v>
      </c>
      <c r="J251" s="56" t="s">
        <v>8</v>
      </c>
      <c r="K251" s="56" t="s">
        <v>9</v>
      </c>
      <c r="L251" s="56" t="s">
        <v>10</v>
      </c>
      <c r="M251" s="56" t="s">
        <v>11</v>
      </c>
      <c r="N251" s="56" t="s">
        <v>12</v>
      </c>
    </row>
    <row r="252" customFormat="false" ht="14.15" hidden="false" customHeight="true" outlineLevel="0" collapsed="false">
      <c r="A252" s="4" t="n">
        <v>46071</v>
      </c>
      <c r="B252" s="5" t="n">
        <v>174507</v>
      </c>
      <c r="C252" s="6" t="s">
        <v>473</v>
      </c>
      <c r="D252" s="6" t="s">
        <v>14</v>
      </c>
      <c r="E252" s="6" t="s">
        <v>327</v>
      </c>
      <c r="F252" s="31" t="s">
        <v>179</v>
      </c>
      <c r="G252" s="53" t="n">
        <v>144335</v>
      </c>
      <c r="H252" s="31" t="n">
        <v>1</v>
      </c>
      <c r="I252" s="64" t="s">
        <v>180</v>
      </c>
      <c r="J252" s="31" t="s">
        <v>141</v>
      </c>
      <c r="K252" s="31" t="s">
        <v>21</v>
      </c>
      <c r="L252" s="39" t="n">
        <v>498.1404</v>
      </c>
      <c r="M252" s="39" t="n">
        <v>4981.4</v>
      </c>
      <c r="N252" s="9" t="s">
        <v>18</v>
      </c>
    </row>
    <row r="253" customFormat="false" ht="26.85" hidden="false" customHeight="false" outlineLevel="0" collapsed="false">
      <c r="A253" s="4"/>
      <c r="B253" s="5"/>
      <c r="C253" s="6"/>
      <c r="D253" s="6"/>
      <c r="E253" s="6" t="s">
        <v>327</v>
      </c>
      <c r="F253" s="31" t="s">
        <v>474</v>
      </c>
      <c r="G253" s="53" t="n">
        <v>144335</v>
      </c>
      <c r="H253" s="31" t="s">
        <v>159</v>
      </c>
      <c r="I253" s="64" t="s">
        <v>475</v>
      </c>
      <c r="J253" s="31" t="s">
        <v>99</v>
      </c>
      <c r="K253" s="31" t="s">
        <v>21</v>
      </c>
      <c r="L253" s="39" t="n">
        <v>776.6099</v>
      </c>
      <c r="M253" s="39" t="n">
        <v>2329.83</v>
      </c>
      <c r="N253" s="9" t="s">
        <v>18</v>
      </c>
    </row>
    <row r="254" customFormat="false" ht="26.85" hidden="false" customHeight="false" outlineLevel="0" collapsed="false">
      <c r="A254" s="4"/>
      <c r="B254" s="5"/>
      <c r="C254" s="6"/>
      <c r="D254" s="6"/>
      <c r="E254" s="6" t="s">
        <v>327</v>
      </c>
      <c r="F254" s="31" t="s">
        <v>476</v>
      </c>
      <c r="G254" s="53" t="n">
        <v>144335</v>
      </c>
      <c r="H254" s="31" t="s">
        <v>99</v>
      </c>
      <c r="I254" s="64" t="s">
        <v>477</v>
      </c>
      <c r="J254" s="9" t="n">
        <v>2</v>
      </c>
      <c r="K254" s="31" t="s">
        <v>21</v>
      </c>
      <c r="L254" s="39" t="n">
        <v>1713.25</v>
      </c>
      <c r="M254" s="39" t="n">
        <v>3426.5</v>
      </c>
      <c r="N254" s="9" t="s">
        <v>18</v>
      </c>
    </row>
    <row r="255" customFormat="false" ht="26.85" hidden="false" customHeight="false" outlineLevel="0" collapsed="false">
      <c r="A255" s="4"/>
      <c r="B255" s="5"/>
      <c r="C255" s="6"/>
      <c r="D255" s="6"/>
      <c r="E255" s="6" t="s">
        <v>327</v>
      </c>
      <c r="F255" s="31" t="s">
        <v>478</v>
      </c>
      <c r="G255" s="53" t="n">
        <v>144335</v>
      </c>
      <c r="H255" s="31" t="s">
        <v>224</v>
      </c>
      <c r="I255" s="64" t="s">
        <v>479</v>
      </c>
      <c r="J255" s="9" t="n">
        <v>2</v>
      </c>
      <c r="K255" s="31" t="s">
        <v>21</v>
      </c>
      <c r="L255" s="39" t="n">
        <v>2237.3511</v>
      </c>
      <c r="M255" s="39" t="n">
        <v>4474.7</v>
      </c>
      <c r="N255" s="9" t="s">
        <v>18</v>
      </c>
    </row>
    <row r="256" customFormat="false" ht="14.15" hidden="false" customHeight="false" outlineLevel="0" collapsed="false">
      <c r="A256" s="4"/>
      <c r="B256" s="5"/>
      <c r="C256" s="6"/>
      <c r="D256" s="6"/>
      <c r="E256" s="6" t="s">
        <v>327</v>
      </c>
      <c r="F256" s="31" t="s">
        <v>480</v>
      </c>
      <c r="G256" s="53" t="n">
        <v>144335</v>
      </c>
      <c r="H256" s="31" t="s">
        <v>119</v>
      </c>
      <c r="I256" s="64" t="s">
        <v>481</v>
      </c>
      <c r="J256" s="9" t="n">
        <v>10</v>
      </c>
      <c r="K256" s="31" t="s">
        <v>21</v>
      </c>
      <c r="L256" s="39" t="n">
        <v>2704.8</v>
      </c>
      <c r="M256" s="39" t="n">
        <v>27048</v>
      </c>
      <c r="N256" s="9" t="s">
        <v>18</v>
      </c>
    </row>
    <row r="257" customFormat="false" ht="14.15" hidden="false" customHeight="false" outlineLevel="0" collapsed="false">
      <c r="A257" s="4"/>
      <c r="B257" s="5"/>
      <c r="C257" s="6"/>
      <c r="D257" s="6"/>
      <c r="E257" s="6" t="s">
        <v>327</v>
      </c>
      <c r="F257" s="31" t="s">
        <v>482</v>
      </c>
      <c r="G257" s="53" t="n">
        <v>144335</v>
      </c>
      <c r="H257" s="31" t="s">
        <v>229</v>
      </c>
      <c r="I257" s="64" t="s">
        <v>483</v>
      </c>
      <c r="J257" s="9" t="n">
        <v>10</v>
      </c>
      <c r="K257" s="31" t="s">
        <v>21</v>
      </c>
      <c r="L257" s="39" t="n">
        <v>2624.3</v>
      </c>
      <c r="M257" s="39" t="n">
        <v>26243</v>
      </c>
      <c r="N257" s="9" t="s">
        <v>18</v>
      </c>
    </row>
    <row r="258" customFormat="false" ht="14.15" hidden="false" customHeight="false" outlineLevel="0" collapsed="false">
      <c r="A258" s="4"/>
      <c r="B258" s="5"/>
      <c r="C258" s="6"/>
      <c r="D258" s="6"/>
      <c r="E258" s="6" t="s">
        <v>327</v>
      </c>
      <c r="F258" s="31" t="s">
        <v>484</v>
      </c>
      <c r="G258" s="53" t="n">
        <v>144335</v>
      </c>
      <c r="H258" s="31" t="s">
        <v>232</v>
      </c>
      <c r="I258" s="64" t="s">
        <v>485</v>
      </c>
      <c r="J258" s="9" t="n">
        <v>6</v>
      </c>
      <c r="K258" s="31" t="s">
        <v>21</v>
      </c>
      <c r="L258" s="39" t="n">
        <v>7010.6294</v>
      </c>
      <c r="M258" s="39" t="n">
        <v>42063.78</v>
      </c>
      <c r="N258" s="9" t="s">
        <v>18</v>
      </c>
    </row>
    <row r="259" customFormat="false" ht="14.15" hidden="false" customHeight="false" outlineLevel="0" collapsed="false">
      <c r="A259" s="4"/>
      <c r="B259" s="5"/>
      <c r="C259" s="6"/>
      <c r="D259" s="6"/>
      <c r="E259" s="6" t="s">
        <v>327</v>
      </c>
      <c r="F259" s="31" t="s">
        <v>486</v>
      </c>
      <c r="G259" s="53" t="n">
        <v>144335</v>
      </c>
      <c r="H259" s="31" t="s">
        <v>235</v>
      </c>
      <c r="I259" s="64" t="s">
        <v>487</v>
      </c>
      <c r="J259" s="9" t="n">
        <v>2</v>
      </c>
      <c r="K259" s="31" t="s">
        <v>21</v>
      </c>
      <c r="L259" s="39" t="n">
        <v>4076.5213</v>
      </c>
      <c r="M259" s="39" t="n">
        <v>8153.04</v>
      </c>
      <c r="N259" s="9" t="s">
        <v>18</v>
      </c>
    </row>
    <row r="260" customFormat="false" ht="14.15" hidden="false" customHeight="false" outlineLevel="0" collapsed="false">
      <c r="A260" s="4"/>
      <c r="B260" s="5"/>
      <c r="C260" s="6"/>
      <c r="D260" s="6"/>
      <c r="E260" s="6" t="s">
        <v>327</v>
      </c>
      <c r="F260" s="31" t="s">
        <v>488</v>
      </c>
      <c r="G260" s="53" t="n">
        <v>144335</v>
      </c>
      <c r="H260" s="31" t="s">
        <v>239</v>
      </c>
      <c r="I260" s="64" t="s">
        <v>489</v>
      </c>
      <c r="J260" s="9" t="n">
        <v>1</v>
      </c>
      <c r="K260" s="31" t="s">
        <v>21</v>
      </c>
      <c r="L260" s="39" t="n">
        <v>12622.39</v>
      </c>
      <c r="M260" s="39" t="n">
        <v>12622.39</v>
      </c>
      <c r="N260" s="9" t="s">
        <v>18</v>
      </c>
    </row>
    <row r="261" customFormat="false" ht="14.15" hidden="false" customHeight="false" outlineLevel="0" collapsed="false">
      <c r="A261" s="4"/>
      <c r="B261" s="5"/>
      <c r="C261" s="6"/>
      <c r="D261" s="6"/>
      <c r="E261" s="6" t="s">
        <v>327</v>
      </c>
      <c r="F261" s="31" t="s">
        <v>490</v>
      </c>
      <c r="G261" s="53" t="n">
        <v>144335</v>
      </c>
      <c r="H261" s="31" t="s">
        <v>141</v>
      </c>
      <c r="I261" s="64" t="s">
        <v>491</v>
      </c>
      <c r="J261" s="9" t="n">
        <v>1</v>
      </c>
      <c r="K261" s="31" t="s">
        <v>21</v>
      </c>
      <c r="L261" s="39" t="n">
        <v>12622.4</v>
      </c>
      <c r="M261" s="39" t="n">
        <v>12622.4</v>
      </c>
      <c r="N261" s="9" t="s">
        <v>18</v>
      </c>
    </row>
    <row r="262" customFormat="false" ht="14.15" hidden="false" customHeight="false" outlineLevel="0" collapsed="false">
      <c r="A262" s="4"/>
      <c r="B262" s="5"/>
      <c r="C262" s="6"/>
      <c r="D262" s="6"/>
      <c r="E262" s="6" t="s">
        <v>327</v>
      </c>
      <c r="F262" s="31" t="s">
        <v>492</v>
      </c>
      <c r="G262" s="53" t="n">
        <v>144335</v>
      </c>
      <c r="H262" s="31" t="s">
        <v>244</v>
      </c>
      <c r="I262" s="64" t="s">
        <v>493</v>
      </c>
      <c r="J262" s="9" t="n">
        <v>1</v>
      </c>
      <c r="K262" s="31" t="s">
        <v>21</v>
      </c>
      <c r="L262" s="39" t="n">
        <v>6505.65</v>
      </c>
      <c r="M262" s="39" t="n">
        <v>6505.65</v>
      </c>
      <c r="N262" s="9" t="s">
        <v>18</v>
      </c>
    </row>
    <row r="263" customFormat="false" ht="14.15" hidden="false" customHeight="false" outlineLevel="0" collapsed="false">
      <c r="A263" s="4"/>
      <c r="B263" s="5"/>
      <c r="C263" s="6"/>
      <c r="D263" s="6"/>
      <c r="E263" s="6" t="s">
        <v>327</v>
      </c>
      <c r="F263" s="31" t="s">
        <v>494</v>
      </c>
      <c r="G263" s="53" t="n">
        <v>144335</v>
      </c>
      <c r="H263" s="31" t="s">
        <v>246</v>
      </c>
      <c r="I263" s="64" t="s">
        <v>495</v>
      </c>
      <c r="J263" s="9" t="n">
        <v>1</v>
      </c>
      <c r="K263" s="31" t="s">
        <v>21</v>
      </c>
      <c r="L263" s="39" t="n">
        <v>697.3085</v>
      </c>
      <c r="M263" s="39" t="n">
        <v>697.31</v>
      </c>
      <c r="N263" s="9" t="s">
        <v>18</v>
      </c>
    </row>
    <row r="264" customFormat="false" ht="13.5" hidden="false" customHeight="false" outlineLevel="0" collapsed="false">
      <c r="A264" s="65" t="s">
        <v>0</v>
      </c>
      <c r="B264" s="65" t="s">
        <v>1</v>
      </c>
      <c r="C264" s="65" t="s">
        <v>2</v>
      </c>
      <c r="D264" s="65" t="s">
        <v>496</v>
      </c>
      <c r="E264" s="65" t="s">
        <v>325</v>
      </c>
      <c r="F264" s="66" t="s">
        <v>497</v>
      </c>
      <c r="G264" s="65" t="s">
        <v>5</v>
      </c>
      <c r="H264" s="65" t="s">
        <v>6</v>
      </c>
      <c r="I264" s="65" t="s">
        <v>7</v>
      </c>
      <c r="J264" s="65" t="s">
        <v>8</v>
      </c>
      <c r="K264" s="65" t="s">
        <v>9</v>
      </c>
      <c r="L264" s="65" t="s">
        <v>498</v>
      </c>
      <c r="M264" s="65" t="s">
        <v>499</v>
      </c>
      <c r="N264" s="65" t="s">
        <v>500</v>
      </c>
    </row>
    <row r="265" customFormat="false" ht="13.5" hidden="false" customHeight="false" outlineLevel="0" collapsed="false">
      <c r="A265" s="67" t="n">
        <v>46078</v>
      </c>
      <c r="B265" s="52" t="n">
        <v>175395</v>
      </c>
      <c r="C265" s="52" t="s">
        <v>501</v>
      </c>
      <c r="D265" s="52" t="s">
        <v>14</v>
      </c>
      <c r="E265" s="52" t="s">
        <v>319</v>
      </c>
      <c r="F265" s="9" t="n">
        <v>1208575</v>
      </c>
      <c r="G265" s="9" t="n">
        <v>143759</v>
      </c>
      <c r="H265" s="9" t="n">
        <v>1</v>
      </c>
      <c r="I265" s="10" t="s">
        <v>502</v>
      </c>
      <c r="J265" s="9" t="n">
        <v>200</v>
      </c>
      <c r="K265" s="9" t="s">
        <v>40</v>
      </c>
      <c r="L265" s="11" t="n">
        <v>0.8</v>
      </c>
      <c r="M265" s="11" t="n">
        <v>160</v>
      </c>
      <c r="N265" s="9" t="s">
        <v>503</v>
      </c>
    </row>
    <row r="266" customFormat="false" ht="13.5" hidden="false" customHeight="false" outlineLevel="0" collapsed="false">
      <c r="A266" s="65" t="s">
        <v>0</v>
      </c>
      <c r="B266" s="65" t="s">
        <v>1</v>
      </c>
      <c r="C266" s="65" t="s">
        <v>2</v>
      </c>
      <c r="D266" s="65" t="s">
        <v>496</v>
      </c>
      <c r="E266" s="65" t="s">
        <v>325</v>
      </c>
      <c r="F266" s="66" t="s">
        <v>497</v>
      </c>
      <c r="G266" s="65" t="s">
        <v>5</v>
      </c>
      <c r="H266" s="65" t="s">
        <v>6</v>
      </c>
      <c r="I266" s="65" t="s">
        <v>7</v>
      </c>
      <c r="J266" s="65" t="s">
        <v>8</v>
      </c>
      <c r="K266" s="65" t="s">
        <v>9</v>
      </c>
      <c r="L266" s="65" t="s">
        <v>498</v>
      </c>
      <c r="M266" s="65" t="s">
        <v>499</v>
      </c>
      <c r="N266" s="65" t="s">
        <v>500</v>
      </c>
    </row>
    <row r="267" customFormat="false" ht="26.85" hidden="false" customHeight="false" outlineLevel="0" collapsed="false">
      <c r="A267" s="4" t="n">
        <v>46080</v>
      </c>
      <c r="B267" s="6" t="n">
        <v>175678</v>
      </c>
      <c r="C267" s="6" t="s">
        <v>504</v>
      </c>
      <c r="D267" s="6" t="s">
        <v>14</v>
      </c>
      <c r="E267" s="6" t="s">
        <v>327</v>
      </c>
      <c r="F267" s="31" t="s">
        <v>404</v>
      </c>
      <c r="G267" s="53" t="n">
        <v>142536</v>
      </c>
      <c r="H267" s="31" t="s">
        <v>154</v>
      </c>
      <c r="I267" s="27" t="s">
        <v>405</v>
      </c>
      <c r="J267" s="9" t="n">
        <v>48</v>
      </c>
      <c r="K267" s="31" t="s">
        <v>40</v>
      </c>
      <c r="L267" s="11" t="n">
        <v>175</v>
      </c>
      <c r="M267" s="11" t="n">
        <v>8400</v>
      </c>
      <c r="N267" s="9" t="s">
        <v>18</v>
      </c>
    </row>
    <row r="268" customFormat="false" ht="13.5" hidden="false" customHeight="false" outlineLevel="0" collapsed="false">
      <c r="A268" s="65" t="s">
        <v>0</v>
      </c>
      <c r="B268" s="65" t="s">
        <v>1</v>
      </c>
      <c r="C268" s="65" t="s">
        <v>2</v>
      </c>
      <c r="D268" s="65" t="s">
        <v>496</v>
      </c>
      <c r="E268" s="65" t="s">
        <v>325</v>
      </c>
      <c r="F268" s="66" t="s">
        <v>497</v>
      </c>
      <c r="G268" s="65" t="s">
        <v>5</v>
      </c>
      <c r="H268" s="65" t="s">
        <v>6</v>
      </c>
      <c r="I268" s="65" t="s">
        <v>7</v>
      </c>
      <c r="J268" s="65" t="s">
        <v>8</v>
      </c>
      <c r="K268" s="65" t="s">
        <v>9</v>
      </c>
      <c r="L268" s="65" t="s">
        <v>498</v>
      </c>
      <c r="M268" s="65" t="s">
        <v>499</v>
      </c>
      <c r="N268" s="65" t="s">
        <v>500</v>
      </c>
    </row>
    <row r="269" customFormat="false" ht="13.5" hidden="false" customHeight="true" outlineLevel="0" collapsed="false">
      <c r="A269" s="67" t="n">
        <v>46090</v>
      </c>
      <c r="B269" s="52" t="n">
        <v>176604</v>
      </c>
      <c r="C269" s="68" t="s">
        <v>505</v>
      </c>
      <c r="D269" s="68" t="s">
        <v>506</v>
      </c>
      <c r="E269" s="52" t="s">
        <v>319</v>
      </c>
      <c r="F269" s="7" t="s">
        <v>507</v>
      </c>
      <c r="G269" s="9" t="n">
        <v>145038</v>
      </c>
      <c r="H269" s="9" t="n">
        <v>1</v>
      </c>
      <c r="I269" s="13" t="s">
        <v>508</v>
      </c>
      <c r="J269" s="9" t="n">
        <v>150</v>
      </c>
      <c r="K269" s="9" t="s">
        <v>21</v>
      </c>
      <c r="L269" s="11" t="n">
        <v>23</v>
      </c>
      <c r="M269" s="11" t="n">
        <v>3450</v>
      </c>
      <c r="N269" s="9" t="s">
        <v>18</v>
      </c>
    </row>
    <row r="270" customFormat="false" ht="13.5" hidden="false" customHeight="false" outlineLevel="0" collapsed="false">
      <c r="A270" s="67"/>
      <c r="B270" s="52"/>
      <c r="C270" s="68"/>
      <c r="D270" s="68"/>
      <c r="E270" s="52" t="s">
        <v>319</v>
      </c>
      <c r="F270" s="7" t="s">
        <v>509</v>
      </c>
      <c r="G270" s="9" t="n">
        <v>145038</v>
      </c>
      <c r="H270" s="9" t="n">
        <v>2</v>
      </c>
      <c r="I270" s="13" t="s">
        <v>510</v>
      </c>
      <c r="J270" s="9" t="n">
        <v>5</v>
      </c>
      <c r="K270" s="9" t="s">
        <v>21</v>
      </c>
      <c r="L270" s="11" t="n">
        <v>1590</v>
      </c>
      <c r="M270" s="11" t="n">
        <v>7950</v>
      </c>
      <c r="N270" s="9" t="s">
        <v>18</v>
      </c>
    </row>
    <row r="271" customFormat="false" ht="13.5" hidden="false" customHeight="false" outlineLevel="0" collapsed="false">
      <c r="A271" s="65" t="s">
        <v>0</v>
      </c>
      <c r="B271" s="65" t="s">
        <v>1</v>
      </c>
      <c r="C271" s="65" t="s">
        <v>2</v>
      </c>
      <c r="D271" s="65" t="s">
        <v>496</v>
      </c>
      <c r="E271" s="65" t="s">
        <v>325</v>
      </c>
      <c r="F271" s="66" t="s">
        <v>497</v>
      </c>
      <c r="G271" s="65" t="s">
        <v>5</v>
      </c>
      <c r="H271" s="65" t="s">
        <v>6</v>
      </c>
      <c r="I271" s="65" t="s">
        <v>7</v>
      </c>
      <c r="J271" s="65" t="s">
        <v>8</v>
      </c>
      <c r="K271" s="65" t="s">
        <v>9</v>
      </c>
      <c r="L271" s="65" t="s">
        <v>498</v>
      </c>
      <c r="M271" s="65" t="s">
        <v>499</v>
      </c>
      <c r="N271" s="65" t="s">
        <v>500</v>
      </c>
    </row>
    <row r="272" customFormat="false" ht="26.85" hidden="false" customHeight="false" outlineLevel="0" collapsed="false">
      <c r="A272" s="67" t="n">
        <v>46090</v>
      </c>
      <c r="B272" s="52" t="n">
        <v>176612</v>
      </c>
      <c r="C272" s="68" t="s">
        <v>511</v>
      </c>
      <c r="D272" s="68" t="s">
        <v>506</v>
      </c>
      <c r="E272" s="52" t="s">
        <v>319</v>
      </c>
      <c r="F272" s="7" t="s">
        <v>512</v>
      </c>
      <c r="G272" s="9" t="n">
        <v>145039</v>
      </c>
      <c r="H272" s="9" t="n">
        <v>1</v>
      </c>
      <c r="I272" s="13" t="s">
        <v>513</v>
      </c>
      <c r="J272" s="9" t="n">
        <v>10</v>
      </c>
      <c r="K272" s="9" t="s">
        <v>21</v>
      </c>
      <c r="L272" s="11" t="n">
        <v>2401.64</v>
      </c>
      <c r="M272" s="11" t="n">
        <v>24016.4</v>
      </c>
      <c r="N272" s="9" t="s">
        <v>18</v>
      </c>
    </row>
    <row r="273" customFormat="false" ht="13.5" hidden="false" customHeight="false" outlineLevel="0" collapsed="false">
      <c r="A273" s="3" t="s">
        <v>0</v>
      </c>
      <c r="B273" s="3" t="s">
        <v>1</v>
      </c>
      <c r="C273" s="3" t="s">
        <v>2</v>
      </c>
      <c r="D273" s="3" t="s">
        <v>3</v>
      </c>
      <c r="E273" s="3"/>
      <c r="F273" s="3" t="s">
        <v>4</v>
      </c>
      <c r="G273" s="3" t="s">
        <v>5</v>
      </c>
      <c r="H273" s="3" t="s">
        <v>6</v>
      </c>
      <c r="I273" s="69" t="s">
        <v>7</v>
      </c>
      <c r="J273" s="3" t="s">
        <v>8</v>
      </c>
      <c r="K273" s="3" t="s">
        <v>9</v>
      </c>
      <c r="L273" s="3" t="s">
        <v>10</v>
      </c>
      <c r="M273" s="3" t="s">
        <v>11</v>
      </c>
      <c r="N273" s="3" t="s">
        <v>12</v>
      </c>
    </row>
    <row r="274" customFormat="false" ht="26.85" hidden="false" customHeight="true" outlineLevel="0" collapsed="false">
      <c r="A274" s="4" t="n">
        <v>46104</v>
      </c>
      <c r="B274" s="5" t="n">
        <v>178023</v>
      </c>
      <c r="C274" s="6" t="s">
        <v>514</v>
      </c>
      <c r="D274" s="6" t="s">
        <v>506</v>
      </c>
      <c r="E274" s="6" t="s">
        <v>515</v>
      </c>
      <c r="F274" s="31" t="s">
        <v>219</v>
      </c>
      <c r="G274" s="31" t="n">
        <v>145560</v>
      </c>
      <c r="H274" s="31" t="s">
        <v>154</v>
      </c>
      <c r="I274" s="10" t="s">
        <v>220</v>
      </c>
      <c r="J274" s="31" t="s">
        <v>277</v>
      </c>
      <c r="K274" s="31" t="s">
        <v>216</v>
      </c>
      <c r="L274" s="11" t="n">
        <v>4950</v>
      </c>
      <c r="M274" s="11" t="n">
        <v>127710</v>
      </c>
      <c r="N274" s="9" t="s">
        <v>18</v>
      </c>
    </row>
    <row r="275" customFormat="false" ht="39.55" hidden="false" customHeight="false" outlineLevel="0" collapsed="false">
      <c r="A275" s="4"/>
      <c r="B275" s="5"/>
      <c r="C275" s="6"/>
      <c r="D275" s="6"/>
      <c r="E275" s="6" t="s">
        <v>515</v>
      </c>
      <c r="F275" s="31" t="s">
        <v>231</v>
      </c>
      <c r="G275" s="31" t="n">
        <v>145560</v>
      </c>
      <c r="H275" s="31" t="s">
        <v>159</v>
      </c>
      <c r="I275" s="10" t="s">
        <v>233</v>
      </c>
      <c r="J275" s="31" t="s">
        <v>154</v>
      </c>
      <c r="K275" s="31" t="s">
        <v>21</v>
      </c>
      <c r="L275" s="11" t="n">
        <v>16000</v>
      </c>
      <c r="M275" s="11" t="n">
        <v>16000</v>
      </c>
      <c r="N275" s="9" t="s">
        <v>18</v>
      </c>
    </row>
    <row r="276" customFormat="false" ht="26.85" hidden="false" customHeight="false" outlineLevel="0" collapsed="false">
      <c r="A276" s="4"/>
      <c r="B276" s="5"/>
      <c r="C276" s="6"/>
      <c r="D276" s="6"/>
      <c r="E276" s="6" t="s">
        <v>515</v>
      </c>
      <c r="F276" s="31" t="s">
        <v>234</v>
      </c>
      <c r="G276" s="31" t="n">
        <v>145558</v>
      </c>
      <c r="H276" s="31" t="s">
        <v>99</v>
      </c>
      <c r="I276" s="10" t="s">
        <v>236</v>
      </c>
      <c r="J276" s="31" t="s">
        <v>154</v>
      </c>
      <c r="K276" s="31" t="s">
        <v>21</v>
      </c>
      <c r="L276" s="11" t="n">
        <v>850.3306</v>
      </c>
      <c r="M276" s="11" t="n">
        <v>850.33</v>
      </c>
      <c r="N276" s="9" t="s">
        <v>18</v>
      </c>
    </row>
    <row r="277" customFormat="false" ht="26.85" hidden="false" customHeight="false" outlineLevel="0" collapsed="false">
      <c r="A277" s="4"/>
      <c r="B277" s="5"/>
      <c r="C277" s="6"/>
      <c r="D277" s="6"/>
      <c r="E277" s="6" t="s">
        <v>515</v>
      </c>
      <c r="F277" s="31" t="s">
        <v>238</v>
      </c>
      <c r="G277" s="31" t="n">
        <v>145559</v>
      </c>
      <c r="H277" s="31" t="s">
        <v>224</v>
      </c>
      <c r="I277" s="10" t="s">
        <v>240</v>
      </c>
      <c r="J277" s="31" t="s">
        <v>109</v>
      </c>
      <c r="K277" s="31" t="s">
        <v>21</v>
      </c>
      <c r="L277" s="11" t="n">
        <v>400</v>
      </c>
      <c r="M277" s="11" t="n">
        <v>8000</v>
      </c>
      <c r="N277" s="9" t="s">
        <v>18</v>
      </c>
    </row>
    <row r="278" customFormat="false" ht="26.85" hidden="false" customHeight="false" outlineLevel="0" collapsed="false">
      <c r="A278" s="4"/>
      <c r="B278" s="5"/>
      <c r="C278" s="6"/>
      <c r="D278" s="6"/>
      <c r="E278" s="6" t="s">
        <v>515</v>
      </c>
      <c r="F278" s="31" t="s">
        <v>241</v>
      </c>
      <c r="G278" s="31" t="n">
        <v>145560</v>
      </c>
      <c r="H278" s="31" t="s">
        <v>119</v>
      </c>
      <c r="I278" s="10" t="s">
        <v>242</v>
      </c>
      <c r="J278" s="31" t="s">
        <v>154</v>
      </c>
      <c r="K278" s="31" t="s">
        <v>21</v>
      </c>
      <c r="L278" s="11" t="n">
        <v>18000</v>
      </c>
      <c r="M278" s="11" t="n">
        <v>18000</v>
      </c>
      <c r="N278" s="9" t="s">
        <v>18</v>
      </c>
    </row>
    <row r="279" customFormat="false" ht="26.85" hidden="false" customHeight="false" outlineLevel="0" collapsed="false">
      <c r="A279" s="4"/>
      <c r="B279" s="5"/>
      <c r="C279" s="6"/>
      <c r="D279" s="6"/>
      <c r="E279" s="6" t="s">
        <v>515</v>
      </c>
      <c r="F279" s="31" t="s">
        <v>243</v>
      </c>
      <c r="G279" s="31" t="n">
        <v>145560</v>
      </c>
      <c r="H279" s="31" t="s">
        <v>229</v>
      </c>
      <c r="I279" s="10" t="s">
        <v>245</v>
      </c>
      <c r="J279" s="31" t="s">
        <v>154</v>
      </c>
      <c r="K279" s="31" t="s">
        <v>21</v>
      </c>
      <c r="L279" s="11" t="n">
        <v>4700</v>
      </c>
      <c r="M279" s="11" t="n">
        <v>4700</v>
      </c>
      <c r="N279" s="9" t="s">
        <v>18</v>
      </c>
    </row>
    <row r="280" customFormat="false" ht="26.85" hidden="false" customHeight="false" outlineLevel="0" collapsed="false">
      <c r="A280" s="4"/>
      <c r="B280" s="5"/>
      <c r="C280" s="6"/>
      <c r="D280" s="6"/>
      <c r="E280" s="6" t="s">
        <v>515</v>
      </c>
      <c r="F280" s="31" t="s">
        <v>162</v>
      </c>
      <c r="G280" s="31" t="n">
        <v>145560</v>
      </c>
      <c r="H280" s="31" t="s">
        <v>232</v>
      </c>
      <c r="I280" s="10" t="s">
        <v>163</v>
      </c>
      <c r="J280" s="31" t="s">
        <v>246</v>
      </c>
      <c r="K280" s="31" t="s">
        <v>216</v>
      </c>
      <c r="L280" s="11" t="n">
        <v>1700</v>
      </c>
      <c r="M280" s="11" t="n">
        <v>22100</v>
      </c>
      <c r="N280" s="9" t="s">
        <v>18</v>
      </c>
    </row>
    <row r="281" customFormat="false" ht="26.85" hidden="false" customHeight="false" outlineLevel="0" collapsed="false">
      <c r="A281" s="4"/>
      <c r="B281" s="5"/>
      <c r="C281" s="6"/>
      <c r="D281" s="6"/>
      <c r="E281" s="6" t="s">
        <v>515</v>
      </c>
      <c r="F281" s="31" t="s">
        <v>247</v>
      </c>
      <c r="G281" s="31" t="n">
        <v>145560</v>
      </c>
      <c r="H281" s="31" t="s">
        <v>235</v>
      </c>
      <c r="I281" s="10" t="s">
        <v>249</v>
      </c>
      <c r="J281" s="31" t="s">
        <v>246</v>
      </c>
      <c r="K281" s="31" t="s">
        <v>216</v>
      </c>
      <c r="L281" s="11" t="n">
        <v>900</v>
      </c>
      <c r="M281" s="11" t="n">
        <v>11700</v>
      </c>
      <c r="N281" s="9" t="s">
        <v>18</v>
      </c>
    </row>
    <row r="282" customFormat="false" ht="26.85" hidden="false" customHeight="false" outlineLevel="0" collapsed="false">
      <c r="A282" s="4"/>
      <c r="B282" s="5"/>
      <c r="C282" s="6"/>
      <c r="D282" s="6"/>
      <c r="E282" s="6" t="s">
        <v>515</v>
      </c>
      <c r="F282" s="31" t="s">
        <v>250</v>
      </c>
      <c r="G282" s="31" t="n">
        <v>145560</v>
      </c>
      <c r="H282" s="31" t="s">
        <v>239</v>
      </c>
      <c r="I282" s="10" t="s">
        <v>251</v>
      </c>
      <c r="J282" s="31" t="s">
        <v>246</v>
      </c>
      <c r="K282" s="31" t="s">
        <v>216</v>
      </c>
      <c r="L282" s="11" t="n">
        <v>330</v>
      </c>
      <c r="M282" s="11" t="n">
        <v>4290</v>
      </c>
      <c r="N282" s="9" t="s">
        <v>18</v>
      </c>
    </row>
    <row r="283" customFormat="false" ht="26.85" hidden="false" customHeight="false" outlineLevel="0" collapsed="false">
      <c r="A283" s="4"/>
      <c r="B283" s="5"/>
      <c r="C283" s="6"/>
      <c r="D283" s="6"/>
      <c r="E283" s="6" t="s">
        <v>515</v>
      </c>
      <c r="F283" s="31" t="s">
        <v>252</v>
      </c>
      <c r="G283" s="31" t="n">
        <v>145560</v>
      </c>
      <c r="H283" s="31" t="s">
        <v>141</v>
      </c>
      <c r="I283" s="10" t="s">
        <v>253</v>
      </c>
      <c r="J283" s="31" t="s">
        <v>154</v>
      </c>
      <c r="K283" s="31" t="s">
        <v>21</v>
      </c>
      <c r="L283" s="11" t="n">
        <v>1300</v>
      </c>
      <c r="M283" s="11" t="n">
        <v>1300</v>
      </c>
      <c r="N283" s="9" t="s">
        <v>18</v>
      </c>
    </row>
    <row r="284" customFormat="false" ht="26.85" hidden="false" customHeight="false" outlineLevel="0" collapsed="false">
      <c r="A284" s="4"/>
      <c r="B284" s="5"/>
      <c r="C284" s="6"/>
      <c r="D284" s="6"/>
      <c r="E284" s="6" t="s">
        <v>515</v>
      </c>
      <c r="F284" s="31" t="s">
        <v>254</v>
      </c>
      <c r="G284" s="31" t="n">
        <v>145560</v>
      </c>
      <c r="H284" s="31" t="s">
        <v>244</v>
      </c>
      <c r="I284" s="10" t="s">
        <v>256</v>
      </c>
      <c r="J284" s="31" t="s">
        <v>159</v>
      </c>
      <c r="K284" s="31" t="s">
        <v>21</v>
      </c>
      <c r="L284" s="11" t="n">
        <v>1300</v>
      </c>
      <c r="M284" s="11" t="n">
        <v>1300</v>
      </c>
      <c r="N284" s="9" t="s">
        <v>18</v>
      </c>
    </row>
    <row r="285" customFormat="false" ht="26.85" hidden="false" customHeight="false" outlineLevel="0" collapsed="false">
      <c r="A285" s="4"/>
      <c r="B285" s="5"/>
      <c r="C285" s="6"/>
      <c r="D285" s="6"/>
      <c r="E285" s="6" t="s">
        <v>515</v>
      </c>
      <c r="F285" s="31" t="s">
        <v>257</v>
      </c>
      <c r="G285" s="31" t="n">
        <v>145560</v>
      </c>
      <c r="H285" s="31" t="s">
        <v>246</v>
      </c>
      <c r="I285" s="10" t="s">
        <v>259</v>
      </c>
      <c r="J285" s="31" t="s">
        <v>154</v>
      </c>
      <c r="K285" s="31" t="s">
        <v>21</v>
      </c>
      <c r="L285" s="11" t="n">
        <v>90</v>
      </c>
      <c r="M285" s="11" t="n">
        <v>90</v>
      </c>
      <c r="N285" s="9" t="s">
        <v>18</v>
      </c>
    </row>
    <row r="286" customFormat="false" ht="26.85" hidden="false" customHeight="false" outlineLevel="0" collapsed="false">
      <c r="A286" s="4"/>
      <c r="B286" s="5"/>
      <c r="C286" s="6"/>
      <c r="D286" s="6"/>
      <c r="E286" s="6" t="s">
        <v>515</v>
      </c>
      <c r="F286" s="31" t="s">
        <v>260</v>
      </c>
      <c r="G286" s="31" t="n">
        <v>145560</v>
      </c>
      <c r="H286" s="31" t="s">
        <v>248</v>
      </c>
      <c r="I286" s="10" t="s">
        <v>262</v>
      </c>
      <c r="J286" s="31" t="s">
        <v>154</v>
      </c>
      <c r="K286" s="31" t="s">
        <v>21</v>
      </c>
      <c r="L286" s="11" t="n">
        <v>1300</v>
      </c>
      <c r="M286" s="11" t="n">
        <v>1300</v>
      </c>
      <c r="N286" s="9" t="s">
        <v>18</v>
      </c>
    </row>
    <row r="287" customFormat="false" ht="26.85" hidden="false" customHeight="false" outlineLevel="0" collapsed="false">
      <c r="A287" s="4"/>
      <c r="B287" s="5"/>
      <c r="C287" s="6"/>
      <c r="D287" s="6"/>
      <c r="E287" s="6" t="s">
        <v>515</v>
      </c>
      <c r="F287" s="31" t="s">
        <v>263</v>
      </c>
      <c r="G287" s="31" t="n">
        <v>145560</v>
      </c>
      <c r="H287" s="31" t="s">
        <v>181</v>
      </c>
      <c r="I287" s="10" t="s">
        <v>265</v>
      </c>
      <c r="J287" s="31" t="s">
        <v>154</v>
      </c>
      <c r="K287" s="31" t="s">
        <v>21</v>
      </c>
      <c r="L287" s="11" t="n">
        <v>600</v>
      </c>
      <c r="M287" s="11" t="n">
        <v>600</v>
      </c>
      <c r="N287" s="9" t="s">
        <v>18</v>
      </c>
    </row>
    <row r="288" customFormat="false" ht="39.55" hidden="false" customHeight="false" outlineLevel="0" collapsed="false">
      <c r="A288" s="4"/>
      <c r="B288" s="5"/>
      <c r="C288" s="6"/>
      <c r="D288" s="6"/>
      <c r="E288" s="6" t="s">
        <v>515</v>
      </c>
      <c r="F288" s="31" t="s">
        <v>266</v>
      </c>
      <c r="G288" s="31" t="n">
        <v>145560</v>
      </c>
      <c r="H288" s="31" t="s">
        <v>183</v>
      </c>
      <c r="I288" s="10" t="s">
        <v>267</v>
      </c>
      <c r="J288" s="31" t="s">
        <v>99</v>
      </c>
      <c r="K288" s="31" t="s">
        <v>21</v>
      </c>
      <c r="L288" s="11" t="n">
        <v>2000</v>
      </c>
      <c r="M288" s="11" t="n">
        <v>6000</v>
      </c>
      <c r="N288" s="9" t="s">
        <v>18</v>
      </c>
    </row>
    <row r="289" customFormat="false" ht="52.2" hidden="false" customHeight="false" outlineLevel="0" collapsed="false">
      <c r="A289" s="4"/>
      <c r="B289" s="5"/>
      <c r="C289" s="6"/>
      <c r="D289" s="6"/>
      <c r="E289" s="6" t="s">
        <v>515</v>
      </c>
      <c r="F289" s="31" t="s">
        <v>167</v>
      </c>
      <c r="G289" s="31" t="n">
        <v>145558</v>
      </c>
      <c r="H289" s="31" t="s">
        <v>255</v>
      </c>
      <c r="I289" s="10" t="s">
        <v>168</v>
      </c>
      <c r="J289" s="31" t="s">
        <v>99</v>
      </c>
      <c r="K289" s="31" t="s">
        <v>21</v>
      </c>
      <c r="L289" s="11" t="n">
        <v>393.6386</v>
      </c>
      <c r="M289" s="11" t="n">
        <v>1180.92</v>
      </c>
      <c r="N289" s="9" t="s">
        <v>18</v>
      </c>
    </row>
    <row r="290" customFormat="false" ht="26.85" hidden="false" customHeight="false" outlineLevel="0" collapsed="false">
      <c r="A290" s="4"/>
      <c r="B290" s="5"/>
      <c r="C290" s="6"/>
      <c r="D290" s="6"/>
      <c r="E290" s="6" t="s">
        <v>515</v>
      </c>
      <c r="F290" s="31" t="s">
        <v>269</v>
      </c>
      <c r="G290" s="31" t="n">
        <v>145559</v>
      </c>
      <c r="H290" s="31" t="s">
        <v>258</v>
      </c>
      <c r="I290" s="10" t="s">
        <v>271</v>
      </c>
      <c r="J290" s="31" t="s">
        <v>272</v>
      </c>
      <c r="K290" s="31" t="s">
        <v>21</v>
      </c>
      <c r="L290" s="11" t="n">
        <v>130</v>
      </c>
      <c r="M290" s="11" t="n">
        <v>4160</v>
      </c>
      <c r="N290" s="9" t="s">
        <v>18</v>
      </c>
    </row>
    <row r="291" customFormat="false" ht="39.55" hidden="false" customHeight="false" outlineLevel="0" collapsed="false">
      <c r="A291" s="4"/>
      <c r="B291" s="5"/>
      <c r="C291" s="6"/>
      <c r="D291" s="6"/>
      <c r="E291" s="6" t="s">
        <v>515</v>
      </c>
      <c r="F291" s="31" t="s">
        <v>273</v>
      </c>
      <c r="G291" s="31" t="n">
        <v>145560</v>
      </c>
      <c r="H291" s="31" t="s">
        <v>261</v>
      </c>
      <c r="I291" s="10" t="s">
        <v>275</v>
      </c>
      <c r="J291" s="31" t="s">
        <v>119</v>
      </c>
      <c r="K291" s="31" t="s">
        <v>21</v>
      </c>
      <c r="L291" s="11" t="n">
        <v>1000</v>
      </c>
      <c r="M291" s="11" t="n">
        <v>5000</v>
      </c>
      <c r="N291" s="9" t="s">
        <v>18</v>
      </c>
    </row>
    <row r="292" customFormat="false" ht="39.55" hidden="false" customHeight="false" outlineLevel="0" collapsed="false">
      <c r="A292" s="4"/>
      <c r="B292" s="5"/>
      <c r="C292" s="6"/>
      <c r="D292" s="6"/>
      <c r="E292" s="6" t="s">
        <v>515</v>
      </c>
      <c r="F292" s="31" t="s">
        <v>276</v>
      </c>
      <c r="G292" s="31" t="n">
        <v>145559</v>
      </c>
      <c r="H292" s="31" t="s">
        <v>264</v>
      </c>
      <c r="I292" s="10" t="s">
        <v>278</v>
      </c>
      <c r="J292" s="31" t="s">
        <v>119</v>
      </c>
      <c r="K292" s="31" t="s">
        <v>21</v>
      </c>
      <c r="L292" s="11" t="n">
        <v>350</v>
      </c>
      <c r="M292" s="11" t="n">
        <v>1750</v>
      </c>
      <c r="N292" s="9" t="s">
        <v>18</v>
      </c>
    </row>
    <row r="293" customFormat="false" ht="26.85" hidden="false" customHeight="false" outlineLevel="0" collapsed="false">
      <c r="A293" s="4"/>
      <c r="B293" s="5"/>
      <c r="C293" s="6"/>
      <c r="D293" s="6"/>
      <c r="E293" s="6" t="s">
        <v>515</v>
      </c>
      <c r="F293" s="31" t="s">
        <v>279</v>
      </c>
      <c r="G293" s="31" t="n">
        <v>145558</v>
      </c>
      <c r="H293" s="31" t="s">
        <v>109</v>
      </c>
      <c r="I293" s="10" t="s">
        <v>281</v>
      </c>
      <c r="J293" s="31" t="s">
        <v>516</v>
      </c>
      <c r="K293" s="31" t="s">
        <v>21</v>
      </c>
      <c r="L293" s="11" t="n">
        <v>75.3435</v>
      </c>
      <c r="M293" s="11" t="n">
        <v>3013.74</v>
      </c>
      <c r="N293" s="9" t="s">
        <v>18</v>
      </c>
    </row>
    <row r="294" customFormat="false" ht="77.6" hidden="false" customHeight="false" outlineLevel="0" collapsed="false">
      <c r="A294" s="4"/>
      <c r="B294" s="5"/>
      <c r="C294" s="6"/>
      <c r="D294" s="6"/>
      <c r="E294" s="6" t="s">
        <v>515</v>
      </c>
      <c r="F294" s="7" t="s">
        <v>282</v>
      </c>
      <c r="G294" s="31" t="n">
        <v>145560</v>
      </c>
      <c r="H294" s="31" t="s">
        <v>268</v>
      </c>
      <c r="I294" s="10" t="s">
        <v>284</v>
      </c>
      <c r="J294" s="31" t="n">
        <v>1</v>
      </c>
      <c r="K294" s="31" t="s">
        <v>21</v>
      </c>
      <c r="L294" s="11" t="n">
        <v>67000</v>
      </c>
      <c r="M294" s="11" t="n">
        <v>67000</v>
      </c>
      <c r="N294" s="9" t="s">
        <v>18</v>
      </c>
    </row>
    <row r="295" customFormat="false" ht="64.9" hidden="false" customHeight="false" outlineLevel="0" collapsed="false">
      <c r="A295" s="4"/>
      <c r="B295" s="5"/>
      <c r="C295" s="6"/>
      <c r="D295" s="6"/>
      <c r="E295" s="6" t="s">
        <v>515</v>
      </c>
      <c r="F295" s="7" t="s">
        <v>285</v>
      </c>
      <c r="G295" s="31" t="n">
        <v>145560</v>
      </c>
      <c r="H295" s="31" t="s">
        <v>270</v>
      </c>
      <c r="I295" s="10" t="s">
        <v>287</v>
      </c>
      <c r="J295" s="31" t="n">
        <v>1</v>
      </c>
      <c r="K295" s="31" t="s">
        <v>21</v>
      </c>
      <c r="L295" s="11" t="n">
        <v>43000</v>
      </c>
      <c r="M295" s="11" t="n">
        <v>43000</v>
      </c>
      <c r="N295" s="9" t="s">
        <v>18</v>
      </c>
    </row>
    <row r="296" customFormat="false" ht="39.55" hidden="false" customHeight="false" outlineLevel="0" collapsed="false">
      <c r="A296" s="4"/>
      <c r="B296" s="5"/>
      <c r="C296" s="6"/>
      <c r="D296" s="6"/>
      <c r="E296" s="6" t="s">
        <v>515</v>
      </c>
      <c r="F296" s="7" t="s">
        <v>517</v>
      </c>
      <c r="G296" s="31" t="n">
        <v>145560</v>
      </c>
      <c r="H296" s="31" t="s">
        <v>274</v>
      </c>
      <c r="I296" s="10" t="s">
        <v>518</v>
      </c>
      <c r="J296" s="31" t="n">
        <v>1</v>
      </c>
      <c r="K296" s="31" t="s">
        <v>21</v>
      </c>
      <c r="L296" s="11" t="n">
        <v>450</v>
      </c>
      <c r="M296" s="11" t="n">
        <v>450</v>
      </c>
      <c r="N296" s="9" t="s">
        <v>18</v>
      </c>
    </row>
    <row r="297" customFormat="false" ht="26.85" hidden="false" customHeight="false" outlineLevel="0" collapsed="false">
      <c r="A297" s="4"/>
      <c r="B297" s="5"/>
      <c r="C297" s="6"/>
      <c r="D297" s="6"/>
      <c r="E297" s="6" t="s">
        <v>515</v>
      </c>
      <c r="F297" s="7" t="s">
        <v>519</v>
      </c>
      <c r="G297" s="31" t="n">
        <v>145558</v>
      </c>
      <c r="H297" s="31" t="s">
        <v>277</v>
      </c>
      <c r="I297" s="10" t="s">
        <v>293</v>
      </c>
      <c r="J297" s="31" t="n">
        <v>1</v>
      </c>
      <c r="K297" s="31" t="s">
        <v>21</v>
      </c>
      <c r="L297" s="11" t="n">
        <v>93.5114</v>
      </c>
      <c r="M297" s="11" t="n">
        <v>93.51</v>
      </c>
      <c r="N297" s="9" t="s">
        <v>18</v>
      </c>
    </row>
    <row r="298" customFormat="false" ht="26.85" hidden="false" customHeight="false" outlineLevel="0" collapsed="false">
      <c r="A298" s="4"/>
      <c r="B298" s="5"/>
      <c r="C298" s="6"/>
      <c r="D298" s="6"/>
      <c r="E298" s="6" t="s">
        <v>515</v>
      </c>
      <c r="F298" s="7" t="s">
        <v>520</v>
      </c>
      <c r="G298" s="31" t="n">
        <v>145558</v>
      </c>
      <c r="H298" s="31" t="s">
        <v>280</v>
      </c>
      <c r="I298" s="10" t="s">
        <v>296</v>
      </c>
      <c r="J298" s="31" t="n">
        <v>8</v>
      </c>
      <c r="K298" s="31" t="s">
        <v>21</v>
      </c>
      <c r="L298" s="11" t="n">
        <v>46.3104</v>
      </c>
      <c r="M298" s="11" t="n">
        <v>370.48</v>
      </c>
      <c r="N298" s="9" t="s">
        <v>18</v>
      </c>
    </row>
    <row r="299" customFormat="false" ht="26.85" hidden="false" customHeight="false" outlineLevel="0" collapsed="false">
      <c r="A299" s="4"/>
      <c r="B299" s="5"/>
      <c r="C299" s="6"/>
      <c r="D299" s="6"/>
      <c r="E299" s="6" t="s">
        <v>515</v>
      </c>
      <c r="F299" s="7" t="s">
        <v>521</v>
      </c>
      <c r="G299" s="31" t="n">
        <v>145560</v>
      </c>
      <c r="H299" s="31" t="s">
        <v>283</v>
      </c>
      <c r="I299" s="10" t="s">
        <v>298</v>
      </c>
      <c r="J299" s="31" t="s">
        <v>224</v>
      </c>
      <c r="K299" s="31" t="s">
        <v>21</v>
      </c>
      <c r="L299" s="11" t="n">
        <v>5000</v>
      </c>
      <c r="M299" s="11" t="n">
        <v>20000</v>
      </c>
      <c r="N299" s="9" t="s">
        <v>18</v>
      </c>
    </row>
    <row r="300" customFormat="false" ht="26.85" hidden="false" customHeight="false" outlineLevel="0" collapsed="false">
      <c r="A300" s="4"/>
      <c r="B300" s="5"/>
      <c r="C300" s="6"/>
      <c r="D300" s="6"/>
      <c r="E300" s="6" t="s">
        <v>515</v>
      </c>
      <c r="F300" s="7" t="s">
        <v>522</v>
      </c>
      <c r="G300" s="31" t="n">
        <v>145560</v>
      </c>
      <c r="H300" s="31" t="s">
        <v>286</v>
      </c>
      <c r="I300" s="10" t="s">
        <v>299</v>
      </c>
      <c r="J300" s="31" t="n">
        <v>1</v>
      </c>
      <c r="K300" s="31" t="s">
        <v>21</v>
      </c>
      <c r="L300" s="11" t="n">
        <v>14900</v>
      </c>
      <c r="M300" s="11" t="n">
        <v>14900</v>
      </c>
      <c r="N300" s="9" t="s">
        <v>18</v>
      </c>
    </row>
    <row r="301" customFormat="false" ht="39.55" hidden="false" customHeight="false" outlineLevel="0" collapsed="false">
      <c r="A301" s="4"/>
      <c r="B301" s="5"/>
      <c r="C301" s="6"/>
      <c r="D301" s="6"/>
      <c r="E301" s="6" t="s">
        <v>515</v>
      </c>
      <c r="F301" s="31" t="s">
        <v>300</v>
      </c>
      <c r="G301" s="31" t="n">
        <v>145560</v>
      </c>
      <c r="H301" s="31" t="s">
        <v>289</v>
      </c>
      <c r="I301" s="10" t="s">
        <v>302</v>
      </c>
      <c r="J301" s="31" t="s">
        <v>224</v>
      </c>
      <c r="K301" s="31" t="s">
        <v>21</v>
      </c>
      <c r="L301" s="11" t="n">
        <v>7000</v>
      </c>
      <c r="M301" s="11" t="n">
        <v>28000</v>
      </c>
      <c r="N301" s="9" t="s">
        <v>18</v>
      </c>
    </row>
    <row r="302" customFormat="false" ht="52.2" hidden="false" customHeight="false" outlineLevel="0" collapsed="false">
      <c r="A302" s="4"/>
      <c r="B302" s="5"/>
      <c r="C302" s="6"/>
      <c r="D302" s="6"/>
      <c r="E302" s="6" t="s">
        <v>515</v>
      </c>
      <c r="F302" s="31" t="s">
        <v>303</v>
      </c>
      <c r="G302" s="31" t="n">
        <v>145559</v>
      </c>
      <c r="H302" s="31" t="s">
        <v>292</v>
      </c>
      <c r="I302" s="10" t="s">
        <v>305</v>
      </c>
      <c r="J302" s="31" t="s">
        <v>224</v>
      </c>
      <c r="K302" s="31" t="s">
        <v>21</v>
      </c>
      <c r="L302" s="11" t="n">
        <v>600</v>
      </c>
      <c r="M302" s="11" t="n">
        <v>2400</v>
      </c>
      <c r="N302" s="9" t="s">
        <v>18</v>
      </c>
    </row>
    <row r="303" customFormat="false" ht="26.85" hidden="false" customHeight="false" outlineLevel="0" collapsed="false">
      <c r="A303" s="4"/>
      <c r="B303" s="5"/>
      <c r="C303" s="6"/>
      <c r="D303" s="6"/>
      <c r="E303" s="6" t="s">
        <v>515</v>
      </c>
      <c r="F303" s="31" t="s">
        <v>306</v>
      </c>
      <c r="G303" s="31" t="n">
        <v>145559</v>
      </c>
      <c r="H303" s="31" t="s">
        <v>295</v>
      </c>
      <c r="I303" s="10" t="s">
        <v>308</v>
      </c>
      <c r="J303" s="31" t="s">
        <v>523</v>
      </c>
      <c r="K303" s="31" t="s">
        <v>21</v>
      </c>
      <c r="L303" s="11" t="n">
        <v>260</v>
      </c>
      <c r="M303" s="11" t="n">
        <v>20800</v>
      </c>
      <c r="N303" s="9" t="s">
        <v>18</v>
      </c>
    </row>
    <row r="304" customFormat="false" ht="39.55" hidden="false" customHeight="false" outlineLevel="0" collapsed="false">
      <c r="A304" s="4"/>
      <c r="B304" s="5"/>
      <c r="C304" s="6"/>
      <c r="D304" s="6"/>
      <c r="E304" s="6" t="s">
        <v>515</v>
      </c>
      <c r="F304" s="31" t="s">
        <v>309</v>
      </c>
      <c r="G304" s="31" t="n">
        <v>145560</v>
      </c>
      <c r="H304" s="31" t="s">
        <v>297</v>
      </c>
      <c r="I304" s="10" t="s">
        <v>311</v>
      </c>
      <c r="J304" s="31" t="s">
        <v>159</v>
      </c>
      <c r="K304" s="31" t="s">
        <v>21</v>
      </c>
      <c r="L304" s="11" t="n">
        <v>7000</v>
      </c>
      <c r="M304" s="11" t="n">
        <v>14000</v>
      </c>
      <c r="N304" s="9" t="s">
        <v>18</v>
      </c>
    </row>
    <row r="305" customFormat="false" ht="26.85" hidden="false" customHeight="false" outlineLevel="0" collapsed="false">
      <c r="A305" s="4"/>
      <c r="B305" s="5"/>
      <c r="C305" s="6"/>
      <c r="D305" s="6"/>
      <c r="E305" s="6" t="s">
        <v>515</v>
      </c>
      <c r="F305" s="31" t="s">
        <v>312</v>
      </c>
      <c r="G305" s="31" t="n">
        <v>145558</v>
      </c>
      <c r="H305" s="31" t="s">
        <v>272</v>
      </c>
      <c r="I305" s="10" t="s">
        <v>314</v>
      </c>
      <c r="J305" s="31" t="s">
        <v>159</v>
      </c>
      <c r="K305" s="31" t="s">
        <v>21</v>
      </c>
      <c r="L305" s="11" t="n">
        <v>728.4985</v>
      </c>
      <c r="M305" s="11" t="n">
        <v>1457</v>
      </c>
      <c r="N305" s="9" t="s">
        <v>18</v>
      </c>
    </row>
    <row r="306" customFormat="false" ht="26.85" hidden="false" customHeight="false" outlineLevel="0" collapsed="false">
      <c r="A306" s="4"/>
      <c r="B306" s="5"/>
      <c r="C306" s="6"/>
      <c r="D306" s="6"/>
      <c r="E306" s="6" t="s">
        <v>515</v>
      </c>
      <c r="F306" s="31" t="s">
        <v>315</v>
      </c>
      <c r="G306" s="31" t="n">
        <v>145559</v>
      </c>
      <c r="H306" s="31" t="s">
        <v>524</v>
      </c>
      <c r="I306" s="10" t="s">
        <v>317</v>
      </c>
      <c r="J306" s="31" t="s">
        <v>516</v>
      </c>
      <c r="K306" s="31" t="s">
        <v>21</v>
      </c>
      <c r="L306" s="11" t="n">
        <v>290</v>
      </c>
      <c r="M306" s="11" t="n">
        <v>11600</v>
      </c>
      <c r="N306" s="9" t="s">
        <v>18</v>
      </c>
    </row>
    <row r="307" customFormat="false" ht="39.55" hidden="false" customHeight="false" outlineLevel="0" collapsed="false">
      <c r="A307" s="4"/>
      <c r="B307" s="5"/>
      <c r="C307" s="6"/>
      <c r="D307" s="6"/>
      <c r="E307" s="6" t="s">
        <v>515</v>
      </c>
      <c r="F307" s="31" t="s">
        <v>525</v>
      </c>
      <c r="G307" s="31" t="n">
        <v>145560</v>
      </c>
      <c r="H307" s="31" t="s">
        <v>301</v>
      </c>
      <c r="I307" s="10" t="s">
        <v>526</v>
      </c>
      <c r="J307" s="31" t="s">
        <v>159</v>
      </c>
      <c r="K307" s="31" t="s">
        <v>21</v>
      </c>
      <c r="L307" s="11" t="n">
        <v>8000</v>
      </c>
      <c r="M307" s="11" t="n">
        <v>16000</v>
      </c>
      <c r="N307" s="9" t="s">
        <v>18</v>
      </c>
    </row>
    <row r="308" customFormat="false" ht="13.5" hidden="false" customHeight="false" outlineLevel="0" collapsed="false">
      <c r="A308" s="4"/>
      <c r="B308" s="5"/>
      <c r="C308" s="6"/>
      <c r="D308" s="6"/>
      <c r="E308" s="6" t="s">
        <v>515</v>
      </c>
      <c r="F308" s="31" t="s">
        <v>527</v>
      </c>
      <c r="G308" s="31" t="n">
        <v>145611</v>
      </c>
      <c r="H308" s="31" t="s">
        <v>304</v>
      </c>
      <c r="I308" s="64" t="s">
        <v>528</v>
      </c>
      <c r="J308" s="9" t="n">
        <v>5</v>
      </c>
      <c r="K308" s="31" t="s">
        <v>21</v>
      </c>
      <c r="L308" s="11" t="n">
        <v>14251.722</v>
      </c>
      <c r="M308" s="11" t="n">
        <v>71258.61</v>
      </c>
      <c r="N308" s="9" t="s">
        <v>18</v>
      </c>
    </row>
    <row r="309" customFormat="false" ht="13.5" hidden="false" customHeight="false" outlineLevel="0" collapsed="false">
      <c r="A309" s="4"/>
      <c r="B309" s="5"/>
      <c r="C309" s="6"/>
      <c r="D309" s="6"/>
      <c r="E309" s="6" t="s">
        <v>515</v>
      </c>
      <c r="F309" s="31" t="s">
        <v>492</v>
      </c>
      <c r="G309" s="31" t="n">
        <v>145611</v>
      </c>
      <c r="H309" s="31" t="s">
        <v>307</v>
      </c>
      <c r="I309" s="64" t="s">
        <v>493</v>
      </c>
      <c r="J309" s="9" t="n">
        <v>5</v>
      </c>
      <c r="K309" s="31" t="s">
        <v>21</v>
      </c>
      <c r="L309" s="11" t="n">
        <v>6918.486</v>
      </c>
      <c r="M309" s="11" t="n">
        <v>34592.43</v>
      </c>
      <c r="N309" s="9" t="s">
        <v>18</v>
      </c>
    </row>
    <row r="310" customFormat="false" ht="13.5" hidden="false" customHeight="true" outlineLevel="0" collapsed="false">
      <c r="A310" s="4"/>
      <c r="B310" s="5"/>
      <c r="C310" s="6"/>
      <c r="D310" s="6"/>
      <c r="E310" s="52" t="s">
        <v>319</v>
      </c>
      <c r="F310" s="31" t="n">
        <v>1501016</v>
      </c>
      <c r="G310" s="31" t="n">
        <v>145612</v>
      </c>
      <c r="H310" s="31" t="s">
        <v>310</v>
      </c>
      <c r="I310" s="13" t="s">
        <v>529</v>
      </c>
      <c r="J310" s="9" t="n">
        <v>10</v>
      </c>
      <c r="K310" s="31" t="s">
        <v>21</v>
      </c>
      <c r="L310" s="11" t="n">
        <v>97</v>
      </c>
      <c r="M310" s="11" t="n">
        <v>970</v>
      </c>
      <c r="N310" s="9" t="s">
        <v>18</v>
      </c>
    </row>
    <row r="311" customFormat="false" ht="13.5" hidden="false" customHeight="true" outlineLevel="0" collapsed="false">
      <c r="A311" s="4"/>
      <c r="B311" s="5"/>
      <c r="C311" s="6"/>
      <c r="D311" s="6"/>
      <c r="E311" s="52" t="s">
        <v>319</v>
      </c>
      <c r="F311" s="31" t="n">
        <v>1501011</v>
      </c>
      <c r="G311" s="31" t="n">
        <v>145612</v>
      </c>
      <c r="H311" s="31" t="s">
        <v>313</v>
      </c>
      <c r="I311" s="13" t="s">
        <v>530</v>
      </c>
      <c r="J311" s="9" t="n">
        <v>5</v>
      </c>
      <c r="K311" s="31" t="s">
        <v>21</v>
      </c>
      <c r="L311" s="11" t="n">
        <v>175</v>
      </c>
      <c r="M311" s="11" t="n">
        <v>875</v>
      </c>
      <c r="N311" s="9" t="s">
        <v>18</v>
      </c>
    </row>
    <row r="312" customFormat="false" ht="13.5" hidden="false" customHeight="false" outlineLevel="0" collapsed="false">
      <c r="A312" s="56" t="s">
        <v>0</v>
      </c>
      <c r="B312" s="56" t="s">
        <v>1</v>
      </c>
      <c r="C312" s="56" t="s">
        <v>2</v>
      </c>
      <c r="D312" s="56" t="s">
        <v>531</v>
      </c>
      <c r="E312" s="56" t="s">
        <v>325</v>
      </c>
      <c r="F312" s="56" t="s">
        <v>4</v>
      </c>
      <c r="G312" s="56" t="s">
        <v>5</v>
      </c>
      <c r="H312" s="56" t="s">
        <v>6</v>
      </c>
      <c r="I312" s="56" t="s">
        <v>7</v>
      </c>
      <c r="J312" s="70" t="s">
        <v>8</v>
      </c>
      <c r="K312" s="70" t="s">
        <v>9</v>
      </c>
      <c r="L312" s="70" t="s">
        <v>498</v>
      </c>
      <c r="M312" s="70" t="s">
        <v>499</v>
      </c>
      <c r="N312" s="70" t="s">
        <v>500</v>
      </c>
    </row>
    <row r="313" customFormat="false" ht="13.5" hidden="false" customHeight="true" outlineLevel="0" collapsed="false">
      <c r="A313" s="71" t="n">
        <v>46107</v>
      </c>
      <c r="B313" s="72" t="n">
        <v>178629</v>
      </c>
      <c r="C313" s="73" t="s">
        <v>532</v>
      </c>
      <c r="D313" s="73" t="s">
        <v>533</v>
      </c>
      <c r="E313" s="6" t="s">
        <v>319</v>
      </c>
      <c r="F313" s="7" t="s">
        <v>132</v>
      </c>
      <c r="G313" s="9" t="n">
        <v>146156</v>
      </c>
      <c r="H313" s="31" t="n">
        <v>1</v>
      </c>
      <c r="I313" s="27" t="s">
        <v>133</v>
      </c>
      <c r="J313" s="31" t="s">
        <v>439</v>
      </c>
      <c r="K313" s="31" t="s">
        <v>21</v>
      </c>
      <c r="L313" s="11" t="n">
        <v>54.45</v>
      </c>
      <c r="M313" s="11" t="n">
        <f aca="false">L313*J313</f>
        <v>10890</v>
      </c>
      <c r="N313" s="9" t="s">
        <v>18</v>
      </c>
    </row>
    <row r="314" customFormat="false" ht="13.5" hidden="false" customHeight="false" outlineLevel="0" collapsed="false">
      <c r="A314" s="71"/>
      <c r="B314" s="72"/>
      <c r="C314" s="73"/>
      <c r="D314" s="73"/>
      <c r="E314" s="6" t="s">
        <v>319</v>
      </c>
      <c r="F314" s="7" t="s">
        <v>187</v>
      </c>
      <c r="G314" s="9" t="n">
        <v>146156</v>
      </c>
      <c r="H314" s="31" t="n">
        <v>2</v>
      </c>
      <c r="I314" s="27" t="s">
        <v>188</v>
      </c>
      <c r="J314" s="31" t="s">
        <v>439</v>
      </c>
      <c r="K314" s="31" t="s">
        <v>21</v>
      </c>
      <c r="L314" s="11" t="n">
        <v>54.45</v>
      </c>
      <c r="M314" s="11" t="n">
        <f aca="false">L314*J314</f>
        <v>10890</v>
      </c>
      <c r="N314" s="9" t="s">
        <v>18</v>
      </c>
    </row>
    <row r="315" customFormat="false" ht="13.5" hidden="false" customHeight="false" outlineLevel="0" collapsed="false">
      <c r="A315" s="71"/>
      <c r="B315" s="72"/>
      <c r="C315" s="73"/>
      <c r="D315" s="73"/>
      <c r="E315" s="6" t="s">
        <v>319</v>
      </c>
      <c r="F315" s="7" t="s">
        <v>534</v>
      </c>
      <c r="G315" s="9" t="n">
        <v>146156</v>
      </c>
      <c r="H315" s="31" t="n">
        <v>3</v>
      </c>
      <c r="I315" s="27" t="s">
        <v>535</v>
      </c>
      <c r="J315" s="31" t="s">
        <v>130</v>
      </c>
      <c r="K315" s="31" t="s">
        <v>21</v>
      </c>
      <c r="L315" s="11" t="n">
        <v>56.17</v>
      </c>
      <c r="M315" s="11" t="n">
        <f aca="false">L315*J315</f>
        <v>5617</v>
      </c>
      <c r="N315" s="9" t="s">
        <v>18</v>
      </c>
    </row>
    <row r="316" customFormat="false" ht="13.5" hidden="false" customHeight="false" outlineLevel="0" collapsed="false">
      <c r="A316" s="71"/>
      <c r="B316" s="72"/>
      <c r="C316" s="73"/>
      <c r="D316" s="73"/>
      <c r="E316" s="6" t="s">
        <v>319</v>
      </c>
      <c r="F316" s="7" t="n">
        <v>1204012</v>
      </c>
      <c r="G316" s="9" t="n">
        <v>146156</v>
      </c>
      <c r="H316" s="31" t="n">
        <v>4</v>
      </c>
      <c r="I316" s="27" t="s">
        <v>193</v>
      </c>
      <c r="J316" s="31" t="s">
        <v>439</v>
      </c>
      <c r="K316" s="31" t="s">
        <v>21</v>
      </c>
      <c r="L316" s="11" t="n">
        <v>78.89</v>
      </c>
      <c r="M316" s="11" t="n">
        <f aca="false">L316*J316</f>
        <v>15778</v>
      </c>
      <c r="N316" s="9" t="s">
        <v>18</v>
      </c>
    </row>
    <row r="317" customFormat="false" ht="26.85" hidden="false" customHeight="false" outlineLevel="0" collapsed="false">
      <c r="A317" s="71"/>
      <c r="B317" s="72"/>
      <c r="C317" s="73"/>
      <c r="D317" s="73"/>
      <c r="E317" s="6" t="s">
        <v>319</v>
      </c>
      <c r="F317" s="7" t="n">
        <v>1204049</v>
      </c>
      <c r="G317" s="9" t="n">
        <v>146157</v>
      </c>
      <c r="H317" s="31" t="n">
        <v>5</v>
      </c>
      <c r="I317" s="27" t="s">
        <v>195</v>
      </c>
      <c r="J317" s="31" t="s">
        <v>439</v>
      </c>
      <c r="K317" s="31" t="s">
        <v>21</v>
      </c>
      <c r="L317" s="11" t="n">
        <v>17</v>
      </c>
      <c r="M317" s="11" t="n">
        <f aca="false">L317*J317</f>
        <v>3400</v>
      </c>
      <c r="N317" s="9" t="s">
        <v>18</v>
      </c>
    </row>
    <row r="318" customFormat="false" ht="26.85" hidden="false" customHeight="false" outlineLevel="0" collapsed="false">
      <c r="A318" s="71"/>
      <c r="B318" s="72"/>
      <c r="C318" s="73"/>
      <c r="D318" s="73"/>
      <c r="E318" s="6" t="s">
        <v>319</v>
      </c>
      <c r="F318" s="7" t="n">
        <v>1204050</v>
      </c>
      <c r="G318" s="9" t="n">
        <v>146156</v>
      </c>
      <c r="H318" s="31" t="n">
        <v>6</v>
      </c>
      <c r="I318" s="27" t="s">
        <v>196</v>
      </c>
      <c r="J318" s="31" t="s">
        <v>439</v>
      </c>
      <c r="K318" s="31" t="s">
        <v>21</v>
      </c>
      <c r="L318" s="11" t="n">
        <v>31.17</v>
      </c>
      <c r="M318" s="11" t="n">
        <f aca="false">L318*J318</f>
        <v>6234</v>
      </c>
      <c r="N318" s="9" t="s">
        <v>18</v>
      </c>
    </row>
    <row r="319" customFormat="false" ht="26.85" hidden="false" customHeight="false" outlineLevel="0" collapsed="false">
      <c r="A319" s="71"/>
      <c r="B319" s="72"/>
      <c r="C319" s="73"/>
      <c r="D319" s="73"/>
      <c r="E319" s="6" t="s">
        <v>319</v>
      </c>
      <c r="F319" s="7" t="n">
        <v>1204057</v>
      </c>
      <c r="G319" s="9" t="n">
        <v>146156</v>
      </c>
      <c r="H319" s="31" t="n">
        <v>7</v>
      </c>
      <c r="I319" s="27" t="s">
        <v>197</v>
      </c>
      <c r="J319" s="31" t="s">
        <v>130</v>
      </c>
      <c r="K319" s="31" t="s">
        <v>21</v>
      </c>
      <c r="L319" s="11" t="n">
        <v>19.13</v>
      </c>
      <c r="M319" s="11" t="n">
        <f aca="false">L319*J319</f>
        <v>1913</v>
      </c>
      <c r="N319" s="9" t="s">
        <v>18</v>
      </c>
    </row>
    <row r="320" customFormat="false" ht="13.5" hidden="false" customHeight="false" outlineLevel="0" collapsed="false">
      <c r="A320" s="71"/>
      <c r="B320" s="72"/>
      <c r="C320" s="73"/>
      <c r="D320" s="73"/>
      <c r="E320" s="6" t="s">
        <v>319</v>
      </c>
      <c r="F320" s="7" t="s">
        <v>536</v>
      </c>
      <c r="G320" s="8" t="n">
        <v>146156</v>
      </c>
      <c r="H320" s="31" t="n">
        <v>8</v>
      </c>
      <c r="I320" s="27" t="s">
        <v>537</v>
      </c>
      <c r="J320" s="31" t="s">
        <v>130</v>
      </c>
      <c r="K320" s="31" t="s">
        <v>21</v>
      </c>
      <c r="L320" s="11" t="n">
        <v>63.77</v>
      </c>
      <c r="M320" s="11" t="n">
        <f aca="false">L320*J320</f>
        <v>6377</v>
      </c>
      <c r="N320" s="9" t="s">
        <v>18</v>
      </c>
    </row>
    <row r="321" customFormat="false" ht="26.85" hidden="false" customHeight="false" outlineLevel="0" collapsed="false">
      <c r="A321" s="71"/>
      <c r="B321" s="72"/>
      <c r="C321" s="73"/>
      <c r="D321" s="73"/>
      <c r="E321" s="6" t="s">
        <v>319</v>
      </c>
      <c r="F321" s="7" t="s">
        <v>538</v>
      </c>
      <c r="G321" s="8" t="n">
        <v>146157</v>
      </c>
      <c r="H321" s="31" t="n">
        <v>9</v>
      </c>
      <c r="I321" s="27" t="s">
        <v>539</v>
      </c>
      <c r="J321" s="31" t="s">
        <v>540</v>
      </c>
      <c r="K321" s="31" t="s">
        <v>21</v>
      </c>
      <c r="L321" s="11" t="n">
        <v>10</v>
      </c>
      <c r="M321" s="11" t="n">
        <f aca="false">L321*J321</f>
        <v>3000</v>
      </c>
      <c r="N321" s="9" t="s">
        <v>18</v>
      </c>
    </row>
    <row r="322" customFormat="false" ht="26.85" hidden="false" customHeight="false" outlineLevel="0" collapsed="false">
      <c r="A322" s="71"/>
      <c r="B322" s="72"/>
      <c r="C322" s="73"/>
      <c r="D322" s="73"/>
      <c r="E322" s="6" t="s">
        <v>319</v>
      </c>
      <c r="F322" s="7" t="s">
        <v>541</v>
      </c>
      <c r="G322" s="8" t="n">
        <v>146156</v>
      </c>
      <c r="H322" s="31" t="n">
        <v>10</v>
      </c>
      <c r="I322" s="27" t="s">
        <v>199</v>
      </c>
      <c r="J322" s="31" t="s">
        <v>130</v>
      </c>
      <c r="K322" s="31" t="s">
        <v>21</v>
      </c>
      <c r="L322" s="11" t="n">
        <v>29.13</v>
      </c>
      <c r="M322" s="11" t="n">
        <f aca="false">L322*J322</f>
        <v>2913</v>
      </c>
      <c r="N322" s="9" t="s">
        <v>18</v>
      </c>
    </row>
    <row r="323" customFormat="false" ht="13.5" hidden="false" customHeight="false" outlineLevel="0" collapsed="false">
      <c r="A323" s="71"/>
      <c r="B323" s="72"/>
      <c r="C323" s="73"/>
      <c r="D323" s="73"/>
      <c r="E323" s="6" t="s">
        <v>319</v>
      </c>
      <c r="F323" s="7" t="n">
        <v>1206016</v>
      </c>
      <c r="G323" s="9" t="n">
        <v>146156</v>
      </c>
      <c r="H323" s="31" t="n">
        <v>11</v>
      </c>
      <c r="I323" s="27" t="s">
        <v>200</v>
      </c>
      <c r="J323" s="31" t="s">
        <v>295</v>
      </c>
      <c r="K323" s="31" t="s">
        <v>21</v>
      </c>
      <c r="L323" s="11" t="n">
        <v>147.59</v>
      </c>
      <c r="M323" s="11" t="n">
        <f aca="false">L323*J323</f>
        <v>4427.7</v>
      </c>
      <c r="N323" s="9" t="s">
        <v>18</v>
      </c>
    </row>
    <row r="324" customFormat="false" ht="13.5" hidden="false" customHeight="false" outlineLevel="0" collapsed="false">
      <c r="A324" s="71"/>
      <c r="B324" s="72"/>
      <c r="C324" s="73"/>
      <c r="D324" s="73"/>
      <c r="E324" s="6" t="s">
        <v>319</v>
      </c>
      <c r="F324" s="7" t="s">
        <v>542</v>
      </c>
      <c r="G324" s="8" t="n">
        <v>146158</v>
      </c>
      <c r="H324" s="31" t="n">
        <v>12</v>
      </c>
      <c r="I324" s="27" t="s">
        <v>543</v>
      </c>
      <c r="J324" s="31" t="n">
        <v>10</v>
      </c>
      <c r="K324" s="31" t="s">
        <v>21</v>
      </c>
      <c r="L324" s="11" t="n">
        <v>2952.59</v>
      </c>
      <c r="M324" s="11" t="n">
        <f aca="false">L324*J324</f>
        <v>29525.9</v>
      </c>
      <c r="N324" s="9" t="s">
        <v>18</v>
      </c>
    </row>
    <row r="325" customFormat="false" ht="39.55" hidden="false" customHeight="false" outlineLevel="0" collapsed="false">
      <c r="A325" s="71"/>
      <c r="B325" s="72"/>
      <c r="C325" s="73"/>
      <c r="D325" s="73"/>
      <c r="E325" s="6" t="s">
        <v>319</v>
      </c>
      <c r="F325" s="7" t="n">
        <v>1208245</v>
      </c>
      <c r="G325" s="8" t="n">
        <v>146156</v>
      </c>
      <c r="H325" s="31" t="n">
        <v>13</v>
      </c>
      <c r="I325" s="27" t="s">
        <v>544</v>
      </c>
      <c r="J325" s="31" t="n">
        <v>5</v>
      </c>
      <c r="K325" s="31" t="s">
        <v>21</v>
      </c>
      <c r="L325" s="11" t="n">
        <v>825</v>
      </c>
      <c r="M325" s="11" t="n">
        <f aca="false">L325*J325</f>
        <v>4125</v>
      </c>
      <c r="N325" s="9" t="s">
        <v>18</v>
      </c>
    </row>
    <row r="326" customFormat="false" ht="13.5" hidden="false" customHeight="false" outlineLevel="0" collapsed="false">
      <c r="A326" s="71"/>
      <c r="B326" s="72"/>
      <c r="C326" s="73"/>
      <c r="D326" s="73"/>
      <c r="E326" s="6" t="s">
        <v>319</v>
      </c>
      <c r="F326" s="7" t="s">
        <v>545</v>
      </c>
      <c r="G326" s="9" t="n">
        <v>146156</v>
      </c>
      <c r="H326" s="31" t="n">
        <v>14</v>
      </c>
      <c r="I326" s="27" t="s">
        <v>546</v>
      </c>
      <c r="J326" s="31" t="s">
        <v>119</v>
      </c>
      <c r="K326" s="31" t="s">
        <v>21</v>
      </c>
      <c r="L326" s="11" t="n">
        <v>111</v>
      </c>
      <c r="M326" s="11" t="n">
        <f aca="false">L326*J326</f>
        <v>555</v>
      </c>
      <c r="N326" s="9" t="s">
        <v>18</v>
      </c>
    </row>
    <row r="327" customFormat="false" ht="13.5" hidden="false" customHeight="false" outlineLevel="0" collapsed="false">
      <c r="A327" s="71"/>
      <c r="B327" s="72"/>
      <c r="C327" s="73"/>
      <c r="D327" s="73"/>
      <c r="E327" s="6" t="s">
        <v>319</v>
      </c>
      <c r="F327" s="7" t="n">
        <v>1204041</v>
      </c>
      <c r="G327" s="9" t="n">
        <v>146156</v>
      </c>
      <c r="H327" s="31" t="n">
        <v>15</v>
      </c>
      <c r="I327" s="27" t="s">
        <v>547</v>
      </c>
      <c r="J327" s="31" t="s">
        <v>119</v>
      </c>
      <c r="K327" s="31" t="s">
        <v>21</v>
      </c>
      <c r="L327" s="11" t="n">
        <v>111</v>
      </c>
      <c r="M327" s="11" t="n">
        <f aca="false">L327*J327</f>
        <v>555</v>
      </c>
      <c r="N327" s="9" t="s">
        <v>18</v>
      </c>
    </row>
    <row r="328" customFormat="false" ht="26.85" hidden="false" customHeight="false" outlineLevel="0" collapsed="false">
      <c r="A328" s="71"/>
      <c r="B328" s="72"/>
      <c r="C328" s="73"/>
      <c r="D328" s="73"/>
      <c r="E328" s="6" t="s">
        <v>515</v>
      </c>
      <c r="F328" s="7" t="s">
        <v>548</v>
      </c>
      <c r="G328" s="9" t="n">
        <v>146517</v>
      </c>
      <c r="H328" s="31" t="n">
        <v>16</v>
      </c>
      <c r="I328" s="27" t="s">
        <v>549</v>
      </c>
      <c r="J328" s="31" t="s">
        <v>550</v>
      </c>
      <c r="K328" s="31" t="s">
        <v>164</v>
      </c>
      <c r="L328" s="11" t="n">
        <v>60.33</v>
      </c>
      <c r="M328" s="11" t="n">
        <f aca="false">L328*J328</f>
        <v>7239.6</v>
      </c>
      <c r="N328" s="9" t="s">
        <v>18</v>
      </c>
    </row>
    <row r="329" customFormat="false" ht="13.5" hidden="false" customHeight="false" outlineLevel="0" collapsed="false">
      <c r="A329" s="71"/>
      <c r="B329" s="72"/>
      <c r="C329" s="73"/>
      <c r="D329" s="73"/>
      <c r="E329" s="6" t="s">
        <v>515</v>
      </c>
      <c r="F329" s="7" t="s">
        <v>551</v>
      </c>
      <c r="G329" s="9" t="n">
        <v>146517</v>
      </c>
      <c r="H329" s="31" t="n">
        <v>17</v>
      </c>
      <c r="I329" s="27" t="s">
        <v>552</v>
      </c>
      <c r="J329" s="31" t="s">
        <v>191</v>
      </c>
      <c r="K329" s="31" t="s">
        <v>21</v>
      </c>
      <c r="L329" s="11" t="n">
        <v>708.69</v>
      </c>
      <c r="M329" s="11" t="n">
        <f aca="false">L329*J329</f>
        <v>42521.4</v>
      </c>
      <c r="N329" s="9" t="s">
        <v>18</v>
      </c>
    </row>
    <row r="330" customFormat="false" ht="13.5" hidden="false" customHeight="false" outlineLevel="0" collapsed="false">
      <c r="A330" s="71"/>
      <c r="B330" s="72"/>
      <c r="C330" s="73"/>
      <c r="D330" s="73"/>
      <c r="E330" s="6" t="s">
        <v>515</v>
      </c>
      <c r="F330" s="7" t="s">
        <v>553</v>
      </c>
      <c r="G330" s="9" t="n">
        <v>146517</v>
      </c>
      <c r="H330" s="31" t="n">
        <v>18</v>
      </c>
      <c r="I330" s="27" t="s">
        <v>554</v>
      </c>
      <c r="J330" s="31" t="s">
        <v>295</v>
      </c>
      <c r="K330" s="31" t="s">
        <v>21</v>
      </c>
      <c r="L330" s="11" t="n">
        <v>354.35</v>
      </c>
      <c r="M330" s="11" t="n">
        <f aca="false">L330*J330</f>
        <v>10630.5</v>
      </c>
      <c r="N330" s="9" t="s">
        <v>18</v>
      </c>
    </row>
    <row r="331" customFormat="false" ht="13.5" hidden="false" customHeight="false" outlineLevel="0" collapsed="false">
      <c r="A331" s="71"/>
      <c r="B331" s="72"/>
      <c r="C331" s="73"/>
      <c r="D331" s="73"/>
      <c r="E331" s="6" t="s">
        <v>515</v>
      </c>
      <c r="F331" s="7" t="s">
        <v>484</v>
      </c>
      <c r="G331" s="9" t="n">
        <v>146517</v>
      </c>
      <c r="H331" s="31" t="n">
        <v>19</v>
      </c>
      <c r="I331" s="27" t="s">
        <v>485</v>
      </c>
      <c r="J331" s="31" t="s">
        <v>99</v>
      </c>
      <c r="K331" s="31" t="s">
        <v>21</v>
      </c>
      <c r="L331" s="11" t="n">
        <v>6589.99</v>
      </c>
      <c r="M331" s="11" t="n">
        <f aca="false">L331*J331</f>
        <v>19769.97</v>
      </c>
      <c r="N331" s="9" t="s">
        <v>18</v>
      </c>
    </row>
    <row r="332" customFormat="false" ht="26.85" hidden="false" customHeight="false" outlineLevel="0" collapsed="false">
      <c r="A332" s="71"/>
      <c r="B332" s="72"/>
      <c r="C332" s="73"/>
      <c r="D332" s="73"/>
      <c r="E332" s="6" t="s">
        <v>319</v>
      </c>
      <c r="F332" s="7" t="s">
        <v>555</v>
      </c>
      <c r="G332" s="9" t="n">
        <v>146518</v>
      </c>
      <c r="H332" s="31" t="n">
        <v>20</v>
      </c>
      <c r="I332" s="27" t="s">
        <v>556</v>
      </c>
      <c r="J332" s="31" t="s">
        <v>130</v>
      </c>
      <c r="K332" s="31" t="s">
        <v>21</v>
      </c>
      <c r="L332" s="11" t="n">
        <v>7.32</v>
      </c>
      <c r="M332" s="11" t="n">
        <f aca="false">L332*J332</f>
        <v>732</v>
      </c>
      <c r="N332" s="9" t="s">
        <v>18</v>
      </c>
    </row>
    <row r="333" customFormat="false" ht="26.85" hidden="false" customHeight="false" outlineLevel="0" collapsed="false">
      <c r="A333" s="71"/>
      <c r="B333" s="72"/>
      <c r="C333" s="73"/>
      <c r="D333" s="73"/>
      <c r="E333" s="6" t="s">
        <v>319</v>
      </c>
      <c r="F333" s="7" t="n">
        <v>1108117</v>
      </c>
      <c r="G333" s="9" t="n">
        <v>146518</v>
      </c>
      <c r="H333" s="31" t="n">
        <v>21</v>
      </c>
      <c r="I333" s="27" t="s">
        <v>557</v>
      </c>
      <c r="J333" s="31" t="s">
        <v>130</v>
      </c>
      <c r="K333" s="31" t="s">
        <v>21</v>
      </c>
      <c r="L333" s="11" t="n">
        <v>14.53</v>
      </c>
      <c r="M333" s="11" t="n">
        <f aca="false">L333*J333</f>
        <v>1453</v>
      </c>
      <c r="N333" s="9" t="s">
        <v>18</v>
      </c>
    </row>
    <row r="334" customFormat="false" ht="35.25" hidden="false" customHeight="true" outlineLevel="0" collapsed="false">
      <c r="A334" s="71"/>
      <c r="B334" s="72"/>
      <c r="C334" s="73"/>
      <c r="D334" s="73"/>
      <c r="E334" s="6" t="s">
        <v>515</v>
      </c>
      <c r="F334" s="7" t="s">
        <v>558</v>
      </c>
      <c r="G334" s="9" t="n">
        <v>146517</v>
      </c>
      <c r="H334" s="31" t="n">
        <v>22</v>
      </c>
      <c r="I334" s="27" t="s">
        <v>559</v>
      </c>
      <c r="J334" s="31" t="s">
        <v>246</v>
      </c>
      <c r="K334" s="31" t="s">
        <v>21</v>
      </c>
      <c r="L334" s="11" t="n">
        <v>459.28</v>
      </c>
      <c r="M334" s="11" t="n">
        <f aca="false">L334*J334</f>
        <v>5511.36</v>
      </c>
      <c r="N334" s="9" t="s">
        <v>18</v>
      </c>
    </row>
    <row r="335" customFormat="false" ht="39" hidden="false" customHeight="true" outlineLevel="0" collapsed="false">
      <c r="A335" s="71"/>
      <c r="B335" s="72"/>
      <c r="C335" s="73"/>
      <c r="D335" s="73"/>
      <c r="E335" s="6" t="s">
        <v>515</v>
      </c>
      <c r="F335" s="7" t="s">
        <v>560</v>
      </c>
      <c r="G335" s="9" t="n">
        <v>146517</v>
      </c>
      <c r="H335" s="31" t="n">
        <v>23</v>
      </c>
      <c r="I335" s="27" t="s">
        <v>561</v>
      </c>
      <c r="J335" s="31" t="s">
        <v>141</v>
      </c>
      <c r="K335" s="31" t="s">
        <v>21</v>
      </c>
      <c r="L335" s="11" t="n">
        <v>5448.24</v>
      </c>
      <c r="M335" s="11" t="n">
        <f aca="false">L335*J335</f>
        <v>54482.4</v>
      </c>
      <c r="N335" s="9" t="s">
        <v>18</v>
      </c>
    </row>
    <row r="336" customFormat="false" ht="32.25" hidden="false" customHeight="true" outlineLevel="0" collapsed="false">
      <c r="A336" s="71"/>
      <c r="B336" s="72"/>
      <c r="C336" s="73"/>
      <c r="D336" s="73"/>
      <c r="E336" s="6" t="s">
        <v>515</v>
      </c>
      <c r="F336" s="7" t="n">
        <v>1402045</v>
      </c>
      <c r="G336" s="9" t="n">
        <v>146517</v>
      </c>
      <c r="H336" s="31" t="n">
        <v>24</v>
      </c>
      <c r="I336" s="27" t="s">
        <v>562</v>
      </c>
      <c r="J336" s="31" t="s">
        <v>141</v>
      </c>
      <c r="K336" s="31" t="s">
        <v>21</v>
      </c>
      <c r="L336" s="11" t="n">
        <v>7723.09</v>
      </c>
      <c r="M336" s="11" t="n">
        <f aca="false">L336*J336</f>
        <v>77230.9</v>
      </c>
      <c r="N336" s="9" t="s">
        <v>18</v>
      </c>
    </row>
    <row r="337" customFormat="false" ht="13.5" hidden="false" customHeight="false" outlineLevel="0" collapsed="false">
      <c r="A337" s="65" t="s">
        <v>0</v>
      </c>
      <c r="B337" s="65" t="s">
        <v>1</v>
      </c>
      <c r="C337" s="65" t="s">
        <v>2</v>
      </c>
      <c r="D337" s="65" t="s">
        <v>496</v>
      </c>
      <c r="E337" s="65" t="s">
        <v>325</v>
      </c>
      <c r="F337" s="66" t="s">
        <v>497</v>
      </c>
      <c r="G337" s="65" t="s">
        <v>5</v>
      </c>
      <c r="H337" s="65" t="s">
        <v>6</v>
      </c>
      <c r="I337" s="65" t="s">
        <v>7</v>
      </c>
      <c r="J337" s="65" t="s">
        <v>8</v>
      </c>
      <c r="K337" s="65" t="s">
        <v>9</v>
      </c>
      <c r="L337" s="65" t="s">
        <v>498</v>
      </c>
      <c r="M337" s="65" t="s">
        <v>499</v>
      </c>
      <c r="N337" s="65" t="s">
        <v>500</v>
      </c>
    </row>
    <row r="338" customFormat="false" ht="51.75" hidden="false" customHeight="true" outlineLevel="0" collapsed="false">
      <c r="A338" s="74" t="n">
        <v>46113</v>
      </c>
      <c r="B338" s="68" t="n">
        <v>179188</v>
      </c>
      <c r="C338" s="68" t="s">
        <v>563</v>
      </c>
      <c r="D338" s="68" t="s">
        <v>506</v>
      </c>
      <c r="E338" s="68" t="s">
        <v>564</v>
      </c>
      <c r="F338" s="8" t="n">
        <v>1301116</v>
      </c>
      <c r="G338" s="8" t="n">
        <v>146305</v>
      </c>
      <c r="H338" s="8" t="n">
        <v>1</v>
      </c>
      <c r="I338" s="10" t="s">
        <v>565</v>
      </c>
      <c r="J338" s="8" t="n">
        <v>108</v>
      </c>
      <c r="K338" s="8" t="s">
        <v>566</v>
      </c>
      <c r="L338" s="75" t="n">
        <v>345.42</v>
      </c>
      <c r="M338" s="75" t="n">
        <f aca="false">L338*J338</f>
        <v>37305.36</v>
      </c>
      <c r="N338" s="8" t="s">
        <v>18</v>
      </c>
    </row>
    <row r="339" customFormat="false" ht="59.25" hidden="false" customHeight="true" outlineLevel="0" collapsed="false">
      <c r="A339" s="74"/>
      <c r="B339" s="74"/>
      <c r="C339" s="74"/>
      <c r="D339" s="74"/>
      <c r="E339" s="68" t="s">
        <v>564</v>
      </c>
      <c r="F339" s="8" t="n">
        <v>1301117</v>
      </c>
      <c r="G339" s="8" t="n">
        <v>146305</v>
      </c>
      <c r="H339" s="8" t="n">
        <v>2</v>
      </c>
      <c r="I339" s="10" t="s">
        <v>567</v>
      </c>
      <c r="J339" s="8" t="n">
        <v>52.5</v>
      </c>
      <c r="K339" s="8" t="s">
        <v>566</v>
      </c>
      <c r="L339" s="75" t="n">
        <v>658</v>
      </c>
      <c r="M339" s="75" t="n">
        <f aca="false">L339*J339</f>
        <v>34545</v>
      </c>
      <c r="N339" s="8" t="s">
        <v>18</v>
      </c>
    </row>
    <row r="340" customFormat="false" ht="13.5" hidden="false" customHeight="false" outlineLevel="0" collapsed="false">
      <c r="A340" s="65" t="s">
        <v>0</v>
      </c>
      <c r="B340" s="65" t="s">
        <v>1</v>
      </c>
      <c r="C340" s="65" t="s">
        <v>2</v>
      </c>
      <c r="D340" s="65" t="s">
        <v>496</v>
      </c>
      <c r="E340" s="65" t="s">
        <v>325</v>
      </c>
      <c r="F340" s="66" t="s">
        <v>497</v>
      </c>
      <c r="G340" s="65" t="s">
        <v>5</v>
      </c>
      <c r="H340" s="65" t="s">
        <v>6</v>
      </c>
      <c r="I340" s="65" t="s">
        <v>7</v>
      </c>
      <c r="J340" s="65" t="s">
        <v>8</v>
      </c>
      <c r="K340" s="65" t="s">
        <v>9</v>
      </c>
      <c r="L340" s="65" t="s">
        <v>498</v>
      </c>
      <c r="M340" s="65" t="s">
        <v>499</v>
      </c>
      <c r="N340" s="65" t="s">
        <v>500</v>
      </c>
    </row>
    <row r="341" customFormat="false" ht="13.5" hidden="false" customHeight="true" outlineLevel="0" collapsed="false">
      <c r="A341" s="4" t="n">
        <v>46085</v>
      </c>
      <c r="B341" s="6" t="n">
        <v>176211</v>
      </c>
      <c r="C341" s="6" t="s">
        <v>568</v>
      </c>
      <c r="D341" s="6" t="s">
        <v>14</v>
      </c>
      <c r="E341" s="52"/>
      <c r="F341" s="55" t="n">
        <v>1202150</v>
      </c>
      <c r="G341" s="52" t="n">
        <v>148771</v>
      </c>
      <c r="H341" s="55" t="s">
        <v>154</v>
      </c>
      <c r="I341" s="76" t="s">
        <v>569</v>
      </c>
      <c r="J341" s="52" t="n">
        <v>5</v>
      </c>
      <c r="K341" s="55" t="s">
        <v>40</v>
      </c>
      <c r="L341" s="77" t="n">
        <v>648.28</v>
      </c>
      <c r="M341" s="77" t="n">
        <f aca="false">J341*L341</f>
        <v>3241.4</v>
      </c>
      <c r="N341" s="52" t="s">
        <v>570</v>
      </c>
    </row>
    <row r="342" customFormat="false" ht="13.5" hidden="false" customHeight="false" outlineLevel="0" collapsed="false">
      <c r="A342" s="4"/>
      <c r="B342" s="6"/>
      <c r="C342" s="6"/>
      <c r="D342" s="6"/>
      <c r="E342" s="52"/>
      <c r="F342" s="55" t="n">
        <v>1202151</v>
      </c>
      <c r="G342" s="52" t="n">
        <v>148772</v>
      </c>
      <c r="H342" s="55" t="s">
        <v>159</v>
      </c>
      <c r="I342" s="76" t="s">
        <v>571</v>
      </c>
      <c r="J342" s="52" t="s">
        <v>119</v>
      </c>
      <c r="K342" s="55" t="s">
        <v>40</v>
      </c>
      <c r="L342" s="77" t="n">
        <v>110</v>
      </c>
      <c r="M342" s="77" t="n">
        <f aca="false">J342*L342</f>
        <v>550</v>
      </c>
      <c r="N342" s="52" t="s">
        <v>570</v>
      </c>
    </row>
    <row r="343" customFormat="false" ht="13.5" hidden="false" customHeight="false" outlineLevel="0" collapsed="false">
      <c r="A343" s="4"/>
      <c r="B343" s="6"/>
      <c r="C343" s="6"/>
      <c r="D343" s="6"/>
      <c r="E343" s="52"/>
      <c r="F343" s="55" t="n">
        <v>1202152</v>
      </c>
      <c r="G343" s="52" t="n">
        <v>148772</v>
      </c>
      <c r="H343" s="55" t="s">
        <v>99</v>
      </c>
      <c r="I343" s="76" t="s">
        <v>572</v>
      </c>
      <c r="J343" s="52" t="s">
        <v>119</v>
      </c>
      <c r="K343" s="55" t="s">
        <v>40</v>
      </c>
      <c r="L343" s="77" t="n">
        <v>376</v>
      </c>
      <c r="M343" s="77" t="n">
        <f aca="false">J343*L343</f>
        <v>1880</v>
      </c>
      <c r="N343" s="52" t="s">
        <v>570</v>
      </c>
    </row>
    <row r="344" customFormat="false" ht="13.5" hidden="false" customHeight="false" outlineLevel="0" collapsed="false">
      <c r="A344" s="4"/>
      <c r="B344" s="6"/>
      <c r="C344" s="6"/>
      <c r="D344" s="6"/>
      <c r="E344" s="52"/>
      <c r="F344" s="55" t="n">
        <v>1202153</v>
      </c>
      <c r="G344" s="52" t="n">
        <v>148772</v>
      </c>
      <c r="H344" s="55" t="s">
        <v>224</v>
      </c>
      <c r="I344" s="76" t="s">
        <v>573</v>
      </c>
      <c r="J344" s="52" t="s">
        <v>119</v>
      </c>
      <c r="K344" s="55" t="s">
        <v>40</v>
      </c>
      <c r="L344" s="77" t="n">
        <v>435</v>
      </c>
      <c r="M344" s="77" t="n">
        <f aca="false">J344*L344</f>
        <v>2175</v>
      </c>
      <c r="N344" s="52" t="s">
        <v>570</v>
      </c>
      <c r="O344" s="25" t="n">
        <f aca="false">SUM(M341:M345)</f>
        <v>10471.4</v>
      </c>
    </row>
    <row r="345" customFormat="false" ht="13.5" hidden="false" customHeight="false" outlineLevel="0" collapsed="false">
      <c r="A345" s="4"/>
      <c r="B345" s="6"/>
      <c r="C345" s="6"/>
      <c r="D345" s="6"/>
      <c r="E345" s="52"/>
      <c r="F345" s="55" t="n">
        <v>1202154</v>
      </c>
      <c r="G345" s="52" t="n">
        <v>148772</v>
      </c>
      <c r="H345" s="52" t="n">
        <v>5</v>
      </c>
      <c r="I345" s="76" t="s">
        <v>574</v>
      </c>
      <c r="J345" s="52" t="n">
        <v>5</v>
      </c>
      <c r="K345" s="55" t="s">
        <v>40</v>
      </c>
      <c r="L345" s="77" t="n">
        <v>525</v>
      </c>
      <c r="M345" s="77" t="n">
        <f aca="false">J345*L345</f>
        <v>2625</v>
      </c>
      <c r="N345" s="52" t="s">
        <v>570</v>
      </c>
    </row>
    <row r="346" customFormat="false" ht="39.55" hidden="false" customHeight="false" outlineLevel="0" collapsed="false">
      <c r="A346" s="4"/>
      <c r="B346" s="6"/>
      <c r="C346" s="6"/>
      <c r="D346" s="6"/>
      <c r="E346" s="52"/>
      <c r="F346" s="31" t="s">
        <v>575</v>
      </c>
      <c r="G346" s="9" t="n">
        <v>148417</v>
      </c>
      <c r="H346" s="9" t="n">
        <v>6</v>
      </c>
      <c r="I346" s="27" t="s">
        <v>576</v>
      </c>
      <c r="J346" s="9" t="n">
        <v>1</v>
      </c>
      <c r="K346" s="31" t="s">
        <v>40</v>
      </c>
      <c r="L346" s="11" t="n">
        <v>1631.51</v>
      </c>
      <c r="M346" s="11" t="n">
        <v>1631.51</v>
      </c>
      <c r="N346" s="8" t="s">
        <v>18</v>
      </c>
    </row>
    <row r="347" customFormat="false" ht="13.5" hidden="false" customHeight="false" outlineLevel="0" collapsed="false">
      <c r="A347" s="65" t="s">
        <v>0</v>
      </c>
      <c r="B347" s="65" t="s">
        <v>1</v>
      </c>
      <c r="C347" s="65" t="s">
        <v>2</v>
      </c>
      <c r="D347" s="65" t="s">
        <v>496</v>
      </c>
      <c r="E347" s="65" t="s">
        <v>325</v>
      </c>
      <c r="F347" s="66" t="s">
        <v>497</v>
      </c>
      <c r="G347" s="65" t="s">
        <v>5</v>
      </c>
      <c r="H347" s="65" t="s">
        <v>6</v>
      </c>
      <c r="I347" s="65" t="s">
        <v>7</v>
      </c>
      <c r="J347" s="65" t="s">
        <v>8</v>
      </c>
      <c r="K347" s="65" t="s">
        <v>9</v>
      </c>
      <c r="L347" s="65" t="s">
        <v>498</v>
      </c>
      <c r="M347" s="65" t="s">
        <v>499</v>
      </c>
      <c r="N347" s="65" t="s">
        <v>500</v>
      </c>
    </row>
    <row r="348" customFormat="false" ht="42.75" hidden="false" customHeight="true" outlineLevel="0" collapsed="false">
      <c r="A348" s="78" t="n">
        <v>46114</v>
      </c>
      <c r="B348" s="79" t="n">
        <v>179269</v>
      </c>
      <c r="C348" s="80" t="s">
        <v>563</v>
      </c>
      <c r="D348" s="80" t="s">
        <v>506</v>
      </c>
      <c r="E348" s="52" t="s">
        <v>564</v>
      </c>
      <c r="F348" s="9" t="n">
        <v>1301036</v>
      </c>
      <c r="G348" s="9" t="n">
        <v>147143</v>
      </c>
      <c r="H348" s="9" t="n">
        <v>1</v>
      </c>
      <c r="I348" s="10" t="s">
        <v>577</v>
      </c>
      <c r="J348" s="9" t="n">
        <v>72</v>
      </c>
      <c r="K348" s="9" t="s">
        <v>566</v>
      </c>
      <c r="L348" s="11" t="n">
        <v>403.78</v>
      </c>
      <c r="M348" s="11" t="n">
        <f aca="false">J348*L348</f>
        <v>29072.16</v>
      </c>
      <c r="N348" s="8" t="s">
        <v>18</v>
      </c>
    </row>
    <row r="349" customFormat="false" ht="51" hidden="false" customHeight="true" outlineLevel="0" collapsed="false">
      <c r="A349" s="78"/>
      <c r="B349" s="79"/>
      <c r="C349" s="80"/>
      <c r="D349" s="80"/>
      <c r="E349" s="52" t="s">
        <v>564</v>
      </c>
      <c r="F349" s="9" t="n">
        <v>1301099</v>
      </c>
      <c r="G349" s="9" t="n">
        <v>147143</v>
      </c>
      <c r="H349" s="9" t="n">
        <v>2</v>
      </c>
      <c r="I349" s="10" t="s">
        <v>104</v>
      </c>
      <c r="J349" s="9" t="n">
        <v>17</v>
      </c>
      <c r="K349" s="9" t="s">
        <v>566</v>
      </c>
      <c r="L349" s="11" t="n">
        <v>792.29</v>
      </c>
      <c r="M349" s="81" t="n">
        <v>13865.08</v>
      </c>
      <c r="N349" s="8" t="s">
        <v>18</v>
      </c>
    </row>
    <row r="350" customFormat="false" ht="64.5" hidden="false" customHeight="true" outlineLevel="0" collapsed="false">
      <c r="A350" s="78"/>
      <c r="B350" s="79"/>
      <c r="C350" s="80"/>
      <c r="D350" s="80"/>
      <c r="E350" s="52" t="s">
        <v>564</v>
      </c>
      <c r="F350" s="9" t="n">
        <v>1301017</v>
      </c>
      <c r="G350" s="9" t="n">
        <v>147143</v>
      </c>
      <c r="H350" s="9" t="n">
        <v>3</v>
      </c>
      <c r="I350" s="10" t="s">
        <v>578</v>
      </c>
      <c r="J350" s="9" t="n">
        <v>17</v>
      </c>
      <c r="K350" s="9" t="s">
        <v>566</v>
      </c>
      <c r="L350" s="11" t="n">
        <v>617.2</v>
      </c>
      <c r="M350" s="11" t="s">
        <v>579</v>
      </c>
      <c r="N350" s="8" t="s">
        <v>18</v>
      </c>
      <c r="O350" s="25" t="n">
        <f aca="false">SUM(M348:M350)</f>
        <v>42937.24</v>
      </c>
    </row>
    <row r="351" customFormat="false" ht="64.5" hidden="false" customHeight="true" outlineLevel="0" collapsed="false">
      <c r="A351" s="78"/>
      <c r="B351" s="79"/>
      <c r="C351" s="80"/>
      <c r="D351" s="80"/>
      <c r="E351" s="52" t="s">
        <v>564</v>
      </c>
      <c r="F351" s="82" t="n">
        <v>8018001</v>
      </c>
      <c r="G351" s="82" t="s">
        <v>580</v>
      </c>
      <c r="H351" s="82" t="n">
        <v>4</v>
      </c>
      <c r="I351" s="83" t="s">
        <v>581</v>
      </c>
      <c r="J351" s="82" t="n">
        <v>100</v>
      </c>
      <c r="K351" s="53" t="s">
        <v>566</v>
      </c>
      <c r="L351" s="82"/>
      <c r="M351" s="82"/>
      <c r="N351" s="29" t="s">
        <v>582</v>
      </c>
    </row>
    <row r="352" customFormat="false" ht="13.5" hidden="false" customHeight="false" outlineLevel="0" collapsed="false">
      <c r="A352" s="57" t="s">
        <v>0</v>
      </c>
      <c r="B352" s="57" t="s">
        <v>1</v>
      </c>
      <c r="C352" s="57" t="s">
        <v>2</v>
      </c>
      <c r="D352" s="57" t="s">
        <v>531</v>
      </c>
      <c r="E352" s="65" t="s">
        <v>325</v>
      </c>
      <c r="F352" s="57" t="s">
        <v>4</v>
      </c>
      <c r="G352" s="57" t="s">
        <v>5</v>
      </c>
      <c r="H352" s="57" t="s">
        <v>6</v>
      </c>
      <c r="I352" s="57" t="s">
        <v>7</v>
      </c>
      <c r="J352" s="65" t="s">
        <v>8</v>
      </c>
      <c r="K352" s="65" t="s">
        <v>9</v>
      </c>
      <c r="L352" s="65" t="s">
        <v>498</v>
      </c>
      <c r="M352" s="65" t="s">
        <v>499</v>
      </c>
      <c r="N352" s="65" t="s">
        <v>583</v>
      </c>
    </row>
    <row r="353" customFormat="false" ht="39.55" hidden="false" customHeight="true" outlineLevel="0" collapsed="false">
      <c r="A353" s="4" t="n">
        <v>46119</v>
      </c>
      <c r="B353" s="5" t="n">
        <v>179373</v>
      </c>
      <c r="C353" s="6" t="s">
        <v>584</v>
      </c>
      <c r="D353" s="6" t="s">
        <v>533</v>
      </c>
      <c r="E353" s="52" t="s">
        <v>515</v>
      </c>
      <c r="F353" s="31" t="s">
        <v>309</v>
      </c>
      <c r="G353" s="9" t="n">
        <v>147063</v>
      </c>
      <c r="H353" s="31" t="s">
        <v>154</v>
      </c>
      <c r="I353" s="10" t="s">
        <v>311</v>
      </c>
      <c r="J353" s="31" t="s">
        <v>154</v>
      </c>
      <c r="K353" s="31" t="s">
        <v>21</v>
      </c>
      <c r="L353" s="11" t="n">
        <v>8399</v>
      </c>
      <c r="M353" s="11" t="n">
        <v>8399</v>
      </c>
      <c r="N353" s="9" t="s">
        <v>18</v>
      </c>
    </row>
    <row r="354" customFormat="false" ht="26.85" hidden="false" customHeight="false" outlineLevel="0" collapsed="false">
      <c r="A354" s="4"/>
      <c r="B354" s="5"/>
      <c r="C354" s="6"/>
      <c r="D354" s="6"/>
      <c r="E354" s="52" t="s">
        <v>515</v>
      </c>
      <c r="F354" s="31" t="s">
        <v>312</v>
      </c>
      <c r="G354" s="9" t="n">
        <v>147063</v>
      </c>
      <c r="H354" s="31" t="s">
        <v>159</v>
      </c>
      <c r="I354" s="10" t="s">
        <v>314</v>
      </c>
      <c r="J354" s="31" t="s">
        <v>154</v>
      </c>
      <c r="K354" s="31" t="s">
        <v>21</v>
      </c>
      <c r="L354" s="11" t="n">
        <v>5410</v>
      </c>
      <c r="M354" s="11" t="n">
        <v>5410</v>
      </c>
      <c r="N354" s="9" t="s">
        <v>18</v>
      </c>
    </row>
    <row r="355" customFormat="false" ht="26.85" hidden="false" customHeight="false" outlineLevel="0" collapsed="false">
      <c r="A355" s="4"/>
      <c r="B355" s="5"/>
      <c r="C355" s="6"/>
      <c r="D355" s="6"/>
      <c r="E355" s="52" t="s">
        <v>515</v>
      </c>
      <c r="F355" s="31" t="s">
        <v>219</v>
      </c>
      <c r="G355" s="9" t="n">
        <v>147064</v>
      </c>
      <c r="H355" s="31" t="s">
        <v>99</v>
      </c>
      <c r="I355" s="10" t="s">
        <v>220</v>
      </c>
      <c r="J355" s="31" t="s">
        <v>307</v>
      </c>
      <c r="K355" s="31" t="s">
        <v>216</v>
      </c>
      <c r="L355" s="11" t="n">
        <v>5713.55</v>
      </c>
      <c r="M355" s="11" t="n">
        <v>207516.13</v>
      </c>
      <c r="N355" s="9" t="s">
        <v>18</v>
      </c>
    </row>
    <row r="356" customFormat="false" ht="26.85" hidden="false" customHeight="false" outlineLevel="0" collapsed="false">
      <c r="A356" s="4"/>
      <c r="B356" s="5"/>
      <c r="C356" s="6"/>
      <c r="D356" s="6"/>
      <c r="E356" s="52" t="s">
        <v>515</v>
      </c>
      <c r="F356" s="7" t="s">
        <v>373</v>
      </c>
      <c r="G356" s="9" t="n">
        <v>147063</v>
      </c>
      <c r="H356" s="31" t="s">
        <v>224</v>
      </c>
      <c r="I356" s="10" t="s">
        <v>374</v>
      </c>
      <c r="J356" s="31" t="s">
        <v>246</v>
      </c>
      <c r="K356" s="31" t="s">
        <v>21</v>
      </c>
      <c r="L356" s="11" t="n">
        <v>291</v>
      </c>
      <c r="M356" s="11" t="n">
        <v>3492</v>
      </c>
      <c r="N356" s="9" t="s">
        <v>18</v>
      </c>
    </row>
    <row r="357" customFormat="false" ht="52.5" hidden="false" customHeight="true" outlineLevel="0" collapsed="false">
      <c r="A357" s="4"/>
      <c r="B357" s="5"/>
      <c r="C357" s="6"/>
      <c r="D357" s="6"/>
      <c r="E357" s="52" t="s">
        <v>515</v>
      </c>
      <c r="F357" s="7" t="s">
        <v>585</v>
      </c>
      <c r="G357" s="9" t="n">
        <v>147063</v>
      </c>
      <c r="H357" s="31" t="s">
        <v>119</v>
      </c>
      <c r="I357" s="10" t="s">
        <v>586</v>
      </c>
      <c r="J357" s="31" t="s">
        <v>229</v>
      </c>
      <c r="K357" s="31" t="s">
        <v>21</v>
      </c>
      <c r="L357" s="11" t="n">
        <v>1240</v>
      </c>
      <c r="M357" s="11" t="n">
        <v>7440</v>
      </c>
      <c r="N357" s="9" t="s">
        <v>18</v>
      </c>
    </row>
    <row r="358" customFormat="false" ht="81" hidden="false" customHeight="true" outlineLevel="0" collapsed="false">
      <c r="A358" s="4"/>
      <c r="B358" s="5"/>
      <c r="C358" s="6"/>
      <c r="D358" s="6"/>
      <c r="E358" s="52" t="s">
        <v>515</v>
      </c>
      <c r="F358" s="7" t="s">
        <v>587</v>
      </c>
      <c r="G358" s="9" t="n">
        <v>147063</v>
      </c>
      <c r="H358" s="31" t="s">
        <v>229</v>
      </c>
      <c r="I358" s="10" t="s">
        <v>588</v>
      </c>
      <c r="J358" s="9" t="n">
        <v>6</v>
      </c>
      <c r="K358" s="31" t="s">
        <v>21</v>
      </c>
      <c r="L358" s="11" t="n">
        <v>4840</v>
      </c>
      <c r="M358" s="11" t="n">
        <v>29040</v>
      </c>
      <c r="N358" s="9" t="s">
        <v>18</v>
      </c>
    </row>
    <row r="359" customFormat="false" ht="13.5" hidden="false" customHeight="false" outlineLevel="0" collapsed="false">
      <c r="A359" s="57" t="s">
        <v>0</v>
      </c>
      <c r="B359" s="57" t="s">
        <v>1</v>
      </c>
      <c r="C359" s="57" t="s">
        <v>2</v>
      </c>
      <c r="D359" s="57" t="s">
        <v>531</v>
      </c>
      <c r="E359" s="65" t="s">
        <v>325</v>
      </c>
      <c r="F359" s="57" t="s">
        <v>4</v>
      </c>
      <c r="G359" s="57" t="s">
        <v>5</v>
      </c>
      <c r="H359" s="57" t="s">
        <v>6</v>
      </c>
      <c r="I359" s="57" t="s">
        <v>7</v>
      </c>
      <c r="J359" s="65" t="s">
        <v>8</v>
      </c>
      <c r="K359" s="65" t="s">
        <v>9</v>
      </c>
      <c r="L359" s="65" t="s">
        <v>498</v>
      </c>
      <c r="M359" s="65" t="s">
        <v>499</v>
      </c>
      <c r="N359" s="65" t="s">
        <v>500</v>
      </c>
    </row>
    <row r="360" customFormat="false" ht="26.85" hidden="false" customHeight="true" outlineLevel="0" collapsed="false">
      <c r="A360" s="67" t="n">
        <v>46125</v>
      </c>
      <c r="B360" s="52" t="n">
        <v>180036</v>
      </c>
      <c r="C360" s="68" t="s">
        <v>589</v>
      </c>
      <c r="D360" s="68" t="s">
        <v>506</v>
      </c>
      <c r="E360" s="52" t="s">
        <v>564</v>
      </c>
      <c r="F360" s="9" t="n">
        <v>1301100</v>
      </c>
      <c r="G360" s="9" t="n">
        <v>147547</v>
      </c>
      <c r="H360" s="9" t="n">
        <v>1</v>
      </c>
      <c r="I360" s="27" t="s">
        <v>208</v>
      </c>
      <c r="J360" s="9" t="n">
        <v>60</v>
      </c>
      <c r="K360" s="9" t="s">
        <v>566</v>
      </c>
      <c r="L360" s="11" t="n">
        <v>359.81</v>
      </c>
      <c r="M360" s="11" t="n">
        <v>21588.6</v>
      </c>
      <c r="N360" s="9" t="s">
        <v>18</v>
      </c>
    </row>
    <row r="361" customFormat="false" ht="26.85" hidden="false" customHeight="false" outlineLevel="0" collapsed="false">
      <c r="A361" s="67"/>
      <c r="B361" s="52"/>
      <c r="C361" s="68"/>
      <c r="D361" s="68"/>
      <c r="E361" s="52" t="s">
        <v>564</v>
      </c>
      <c r="F361" s="7" t="s">
        <v>590</v>
      </c>
      <c r="G361" s="9" t="n">
        <v>147575</v>
      </c>
      <c r="H361" s="9" t="n">
        <v>2</v>
      </c>
      <c r="I361" s="27" t="s">
        <v>591</v>
      </c>
      <c r="J361" s="9" t="n">
        <v>3</v>
      </c>
      <c r="K361" s="9" t="s">
        <v>592</v>
      </c>
      <c r="L361" s="11" t="n">
        <v>1060.34</v>
      </c>
      <c r="M361" s="11" t="n">
        <v>3181.03</v>
      </c>
      <c r="N361" s="9" t="s">
        <v>18</v>
      </c>
    </row>
    <row r="362" customFormat="false" ht="13.5" hidden="false" customHeight="false" outlineLevel="0" collapsed="false">
      <c r="A362" s="57" t="s">
        <v>0</v>
      </c>
      <c r="B362" s="57" t="s">
        <v>1</v>
      </c>
      <c r="C362" s="57" t="s">
        <v>2</v>
      </c>
      <c r="D362" s="57" t="s">
        <v>531</v>
      </c>
      <c r="E362" s="65" t="s">
        <v>325</v>
      </c>
      <c r="F362" s="57" t="s">
        <v>4</v>
      </c>
      <c r="G362" s="57" t="s">
        <v>5</v>
      </c>
      <c r="H362" s="57" t="s">
        <v>6</v>
      </c>
      <c r="I362" s="57" t="s">
        <v>7</v>
      </c>
      <c r="J362" s="65" t="s">
        <v>8</v>
      </c>
      <c r="K362" s="65" t="s">
        <v>9</v>
      </c>
      <c r="L362" s="65" t="s">
        <v>498</v>
      </c>
      <c r="M362" s="65" t="s">
        <v>499</v>
      </c>
      <c r="N362" s="65" t="s">
        <v>500</v>
      </c>
    </row>
    <row r="363" customFormat="false" ht="39" hidden="false" customHeight="true" outlineLevel="0" collapsed="false">
      <c r="A363" s="67" t="n">
        <v>46126</v>
      </c>
      <c r="B363" s="52" t="n">
        <v>180196</v>
      </c>
      <c r="C363" s="52" t="s">
        <v>593</v>
      </c>
      <c r="D363" s="68" t="s">
        <v>506</v>
      </c>
      <c r="E363" s="52" t="s">
        <v>515</v>
      </c>
      <c r="F363" s="7" t="s">
        <v>594</v>
      </c>
      <c r="G363" s="9" t="n">
        <v>147672</v>
      </c>
      <c r="H363" s="9" t="n">
        <v>1</v>
      </c>
      <c r="I363" s="10" t="s">
        <v>595</v>
      </c>
      <c r="J363" s="9" t="n">
        <v>6</v>
      </c>
      <c r="K363" s="9" t="s">
        <v>592</v>
      </c>
      <c r="L363" s="11" t="n">
        <v>276.25</v>
      </c>
      <c r="M363" s="11" t="n">
        <v>1657.5</v>
      </c>
      <c r="N363" s="9" t="s">
        <v>596</v>
      </c>
    </row>
    <row r="364" customFormat="false" ht="39" hidden="false" customHeight="true" outlineLevel="0" collapsed="false">
      <c r="A364" s="67"/>
      <c r="B364" s="52"/>
      <c r="C364" s="52"/>
      <c r="D364" s="68"/>
      <c r="E364" s="52" t="s">
        <v>515</v>
      </c>
      <c r="F364" s="7" t="s">
        <v>597</v>
      </c>
      <c r="G364" s="9" t="n">
        <v>147672</v>
      </c>
      <c r="H364" s="9" t="n">
        <v>2</v>
      </c>
      <c r="I364" s="10" t="s">
        <v>598</v>
      </c>
      <c r="J364" s="9" t="n">
        <v>1</v>
      </c>
      <c r="K364" s="9" t="s">
        <v>592</v>
      </c>
      <c r="L364" s="11" t="n">
        <v>525</v>
      </c>
      <c r="M364" s="11" t="n">
        <v>525</v>
      </c>
      <c r="N364" s="9" t="s">
        <v>596</v>
      </c>
    </row>
    <row r="365" customFormat="false" ht="52.5" hidden="false" customHeight="true" outlineLevel="0" collapsed="false">
      <c r="A365" s="67"/>
      <c r="B365" s="52"/>
      <c r="C365" s="52"/>
      <c r="D365" s="68"/>
      <c r="E365" s="52" t="s">
        <v>515</v>
      </c>
      <c r="F365" s="7" t="s">
        <v>599</v>
      </c>
      <c r="G365" s="9" t="n">
        <v>147673</v>
      </c>
      <c r="H365" s="9" t="n">
        <v>3</v>
      </c>
      <c r="I365" s="10" t="s">
        <v>600</v>
      </c>
      <c r="J365" s="9" t="n">
        <v>8</v>
      </c>
      <c r="K365" s="9" t="s">
        <v>592</v>
      </c>
      <c r="L365" s="11" t="n">
        <v>200</v>
      </c>
      <c r="M365" s="11" t="n">
        <v>1600</v>
      </c>
      <c r="N365" s="9" t="s">
        <v>596</v>
      </c>
    </row>
    <row r="366" customFormat="false" ht="73.5" hidden="false" customHeight="true" outlineLevel="0" collapsed="false">
      <c r="A366" s="67"/>
      <c r="B366" s="52"/>
      <c r="C366" s="52"/>
      <c r="D366" s="68"/>
      <c r="E366" s="52" t="s">
        <v>515</v>
      </c>
      <c r="F366" s="7" t="s">
        <v>601</v>
      </c>
      <c r="G366" s="9" t="n">
        <v>147674</v>
      </c>
      <c r="H366" s="9" t="n">
        <v>4</v>
      </c>
      <c r="I366" s="10" t="s">
        <v>602</v>
      </c>
      <c r="J366" s="9" t="n">
        <v>8</v>
      </c>
      <c r="K366" s="9" t="s">
        <v>592</v>
      </c>
      <c r="L366" s="11" t="n">
        <v>95</v>
      </c>
      <c r="M366" s="11" t="n">
        <v>760</v>
      </c>
      <c r="N366" s="9" t="s">
        <v>596</v>
      </c>
    </row>
    <row r="367" customFormat="false" ht="51" hidden="false" customHeight="true" outlineLevel="0" collapsed="false">
      <c r="A367" s="67"/>
      <c r="B367" s="52"/>
      <c r="C367" s="52"/>
      <c r="D367" s="68"/>
      <c r="E367" s="52" t="s">
        <v>515</v>
      </c>
      <c r="F367" s="7" t="s">
        <v>603</v>
      </c>
      <c r="G367" s="9" t="n">
        <v>147674</v>
      </c>
      <c r="H367" s="9" t="n">
        <v>5</v>
      </c>
      <c r="I367" s="10" t="s">
        <v>604</v>
      </c>
      <c r="J367" s="9" t="n">
        <v>32</v>
      </c>
      <c r="K367" s="9" t="s">
        <v>592</v>
      </c>
      <c r="L367" s="11" t="n">
        <v>45</v>
      </c>
      <c r="M367" s="11" t="n">
        <v>1440</v>
      </c>
      <c r="N367" s="9" t="s">
        <v>596</v>
      </c>
    </row>
    <row r="368" customFormat="false" ht="39" hidden="false" customHeight="true" outlineLevel="0" collapsed="false">
      <c r="A368" s="67"/>
      <c r="B368" s="52"/>
      <c r="C368" s="52"/>
      <c r="D368" s="68"/>
      <c r="E368" s="52" t="s">
        <v>515</v>
      </c>
      <c r="F368" s="7" t="s">
        <v>605</v>
      </c>
      <c r="G368" s="9" t="n">
        <v>147673</v>
      </c>
      <c r="H368" s="9" t="n">
        <v>6</v>
      </c>
      <c r="I368" s="10" t="s">
        <v>606</v>
      </c>
      <c r="J368" s="9" t="n">
        <v>1</v>
      </c>
      <c r="K368" s="9" t="s">
        <v>592</v>
      </c>
      <c r="L368" s="11" t="n">
        <v>2800</v>
      </c>
      <c r="M368" s="11" t="n">
        <v>2800</v>
      </c>
      <c r="N368" s="9" t="s">
        <v>596</v>
      </c>
    </row>
    <row r="369" customFormat="false" ht="39" hidden="false" customHeight="true" outlineLevel="0" collapsed="false">
      <c r="A369" s="67"/>
      <c r="B369" s="52"/>
      <c r="C369" s="52"/>
      <c r="D369" s="68"/>
      <c r="E369" s="52" t="s">
        <v>515</v>
      </c>
      <c r="F369" s="7" t="s">
        <v>607</v>
      </c>
      <c r="G369" s="9" t="n">
        <v>147673</v>
      </c>
      <c r="H369" s="9" t="n">
        <v>7</v>
      </c>
      <c r="I369" s="10" t="s">
        <v>608</v>
      </c>
      <c r="J369" s="9" t="n">
        <v>2</v>
      </c>
      <c r="K369" s="9" t="s">
        <v>592</v>
      </c>
      <c r="L369" s="11" t="n">
        <v>80</v>
      </c>
      <c r="M369" s="11" t="n">
        <v>160</v>
      </c>
      <c r="N369" s="9" t="s">
        <v>596</v>
      </c>
    </row>
    <row r="370" customFormat="false" ht="39" hidden="false" customHeight="true" outlineLevel="0" collapsed="false">
      <c r="A370" s="67"/>
      <c r="B370" s="52"/>
      <c r="C370" s="52"/>
      <c r="D370" s="68"/>
      <c r="E370" s="52" t="s">
        <v>515</v>
      </c>
      <c r="F370" s="7" t="s">
        <v>609</v>
      </c>
      <c r="G370" s="9" t="n">
        <v>147674</v>
      </c>
      <c r="H370" s="9" t="n">
        <v>8</v>
      </c>
      <c r="I370" s="10" t="s">
        <v>610</v>
      </c>
      <c r="J370" s="9" t="n">
        <v>2</v>
      </c>
      <c r="K370" s="9" t="s">
        <v>592</v>
      </c>
      <c r="L370" s="11" t="n">
        <v>685</v>
      </c>
      <c r="M370" s="11" t="n">
        <v>1370</v>
      </c>
      <c r="N370" s="9" t="s">
        <v>596</v>
      </c>
    </row>
    <row r="371" customFormat="false" ht="39" hidden="false" customHeight="true" outlineLevel="0" collapsed="false">
      <c r="A371" s="67"/>
      <c r="B371" s="52"/>
      <c r="C371" s="52"/>
      <c r="D371" s="68"/>
      <c r="E371" s="52" t="s">
        <v>515</v>
      </c>
      <c r="F371" s="7" t="s">
        <v>611</v>
      </c>
      <c r="G371" s="9" t="n">
        <v>147674</v>
      </c>
      <c r="H371" s="9" t="n">
        <v>9</v>
      </c>
      <c r="I371" s="10" t="s">
        <v>612</v>
      </c>
      <c r="J371" s="9" t="n">
        <v>4</v>
      </c>
      <c r="K371" s="9" t="s">
        <v>592</v>
      </c>
      <c r="L371" s="11" t="n">
        <v>90</v>
      </c>
      <c r="M371" s="11" t="n">
        <v>360</v>
      </c>
      <c r="N371" s="9" t="s">
        <v>596</v>
      </c>
    </row>
    <row r="372" customFormat="false" ht="39" hidden="false" customHeight="true" outlineLevel="0" collapsed="false">
      <c r="A372" s="67"/>
      <c r="B372" s="52"/>
      <c r="C372" s="52"/>
      <c r="D372" s="68"/>
      <c r="E372" s="52" t="s">
        <v>515</v>
      </c>
      <c r="F372" s="84" t="s">
        <v>613</v>
      </c>
      <c r="G372" s="9" t="n">
        <v>147673</v>
      </c>
      <c r="H372" s="9" t="n">
        <v>10</v>
      </c>
      <c r="I372" s="85" t="s">
        <v>614</v>
      </c>
      <c r="J372" s="9" t="n">
        <v>8</v>
      </c>
      <c r="K372" s="9" t="s">
        <v>592</v>
      </c>
      <c r="L372" s="11" t="n">
        <v>200</v>
      </c>
      <c r="M372" s="11" t="n">
        <v>1600</v>
      </c>
      <c r="N372" s="9" t="s">
        <v>596</v>
      </c>
    </row>
    <row r="373" customFormat="false" ht="39" hidden="false" customHeight="true" outlineLevel="0" collapsed="false">
      <c r="A373" s="67"/>
      <c r="B373" s="52"/>
      <c r="C373" s="52"/>
      <c r="D373" s="68"/>
      <c r="E373" s="52" t="s">
        <v>515</v>
      </c>
      <c r="F373" s="84" t="s">
        <v>615</v>
      </c>
      <c r="G373" s="9" t="n">
        <v>147673</v>
      </c>
      <c r="H373" s="9" t="n">
        <v>11</v>
      </c>
      <c r="I373" s="85" t="s">
        <v>616</v>
      </c>
      <c r="J373" s="9" t="n">
        <v>2</v>
      </c>
      <c r="K373" s="9" t="s">
        <v>592</v>
      </c>
      <c r="L373" s="11" t="n">
        <v>800</v>
      </c>
      <c r="M373" s="11" t="n">
        <v>1600</v>
      </c>
      <c r="N373" s="9" t="s">
        <v>596</v>
      </c>
    </row>
    <row r="374" customFormat="false" ht="39" hidden="false" customHeight="true" outlineLevel="0" collapsed="false">
      <c r="A374" s="67"/>
      <c r="B374" s="52"/>
      <c r="C374" s="52"/>
      <c r="D374" s="68"/>
      <c r="E374" s="52" t="s">
        <v>515</v>
      </c>
      <c r="F374" s="84" t="s">
        <v>617</v>
      </c>
      <c r="G374" s="9" t="n">
        <v>147673</v>
      </c>
      <c r="H374" s="9" t="n">
        <v>12</v>
      </c>
      <c r="I374" s="85" t="s">
        <v>618</v>
      </c>
      <c r="J374" s="9" t="n">
        <v>4</v>
      </c>
      <c r="K374" s="9" t="s">
        <v>592</v>
      </c>
      <c r="L374" s="11" t="n">
        <v>260</v>
      </c>
      <c r="M374" s="11" t="n">
        <v>1040</v>
      </c>
      <c r="N374" s="9" t="s">
        <v>596</v>
      </c>
    </row>
    <row r="375" customFormat="false" ht="52.2" hidden="false" customHeight="false" outlineLevel="0" collapsed="false">
      <c r="A375" s="67"/>
      <c r="B375" s="52"/>
      <c r="C375" s="52"/>
      <c r="D375" s="68"/>
      <c r="E375" s="52" t="s">
        <v>515</v>
      </c>
      <c r="F375" s="84" t="s">
        <v>619</v>
      </c>
      <c r="G375" s="9" t="n">
        <v>147672</v>
      </c>
      <c r="H375" s="9" t="n">
        <v>13</v>
      </c>
      <c r="I375" s="85" t="s">
        <v>620</v>
      </c>
      <c r="J375" s="9" t="n">
        <v>6</v>
      </c>
      <c r="K375" s="9" t="s">
        <v>592</v>
      </c>
      <c r="L375" s="11" t="n">
        <v>1778.05</v>
      </c>
      <c r="M375" s="11" t="n">
        <v>10668.3</v>
      </c>
      <c r="N375" s="9" t="s">
        <v>596</v>
      </c>
    </row>
    <row r="376" customFormat="false" ht="13.5" hidden="false" customHeight="false" outlineLevel="0" collapsed="false">
      <c r="A376" s="57" t="s">
        <v>0</v>
      </c>
      <c r="B376" s="57" t="s">
        <v>1</v>
      </c>
      <c r="C376" s="57" t="s">
        <v>2</v>
      </c>
      <c r="D376" s="57" t="s">
        <v>531</v>
      </c>
      <c r="E376" s="65" t="s">
        <v>325</v>
      </c>
      <c r="F376" s="57" t="s">
        <v>4</v>
      </c>
      <c r="G376" s="57" t="s">
        <v>5</v>
      </c>
      <c r="H376" s="57" t="s">
        <v>6</v>
      </c>
      <c r="I376" s="57" t="s">
        <v>7</v>
      </c>
      <c r="J376" s="65" t="s">
        <v>8</v>
      </c>
      <c r="K376" s="65" t="s">
        <v>9</v>
      </c>
      <c r="L376" s="65" t="s">
        <v>498</v>
      </c>
      <c r="M376" s="65" t="s">
        <v>499</v>
      </c>
      <c r="N376" s="65" t="s">
        <v>500</v>
      </c>
    </row>
    <row r="377" customFormat="false" ht="39.55" hidden="false" customHeight="false" outlineLevel="0" collapsed="false">
      <c r="A377" s="52" t="s">
        <v>621</v>
      </c>
      <c r="B377" s="52" t="n">
        <v>180339</v>
      </c>
      <c r="C377" s="68" t="s">
        <v>622</v>
      </c>
      <c r="D377" s="68" t="s">
        <v>506</v>
      </c>
      <c r="E377" s="52" t="s">
        <v>515</v>
      </c>
      <c r="F377" s="7" t="s">
        <v>623</v>
      </c>
      <c r="G377" s="9" t="n">
        <v>147228</v>
      </c>
      <c r="H377" s="9" t="n">
        <v>1</v>
      </c>
      <c r="I377" s="10" t="s">
        <v>624</v>
      </c>
      <c r="J377" s="9" t="n">
        <v>1</v>
      </c>
      <c r="K377" s="9" t="s">
        <v>592</v>
      </c>
      <c r="L377" s="11" t="n">
        <v>128000</v>
      </c>
      <c r="M377" s="11" t="n">
        <v>128000</v>
      </c>
      <c r="N377" s="9" t="s">
        <v>18</v>
      </c>
    </row>
    <row r="378" customFormat="false" ht="13.5" hidden="false" customHeight="false" outlineLevel="0" collapsed="false">
      <c r="A378" s="57" t="s">
        <v>0</v>
      </c>
      <c r="B378" s="57" t="s">
        <v>1</v>
      </c>
      <c r="C378" s="57" t="s">
        <v>2</v>
      </c>
      <c r="D378" s="57" t="s">
        <v>531</v>
      </c>
      <c r="E378" s="65" t="s">
        <v>325</v>
      </c>
      <c r="F378" s="57" t="s">
        <v>4</v>
      </c>
      <c r="G378" s="57" t="s">
        <v>5</v>
      </c>
      <c r="H378" s="57" t="s">
        <v>6</v>
      </c>
      <c r="I378" s="57" t="s">
        <v>7</v>
      </c>
      <c r="J378" s="65" t="s">
        <v>8</v>
      </c>
      <c r="K378" s="65" t="s">
        <v>9</v>
      </c>
      <c r="L378" s="65" t="s">
        <v>498</v>
      </c>
      <c r="M378" s="65" t="s">
        <v>499</v>
      </c>
      <c r="N378" s="65" t="s">
        <v>500</v>
      </c>
    </row>
    <row r="379" customFormat="false" ht="26.85" hidden="false" customHeight="false" outlineLevel="0" collapsed="false">
      <c r="A379" s="52" t="s">
        <v>621</v>
      </c>
      <c r="B379" s="52" t="n">
        <v>180417</v>
      </c>
      <c r="C379" s="68" t="s">
        <v>625</v>
      </c>
      <c r="D379" s="68" t="s">
        <v>506</v>
      </c>
      <c r="E379" s="52" t="s">
        <v>319</v>
      </c>
      <c r="F379" s="9" t="n">
        <v>3204004</v>
      </c>
      <c r="G379" s="9" t="s">
        <v>626</v>
      </c>
      <c r="H379" s="9" t="n">
        <v>1</v>
      </c>
      <c r="I379" s="13" t="s">
        <v>627</v>
      </c>
      <c r="J379" s="9" t="n">
        <v>4</v>
      </c>
      <c r="K379" s="9" t="s">
        <v>592</v>
      </c>
      <c r="L379" s="11" t="n">
        <v>2048.03</v>
      </c>
      <c r="M379" s="11" t="n">
        <v>8192.12</v>
      </c>
      <c r="N379" s="9" t="s">
        <v>596</v>
      </c>
    </row>
    <row r="380" customFormat="false" ht="13.5" hidden="false" customHeight="false" outlineLevel="0" collapsed="false">
      <c r="A380" s="57" t="s">
        <v>0</v>
      </c>
      <c r="B380" s="57" t="s">
        <v>1</v>
      </c>
      <c r="C380" s="57" t="s">
        <v>2</v>
      </c>
      <c r="D380" s="57" t="s">
        <v>531</v>
      </c>
      <c r="E380" s="65" t="s">
        <v>325</v>
      </c>
      <c r="F380" s="57" t="s">
        <v>4</v>
      </c>
      <c r="G380" s="57" t="s">
        <v>5</v>
      </c>
      <c r="H380" s="57" t="s">
        <v>6</v>
      </c>
      <c r="I380" s="57" t="s">
        <v>7</v>
      </c>
      <c r="J380" s="65" t="s">
        <v>8</v>
      </c>
      <c r="K380" s="65" t="s">
        <v>9</v>
      </c>
      <c r="L380" s="65" t="s">
        <v>498</v>
      </c>
      <c r="M380" s="65" t="s">
        <v>499</v>
      </c>
      <c r="N380" s="65" t="s">
        <v>500</v>
      </c>
    </row>
    <row r="381" customFormat="false" ht="13.5" hidden="false" customHeight="true" outlineLevel="0" collapsed="false">
      <c r="A381" s="67" t="n">
        <v>46129</v>
      </c>
      <c r="B381" s="52" t="n">
        <v>180717</v>
      </c>
      <c r="C381" s="68" t="s">
        <v>628</v>
      </c>
      <c r="D381" s="68" t="s">
        <v>506</v>
      </c>
      <c r="E381" s="52" t="s">
        <v>319</v>
      </c>
      <c r="F381" s="9" t="n">
        <v>4011090</v>
      </c>
      <c r="G381" s="9" t="n">
        <v>147679</v>
      </c>
      <c r="H381" s="9" t="n">
        <v>1</v>
      </c>
      <c r="I381" s="13" t="s">
        <v>629</v>
      </c>
      <c r="J381" s="9" t="n">
        <v>4</v>
      </c>
      <c r="K381" s="9" t="s">
        <v>592</v>
      </c>
      <c r="L381" s="11" t="n">
        <v>1950</v>
      </c>
      <c r="M381" s="11" t="n">
        <v>7800</v>
      </c>
      <c r="N381" s="9" t="s">
        <v>596</v>
      </c>
    </row>
    <row r="382" customFormat="false" ht="13.5" hidden="false" customHeight="false" outlineLevel="0" collapsed="false">
      <c r="A382" s="67"/>
      <c r="B382" s="52"/>
      <c r="C382" s="68"/>
      <c r="D382" s="68"/>
      <c r="E382" s="52" t="s">
        <v>515</v>
      </c>
      <c r="F382" s="86" t="s">
        <v>630</v>
      </c>
      <c r="G382" s="52" t="s">
        <v>631</v>
      </c>
      <c r="H382" s="52" t="n">
        <v>2</v>
      </c>
      <c r="I382" s="87" t="s">
        <v>632</v>
      </c>
      <c r="J382" s="52" t="n">
        <v>1</v>
      </c>
      <c r="K382" s="52" t="s">
        <v>592</v>
      </c>
      <c r="L382" s="77" t="n">
        <v>120000</v>
      </c>
      <c r="M382" s="77" t="n">
        <v>120000</v>
      </c>
      <c r="N382" s="52" t="s">
        <v>194</v>
      </c>
    </row>
    <row r="383" customFormat="false" ht="13.5" hidden="false" customHeight="false" outlineLevel="0" collapsed="false">
      <c r="A383" s="57" t="s">
        <v>0</v>
      </c>
      <c r="B383" s="57" t="s">
        <v>1</v>
      </c>
      <c r="C383" s="57" t="s">
        <v>2</v>
      </c>
      <c r="D383" s="57" t="s">
        <v>531</v>
      </c>
      <c r="E383" s="65" t="s">
        <v>325</v>
      </c>
      <c r="F383" s="57" t="s">
        <v>4</v>
      </c>
      <c r="G383" s="57" t="s">
        <v>5</v>
      </c>
      <c r="H383" s="57" t="s">
        <v>6</v>
      </c>
      <c r="I383" s="57" t="s">
        <v>7</v>
      </c>
      <c r="J383" s="65" t="s">
        <v>8</v>
      </c>
      <c r="K383" s="65" t="s">
        <v>9</v>
      </c>
      <c r="L383" s="65" t="s">
        <v>498</v>
      </c>
      <c r="M383" s="65" t="s">
        <v>499</v>
      </c>
      <c r="N383" s="65" t="s">
        <v>500</v>
      </c>
    </row>
    <row r="384" customFormat="false" ht="13.5" hidden="false" customHeight="true" outlineLevel="0" collapsed="false">
      <c r="A384" s="67" t="n">
        <v>46133</v>
      </c>
      <c r="B384" s="52" t="n">
        <v>181133</v>
      </c>
      <c r="C384" s="68" t="s">
        <v>633</v>
      </c>
      <c r="D384" s="68" t="s">
        <v>506</v>
      </c>
      <c r="E384" s="52" t="s">
        <v>564</v>
      </c>
      <c r="F384" s="9" t="n">
        <v>1306014</v>
      </c>
      <c r="G384" s="9" t="n">
        <v>147571</v>
      </c>
      <c r="H384" s="9" t="n">
        <v>1</v>
      </c>
      <c r="I384" s="13" t="s">
        <v>634</v>
      </c>
      <c r="J384" s="9" t="n">
        <v>200</v>
      </c>
      <c r="K384" s="9" t="s">
        <v>566</v>
      </c>
      <c r="L384" s="11" t="n">
        <v>43.91</v>
      </c>
      <c r="M384" s="11" t="n">
        <v>8782.98</v>
      </c>
      <c r="N384" s="9" t="s">
        <v>596</v>
      </c>
    </row>
    <row r="385" customFormat="false" ht="13.5" hidden="false" customHeight="false" outlineLevel="0" collapsed="false">
      <c r="A385" s="67"/>
      <c r="B385" s="52"/>
      <c r="C385" s="68"/>
      <c r="D385" s="68"/>
      <c r="E385" s="52" t="s">
        <v>564</v>
      </c>
      <c r="F385" s="9" t="n">
        <v>1306012</v>
      </c>
      <c r="G385" s="9" t="n">
        <v>147572</v>
      </c>
      <c r="H385" s="9" t="n">
        <v>2</v>
      </c>
      <c r="I385" s="13" t="s">
        <v>635</v>
      </c>
      <c r="J385" s="9" t="n">
        <v>209</v>
      </c>
      <c r="K385" s="9" t="s">
        <v>566</v>
      </c>
      <c r="L385" s="11" t="n">
        <v>250.68</v>
      </c>
      <c r="M385" s="11" t="n">
        <v>52392.12</v>
      </c>
      <c r="N385" s="9" t="s">
        <v>596</v>
      </c>
    </row>
    <row r="386" customFormat="false" ht="13.5" hidden="false" customHeight="false" outlineLevel="0" collapsed="false">
      <c r="A386" s="57" t="s">
        <v>0</v>
      </c>
      <c r="B386" s="57" t="s">
        <v>1</v>
      </c>
      <c r="C386" s="57" t="s">
        <v>2</v>
      </c>
      <c r="D386" s="57" t="s">
        <v>531</v>
      </c>
      <c r="E386" s="65" t="s">
        <v>325</v>
      </c>
      <c r="F386" s="57" t="s">
        <v>4</v>
      </c>
      <c r="G386" s="57" t="s">
        <v>5</v>
      </c>
      <c r="H386" s="57" t="s">
        <v>6</v>
      </c>
      <c r="I386" s="57" t="s">
        <v>7</v>
      </c>
      <c r="J386" s="65" t="s">
        <v>8</v>
      </c>
      <c r="K386" s="65" t="s">
        <v>9</v>
      </c>
      <c r="L386" s="65" t="s">
        <v>498</v>
      </c>
      <c r="M386" s="65" t="s">
        <v>499</v>
      </c>
      <c r="N386" s="65" t="s">
        <v>500</v>
      </c>
    </row>
    <row r="387" customFormat="false" ht="39.55" hidden="false" customHeight="true" outlineLevel="0" collapsed="false">
      <c r="A387" s="67" t="n">
        <v>46134</v>
      </c>
      <c r="B387" s="52" t="n">
        <v>181275</v>
      </c>
      <c r="C387" s="68" t="s">
        <v>636</v>
      </c>
      <c r="D387" s="68" t="s">
        <v>506</v>
      </c>
      <c r="E387" s="52" t="s">
        <v>515</v>
      </c>
      <c r="F387" s="31" t="s">
        <v>309</v>
      </c>
      <c r="G387" s="9" t="n">
        <v>148267</v>
      </c>
      <c r="H387" s="31" t="s">
        <v>154</v>
      </c>
      <c r="I387" s="10" t="s">
        <v>311</v>
      </c>
      <c r="J387" s="9" t="n">
        <v>1</v>
      </c>
      <c r="K387" s="9" t="s">
        <v>21</v>
      </c>
      <c r="L387" s="11" t="n">
        <v>8399</v>
      </c>
      <c r="M387" s="11" t="n">
        <v>8399</v>
      </c>
      <c r="N387" s="9" t="s">
        <v>596</v>
      </c>
    </row>
    <row r="388" customFormat="false" ht="26.85" hidden="false" customHeight="false" outlineLevel="0" collapsed="false">
      <c r="A388" s="67"/>
      <c r="B388" s="52"/>
      <c r="C388" s="68"/>
      <c r="D388" s="68"/>
      <c r="E388" s="52" t="s">
        <v>515</v>
      </c>
      <c r="F388" s="31" t="s">
        <v>312</v>
      </c>
      <c r="G388" s="9" t="n">
        <v>148267</v>
      </c>
      <c r="H388" s="31" t="s">
        <v>159</v>
      </c>
      <c r="I388" s="10" t="s">
        <v>314</v>
      </c>
      <c r="J388" s="9" t="n">
        <v>1</v>
      </c>
      <c r="K388" s="9" t="s">
        <v>21</v>
      </c>
      <c r="L388" s="11" t="n">
        <v>5410</v>
      </c>
      <c r="M388" s="11" t="n">
        <v>5410</v>
      </c>
      <c r="N388" s="9" t="s">
        <v>596</v>
      </c>
    </row>
    <row r="389" customFormat="false" ht="13.5" hidden="false" customHeight="false" outlineLevel="0" collapsed="false">
      <c r="A389" s="3" t="s">
        <v>0</v>
      </c>
      <c r="B389" s="3" t="s">
        <v>1</v>
      </c>
      <c r="C389" s="3" t="s">
        <v>2</v>
      </c>
      <c r="D389" s="3" t="s">
        <v>531</v>
      </c>
      <c r="E389" s="65" t="s">
        <v>325</v>
      </c>
      <c r="F389" s="3" t="s">
        <v>4</v>
      </c>
      <c r="G389" s="3" t="s">
        <v>5</v>
      </c>
      <c r="H389" s="3" t="s">
        <v>6</v>
      </c>
      <c r="I389" s="3" t="s">
        <v>7</v>
      </c>
      <c r="J389" s="65" t="s">
        <v>8</v>
      </c>
      <c r="K389" s="65" t="s">
        <v>9</v>
      </c>
      <c r="L389" s="65" t="s">
        <v>498</v>
      </c>
      <c r="M389" s="65" t="s">
        <v>499</v>
      </c>
      <c r="N389" s="65" t="s">
        <v>500</v>
      </c>
    </row>
    <row r="390" customFormat="false" ht="13.5" hidden="false" customHeight="true" outlineLevel="0" collapsed="false">
      <c r="A390" s="78" t="n">
        <v>46139</v>
      </c>
      <c r="B390" s="79" t="n">
        <v>181600</v>
      </c>
      <c r="C390" s="79" t="s">
        <v>637</v>
      </c>
      <c r="D390" s="80" t="s">
        <v>506</v>
      </c>
      <c r="E390" s="52" t="s">
        <v>638</v>
      </c>
      <c r="F390" s="52" t="n">
        <v>5006298</v>
      </c>
      <c r="G390" s="52" t="n">
        <v>148750</v>
      </c>
      <c r="H390" s="52" t="n">
        <v>1</v>
      </c>
      <c r="I390" s="87" t="s">
        <v>639</v>
      </c>
      <c r="J390" s="52" t="n">
        <v>2</v>
      </c>
      <c r="K390" s="52" t="s">
        <v>21</v>
      </c>
      <c r="L390" s="88" t="n">
        <v>34.38</v>
      </c>
      <c r="M390" s="89" t="n">
        <f aca="false">J390*L390</f>
        <v>68.76</v>
      </c>
      <c r="N390" s="52" t="s">
        <v>570</v>
      </c>
    </row>
    <row r="391" customFormat="false" ht="13.5" hidden="false" customHeight="false" outlineLevel="0" collapsed="false">
      <c r="A391" s="78"/>
      <c r="B391" s="79"/>
      <c r="C391" s="79"/>
      <c r="D391" s="80"/>
      <c r="E391" s="52" t="s">
        <v>638</v>
      </c>
      <c r="F391" s="52" t="n">
        <v>5006294</v>
      </c>
      <c r="G391" s="52" t="n">
        <v>148750</v>
      </c>
      <c r="H391" s="52" t="n">
        <v>2</v>
      </c>
      <c r="I391" s="87" t="s">
        <v>640</v>
      </c>
      <c r="J391" s="52" t="n">
        <v>3</v>
      </c>
      <c r="K391" s="52" t="s">
        <v>21</v>
      </c>
      <c r="L391" s="88" t="n">
        <v>291.5</v>
      </c>
      <c r="M391" s="89" t="n">
        <f aca="false">J391*L391</f>
        <v>874.5</v>
      </c>
      <c r="N391" s="52" t="s">
        <v>570</v>
      </c>
    </row>
    <row r="392" customFormat="false" ht="13.5" hidden="false" customHeight="false" outlineLevel="0" collapsed="false">
      <c r="A392" s="78"/>
      <c r="B392" s="79"/>
      <c r="C392" s="79"/>
      <c r="D392" s="80"/>
      <c r="E392" s="52" t="s">
        <v>638</v>
      </c>
      <c r="F392" s="52" t="n">
        <v>5006293</v>
      </c>
      <c r="G392" s="52" t="n">
        <v>148750</v>
      </c>
      <c r="H392" s="52" t="n">
        <v>3</v>
      </c>
      <c r="I392" s="87" t="s">
        <v>641</v>
      </c>
      <c r="J392" s="52" t="n">
        <v>6</v>
      </c>
      <c r="K392" s="52" t="s">
        <v>21</v>
      </c>
      <c r="L392" s="88" t="n">
        <v>594</v>
      </c>
      <c r="M392" s="89" t="n">
        <f aca="false">J392*L392</f>
        <v>3564</v>
      </c>
      <c r="N392" s="52" t="s">
        <v>570</v>
      </c>
    </row>
    <row r="393" customFormat="false" ht="13.5" hidden="false" customHeight="false" outlineLevel="0" collapsed="false">
      <c r="A393" s="78"/>
      <c r="B393" s="79"/>
      <c r="C393" s="79"/>
      <c r="D393" s="80"/>
      <c r="E393" s="52" t="s">
        <v>638</v>
      </c>
      <c r="F393" s="52" t="n">
        <v>5006025</v>
      </c>
      <c r="G393" s="52" t="n">
        <v>148750</v>
      </c>
      <c r="H393" s="52" t="n">
        <v>4</v>
      </c>
      <c r="I393" s="87" t="s">
        <v>642</v>
      </c>
      <c r="J393" s="52" t="n">
        <v>8</v>
      </c>
      <c r="K393" s="52" t="s">
        <v>21</v>
      </c>
      <c r="L393" s="88" t="n">
        <v>137.56</v>
      </c>
      <c r="M393" s="89" t="n">
        <f aca="false">J393*L393</f>
        <v>1100.48</v>
      </c>
      <c r="N393" s="52" t="s">
        <v>570</v>
      </c>
    </row>
    <row r="394" customFormat="false" ht="13.5" hidden="false" customHeight="false" outlineLevel="0" collapsed="false">
      <c r="A394" s="78"/>
      <c r="B394" s="79"/>
      <c r="C394" s="79"/>
      <c r="D394" s="80"/>
      <c r="E394" s="52" t="s">
        <v>638</v>
      </c>
      <c r="F394" s="52" t="n">
        <v>5006018</v>
      </c>
      <c r="G394" s="52" t="n">
        <v>148750</v>
      </c>
      <c r="H394" s="52" t="n">
        <v>5</v>
      </c>
      <c r="I394" s="87" t="s">
        <v>643</v>
      </c>
      <c r="J394" s="52" t="n">
        <v>6</v>
      </c>
      <c r="K394" s="52" t="s">
        <v>21</v>
      </c>
      <c r="L394" s="88" t="n">
        <v>76.9</v>
      </c>
      <c r="M394" s="89" t="n">
        <f aca="false">J394*L394</f>
        <v>461.4</v>
      </c>
      <c r="N394" s="52" t="s">
        <v>570</v>
      </c>
      <c r="O394" s="25" t="n">
        <f aca="false">SUM(M390:M394)</f>
        <v>6069.14</v>
      </c>
    </row>
    <row r="395" customFormat="false" ht="13.5" hidden="false" customHeight="false" outlineLevel="0" collapsed="false">
      <c r="A395" s="65" t="s">
        <v>0</v>
      </c>
      <c r="B395" s="65" t="s">
        <v>1</v>
      </c>
      <c r="C395" s="65" t="s">
        <v>2</v>
      </c>
      <c r="D395" s="65" t="s">
        <v>496</v>
      </c>
      <c r="E395" s="65" t="s">
        <v>325</v>
      </c>
      <c r="F395" s="66" t="s">
        <v>497</v>
      </c>
      <c r="G395" s="65" t="s">
        <v>5</v>
      </c>
      <c r="H395" s="65" t="s">
        <v>6</v>
      </c>
      <c r="I395" s="65" t="s">
        <v>7</v>
      </c>
      <c r="J395" s="65" t="s">
        <v>8</v>
      </c>
      <c r="K395" s="65" t="s">
        <v>9</v>
      </c>
      <c r="L395" s="65" t="s">
        <v>498</v>
      </c>
      <c r="M395" s="65" t="s">
        <v>499</v>
      </c>
      <c r="N395" s="65" t="s">
        <v>500</v>
      </c>
    </row>
    <row r="396" customFormat="false" ht="13.5" hidden="false" customHeight="true" outlineLevel="0" collapsed="false">
      <c r="A396" s="90" t="n">
        <v>46149</v>
      </c>
      <c r="B396" s="40" t="n">
        <v>182635</v>
      </c>
      <c r="C396" s="91" t="s">
        <v>644</v>
      </c>
      <c r="D396" s="91" t="s">
        <v>506</v>
      </c>
      <c r="E396" s="91" t="s">
        <v>319</v>
      </c>
      <c r="F396" s="92" t="s">
        <v>645</v>
      </c>
      <c r="G396" s="93" t="n">
        <v>149776</v>
      </c>
      <c r="H396" s="94" t="n">
        <v>1</v>
      </c>
      <c r="I396" s="95" t="s">
        <v>646</v>
      </c>
      <c r="J396" s="40" t="n">
        <v>10</v>
      </c>
      <c r="K396" s="40" t="s">
        <v>21</v>
      </c>
      <c r="L396" s="96" t="n">
        <v>485.29</v>
      </c>
      <c r="M396" s="97" t="n">
        <v>4852.93</v>
      </c>
      <c r="N396" s="40" t="s">
        <v>18</v>
      </c>
    </row>
    <row r="397" customFormat="false" ht="13.5" hidden="false" customHeight="false" outlineLevel="0" collapsed="false">
      <c r="A397" s="90"/>
      <c r="B397" s="40"/>
      <c r="C397" s="91"/>
      <c r="D397" s="91"/>
      <c r="E397" s="91" t="s">
        <v>319</v>
      </c>
      <c r="F397" s="92" t="s">
        <v>647</v>
      </c>
      <c r="G397" s="93" t="n">
        <v>149776</v>
      </c>
      <c r="H397" s="94" t="n">
        <v>2</v>
      </c>
      <c r="I397" s="95" t="s">
        <v>648</v>
      </c>
      <c r="J397" s="40" t="n">
        <v>10</v>
      </c>
      <c r="K397" s="40" t="s">
        <v>21</v>
      </c>
      <c r="L397" s="96" t="n">
        <v>577.59</v>
      </c>
      <c r="M397" s="97" t="n">
        <v>5775.86</v>
      </c>
      <c r="N397" s="40" t="s">
        <v>18</v>
      </c>
    </row>
    <row r="398" customFormat="false" ht="13.5" hidden="false" customHeight="false" outlineLevel="0" collapsed="false">
      <c r="A398" s="90"/>
      <c r="B398" s="40"/>
      <c r="C398" s="91"/>
      <c r="D398" s="91"/>
      <c r="E398" s="91" t="s">
        <v>319</v>
      </c>
      <c r="F398" s="91" t="s">
        <v>649</v>
      </c>
      <c r="G398" s="40" t="s">
        <v>650</v>
      </c>
      <c r="H398" s="40" t="n">
        <v>3</v>
      </c>
      <c r="I398" s="98" t="s">
        <v>651</v>
      </c>
      <c r="J398" s="40" t="n">
        <v>1</v>
      </c>
      <c r="K398" s="40" t="s">
        <v>21</v>
      </c>
      <c r="L398" s="96" t="n">
        <v>1228.45</v>
      </c>
      <c r="M398" s="97" t="n">
        <v>1228.45</v>
      </c>
      <c r="N398" s="40" t="s">
        <v>18</v>
      </c>
    </row>
    <row r="399" customFormat="false" ht="13.5" hidden="false" customHeight="false" outlineLevel="0" collapsed="false">
      <c r="A399" s="90"/>
      <c r="B399" s="40"/>
      <c r="C399" s="91"/>
      <c r="D399" s="91"/>
      <c r="E399" s="91" t="s">
        <v>319</v>
      </c>
      <c r="F399" s="91" t="n">
        <v>5002051</v>
      </c>
      <c r="G399" s="40"/>
      <c r="H399" s="40" t="n">
        <v>4</v>
      </c>
      <c r="I399" s="98" t="s">
        <v>652</v>
      </c>
      <c r="J399" s="40" t="n">
        <v>1</v>
      </c>
      <c r="K399" s="40" t="s">
        <v>21</v>
      </c>
      <c r="L399" s="40"/>
      <c r="M399" s="40"/>
      <c r="N399" s="40" t="s">
        <v>18</v>
      </c>
      <c r="O399" s="25" t="n">
        <f aca="false">SUM(M395:M399)</f>
        <v>11857.24</v>
      </c>
    </row>
    <row r="400" customFormat="false" ht="13.5" hidden="false" customHeight="false" outlineLevel="0" collapsed="false">
      <c r="A400" s="70" t="s">
        <v>0</v>
      </c>
      <c r="B400" s="70" t="s">
        <v>1</v>
      </c>
      <c r="C400" s="70" t="s">
        <v>2</v>
      </c>
      <c r="D400" s="70" t="s">
        <v>496</v>
      </c>
      <c r="E400" s="70" t="s">
        <v>325</v>
      </c>
      <c r="F400" s="99" t="s">
        <v>497</v>
      </c>
      <c r="G400" s="70" t="s">
        <v>5</v>
      </c>
      <c r="H400" s="70" t="s">
        <v>6</v>
      </c>
      <c r="I400" s="70" t="s">
        <v>7</v>
      </c>
      <c r="J400" s="70" t="s">
        <v>8</v>
      </c>
      <c r="K400" s="70" t="s">
        <v>9</v>
      </c>
      <c r="L400" s="70" t="s">
        <v>498</v>
      </c>
      <c r="M400" s="70" t="s">
        <v>499</v>
      </c>
      <c r="N400" s="70" t="s">
        <v>500</v>
      </c>
    </row>
    <row r="401" s="100" customFormat="true" ht="52.2" hidden="false" customHeight="true" outlineLevel="0" collapsed="false">
      <c r="A401" s="74" t="n">
        <v>46150</v>
      </c>
      <c r="B401" s="68" t="n">
        <v>182726</v>
      </c>
      <c r="C401" s="68" t="s">
        <v>653</v>
      </c>
      <c r="D401" s="68" t="s">
        <v>506</v>
      </c>
      <c r="E401" s="68" t="s">
        <v>515</v>
      </c>
      <c r="F401" s="31" t="s">
        <v>396</v>
      </c>
      <c r="G401" s="29" t="n">
        <v>150802</v>
      </c>
      <c r="H401" s="8" t="n">
        <v>1</v>
      </c>
      <c r="I401" s="10" t="s">
        <v>397</v>
      </c>
      <c r="J401" s="8" t="n">
        <v>10</v>
      </c>
      <c r="K401" s="8" t="s">
        <v>40</v>
      </c>
      <c r="L401" s="75" t="n">
        <v>907.1556</v>
      </c>
      <c r="M401" s="12" t="n">
        <v>9071.56</v>
      </c>
      <c r="N401" s="8" t="s">
        <v>654</v>
      </c>
    </row>
    <row r="402" s="100" customFormat="true" ht="52.2" hidden="false" customHeight="false" outlineLevel="0" collapsed="false">
      <c r="A402" s="74"/>
      <c r="B402" s="68"/>
      <c r="C402" s="68"/>
      <c r="D402" s="68"/>
      <c r="E402" s="68" t="s">
        <v>515</v>
      </c>
      <c r="F402" s="31" t="s">
        <v>655</v>
      </c>
      <c r="G402" s="29" t="n">
        <v>150802</v>
      </c>
      <c r="H402" s="8" t="n">
        <v>2</v>
      </c>
      <c r="I402" s="10" t="s">
        <v>656</v>
      </c>
      <c r="J402" s="8" t="n">
        <v>10</v>
      </c>
      <c r="K402" s="8" t="s">
        <v>40</v>
      </c>
      <c r="L402" s="75" t="n">
        <v>282.6139</v>
      </c>
      <c r="M402" s="12" t="n">
        <v>2826.14</v>
      </c>
      <c r="N402" s="8" t="s">
        <v>654</v>
      </c>
    </row>
    <row r="403" s="100" customFormat="true" ht="52.2" hidden="false" customHeight="false" outlineLevel="0" collapsed="false">
      <c r="A403" s="74"/>
      <c r="B403" s="68"/>
      <c r="C403" s="68"/>
      <c r="D403" s="68"/>
      <c r="E403" s="68" t="s">
        <v>515</v>
      </c>
      <c r="F403" s="31" t="s">
        <v>402</v>
      </c>
      <c r="G403" s="29" t="n">
        <v>150802</v>
      </c>
      <c r="H403" s="8" t="n">
        <v>3</v>
      </c>
      <c r="I403" s="10" t="s">
        <v>403</v>
      </c>
      <c r="J403" s="8" t="n">
        <v>10</v>
      </c>
      <c r="K403" s="8" t="s">
        <v>40</v>
      </c>
      <c r="L403" s="75" t="n">
        <v>436.1325</v>
      </c>
      <c r="M403" s="12" t="n">
        <v>4361.33</v>
      </c>
      <c r="N403" s="8" t="s">
        <v>654</v>
      </c>
    </row>
    <row r="404" s="100" customFormat="true" ht="39.55" hidden="false" customHeight="false" outlineLevel="0" collapsed="false">
      <c r="A404" s="74"/>
      <c r="B404" s="68"/>
      <c r="C404" s="68"/>
      <c r="D404" s="68"/>
      <c r="E404" s="68" t="s">
        <v>515</v>
      </c>
      <c r="F404" s="31" t="s">
        <v>657</v>
      </c>
      <c r="G404" s="29" t="n">
        <v>150802</v>
      </c>
      <c r="H404" s="8" t="n">
        <v>4</v>
      </c>
      <c r="I404" s="10" t="s">
        <v>658</v>
      </c>
      <c r="J404" s="8" t="n">
        <v>2</v>
      </c>
      <c r="K404" s="8" t="s">
        <v>40</v>
      </c>
      <c r="L404" s="75" t="n">
        <v>418.6872</v>
      </c>
      <c r="M404" s="12" t="n">
        <v>837.37</v>
      </c>
      <c r="N404" s="8" t="s">
        <v>654</v>
      </c>
    </row>
    <row r="405" s="100" customFormat="true" ht="52.2" hidden="false" customHeight="false" outlineLevel="0" collapsed="false">
      <c r="A405" s="74"/>
      <c r="B405" s="68"/>
      <c r="C405" s="68"/>
      <c r="D405" s="68"/>
      <c r="E405" s="68" t="s">
        <v>515</v>
      </c>
      <c r="F405" s="31" t="s">
        <v>659</v>
      </c>
      <c r="G405" s="29" t="n">
        <v>150802</v>
      </c>
      <c r="H405" s="8" t="n">
        <v>5</v>
      </c>
      <c r="I405" s="10" t="s">
        <v>660</v>
      </c>
      <c r="J405" s="8" t="n">
        <v>5</v>
      </c>
      <c r="K405" s="8" t="s">
        <v>40</v>
      </c>
      <c r="L405" s="75" t="n">
        <v>80.2484</v>
      </c>
      <c r="M405" s="12" t="n">
        <v>401.24</v>
      </c>
      <c r="N405" s="8" t="s">
        <v>654</v>
      </c>
    </row>
    <row r="406" s="100" customFormat="true" ht="26.85" hidden="false" customHeight="false" outlineLevel="0" collapsed="false">
      <c r="A406" s="74"/>
      <c r="B406" s="68"/>
      <c r="C406" s="68"/>
      <c r="D406" s="68"/>
      <c r="E406" s="68" t="s">
        <v>515</v>
      </c>
      <c r="F406" s="31" t="s">
        <v>661</v>
      </c>
      <c r="G406" s="29" t="n">
        <v>150802</v>
      </c>
      <c r="H406" s="8" t="n">
        <v>6</v>
      </c>
      <c r="I406" s="10" t="s">
        <v>662</v>
      </c>
      <c r="J406" s="8" t="n">
        <v>1</v>
      </c>
      <c r="K406" s="8" t="s">
        <v>40</v>
      </c>
      <c r="L406" s="75" t="n">
        <v>10118.274</v>
      </c>
      <c r="M406" s="12" t="n">
        <v>10118.27</v>
      </c>
      <c r="N406" s="8" t="s">
        <v>654</v>
      </c>
    </row>
    <row r="407" s="100" customFormat="true" ht="26.85" hidden="false" customHeight="false" outlineLevel="0" collapsed="false">
      <c r="A407" s="74"/>
      <c r="B407" s="68"/>
      <c r="C407" s="68"/>
      <c r="D407" s="68"/>
      <c r="E407" s="68" t="s">
        <v>515</v>
      </c>
      <c r="F407" s="31" t="s">
        <v>663</v>
      </c>
      <c r="G407" s="29" t="n">
        <v>150802</v>
      </c>
      <c r="H407" s="8" t="n">
        <v>7</v>
      </c>
      <c r="I407" s="10" t="s">
        <v>664</v>
      </c>
      <c r="J407" s="8" t="n">
        <v>1</v>
      </c>
      <c r="K407" s="8" t="s">
        <v>40</v>
      </c>
      <c r="L407" s="75" t="n">
        <v>4361.325</v>
      </c>
      <c r="M407" s="12" t="n">
        <v>4361.33</v>
      </c>
      <c r="N407" s="8" t="s">
        <v>654</v>
      </c>
    </row>
    <row r="408" s="100" customFormat="true" ht="26.85" hidden="false" customHeight="false" outlineLevel="0" collapsed="false">
      <c r="A408" s="74"/>
      <c r="B408" s="68"/>
      <c r="C408" s="68"/>
      <c r="D408" s="68"/>
      <c r="E408" s="68" t="s">
        <v>515</v>
      </c>
      <c r="F408" s="55" t="s">
        <v>665</v>
      </c>
      <c r="G408" s="68" t="n">
        <v>150803</v>
      </c>
      <c r="H408" s="68" t="n">
        <v>8</v>
      </c>
      <c r="I408" s="50" t="s">
        <v>666</v>
      </c>
      <c r="J408" s="68" t="n">
        <v>10</v>
      </c>
      <c r="K408" s="68" t="s">
        <v>40</v>
      </c>
      <c r="L408" s="88" t="n">
        <v>615.25</v>
      </c>
      <c r="M408" s="89" t="n">
        <v>6152.5</v>
      </c>
      <c r="N408" s="68" t="s">
        <v>667</v>
      </c>
    </row>
    <row r="409" customFormat="false" ht="13.5" hidden="false" customHeight="false" outlineLevel="0" collapsed="false">
      <c r="A409" s="70" t="s">
        <v>0</v>
      </c>
      <c r="B409" s="70" t="s">
        <v>1</v>
      </c>
      <c r="C409" s="70" t="s">
        <v>2</v>
      </c>
      <c r="D409" s="70" t="s">
        <v>496</v>
      </c>
      <c r="E409" s="70" t="s">
        <v>325</v>
      </c>
      <c r="F409" s="99" t="s">
        <v>497</v>
      </c>
      <c r="G409" s="70" t="s">
        <v>5</v>
      </c>
      <c r="H409" s="70" t="s">
        <v>6</v>
      </c>
      <c r="I409" s="70" t="s">
        <v>7</v>
      </c>
      <c r="J409" s="70" t="s">
        <v>8</v>
      </c>
      <c r="K409" s="70" t="s">
        <v>9</v>
      </c>
      <c r="L409" s="70" t="s">
        <v>498</v>
      </c>
      <c r="M409" s="70" t="s">
        <v>499</v>
      </c>
      <c r="N409" s="70" t="s">
        <v>500</v>
      </c>
    </row>
    <row r="410" customFormat="false" ht="39.55" hidden="false" customHeight="true" outlineLevel="0" collapsed="false">
      <c r="A410" s="67" t="n">
        <v>46150</v>
      </c>
      <c r="B410" s="52" t="n">
        <v>182792</v>
      </c>
      <c r="C410" s="68" t="s">
        <v>653</v>
      </c>
      <c r="D410" s="68" t="s">
        <v>506</v>
      </c>
      <c r="E410" s="52" t="s">
        <v>515</v>
      </c>
      <c r="F410" s="7" t="s">
        <v>668</v>
      </c>
      <c r="G410" s="9" t="n">
        <v>149021</v>
      </c>
      <c r="H410" s="9" t="n">
        <v>1</v>
      </c>
      <c r="I410" s="10" t="s">
        <v>669</v>
      </c>
      <c r="J410" s="9" t="n">
        <v>1</v>
      </c>
      <c r="K410" s="8" t="s">
        <v>40</v>
      </c>
      <c r="L410" s="11" t="n">
        <v>3595</v>
      </c>
      <c r="M410" s="12" t="n">
        <f aca="false">J410*L410</f>
        <v>3595</v>
      </c>
      <c r="N410" s="9" t="s">
        <v>18</v>
      </c>
    </row>
    <row r="411" customFormat="false" ht="39.55" hidden="false" customHeight="false" outlineLevel="0" collapsed="false">
      <c r="A411" s="67"/>
      <c r="B411" s="67"/>
      <c r="C411" s="68"/>
      <c r="D411" s="68"/>
      <c r="E411" s="52" t="s">
        <v>515</v>
      </c>
      <c r="F411" s="7" t="s">
        <v>670</v>
      </c>
      <c r="G411" s="9" t="n">
        <v>149021</v>
      </c>
      <c r="H411" s="9" t="n">
        <v>2</v>
      </c>
      <c r="I411" s="10" t="s">
        <v>671</v>
      </c>
      <c r="J411" s="9" t="n">
        <v>1</v>
      </c>
      <c r="K411" s="8" t="s">
        <v>40</v>
      </c>
      <c r="L411" s="11" t="n">
        <v>3495</v>
      </c>
      <c r="M411" s="12" t="n">
        <f aca="false">J411*L411</f>
        <v>3495</v>
      </c>
      <c r="N411" s="9" t="s">
        <v>18</v>
      </c>
    </row>
    <row r="412" customFormat="false" ht="26.85" hidden="false" customHeight="false" outlineLevel="0" collapsed="false">
      <c r="A412" s="67"/>
      <c r="B412" s="67"/>
      <c r="C412" s="68"/>
      <c r="D412" s="68"/>
      <c r="E412" s="52" t="s">
        <v>515</v>
      </c>
      <c r="F412" s="7" t="s">
        <v>672</v>
      </c>
      <c r="G412" s="9" t="n">
        <v>149021</v>
      </c>
      <c r="H412" s="9" t="n">
        <v>3</v>
      </c>
      <c r="I412" s="10" t="s">
        <v>673</v>
      </c>
      <c r="J412" s="9" t="n">
        <v>1</v>
      </c>
      <c r="K412" s="8" t="s">
        <v>40</v>
      </c>
      <c r="L412" s="11" t="n">
        <v>3552.4</v>
      </c>
      <c r="M412" s="12" t="n">
        <f aca="false">J412*L412</f>
        <v>3552.4</v>
      </c>
      <c r="N412" s="9" t="s">
        <v>18</v>
      </c>
    </row>
    <row r="413" customFormat="false" ht="26.85" hidden="false" customHeight="false" outlineLevel="0" collapsed="false">
      <c r="A413" s="67"/>
      <c r="B413" s="67"/>
      <c r="C413" s="68"/>
      <c r="D413" s="68"/>
      <c r="E413" s="52" t="s">
        <v>515</v>
      </c>
      <c r="F413" s="7" t="s">
        <v>615</v>
      </c>
      <c r="G413" s="9" t="n">
        <v>149021</v>
      </c>
      <c r="H413" s="9" t="n">
        <v>4</v>
      </c>
      <c r="I413" s="10" t="s">
        <v>616</v>
      </c>
      <c r="J413" s="9" t="n">
        <v>4</v>
      </c>
      <c r="K413" s="8" t="s">
        <v>40</v>
      </c>
      <c r="L413" s="11" t="n">
        <v>591.6</v>
      </c>
      <c r="M413" s="12" t="n">
        <f aca="false">J413*L413</f>
        <v>2366.4</v>
      </c>
      <c r="N413" s="9" t="s">
        <v>18</v>
      </c>
    </row>
    <row r="414" customFormat="false" ht="26.85" hidden="false" customHeight="false" outlineLevel="0" collapsed="false">
      <c r="A414" s="67"/>
      <c r="B414" s="67"/>
      <c r="C414" s="68"/>
      <c r="D414" s="68"/>
      <c r="E414" s="52" t="s">
        <v>515</v>
      </c>
      <c r="F414" s="7" t="s">
        <v>674</v>
      </c>
      <c r="G414" s="9" t="n">
        <v>149021</v>
      </c>
      <c r="H414" s="9" t="n">
        <v>5</v>
      </c>
      <c r="I414" s="10" t="s">
        <v>675</v>
      </c>
      <c r="J414" s="9" t="n">
        <v>3</v>
      </c>
      <c r="K414" s="8" t="s">
        <v>40</v>
      </c>
      <c r="L414" s="11" t="n">
        <v>120.5</v>
      </c>
      <c r="M414" s="12" t="n">
        <f aca="false">J414*L414</f>
        <v>361.5</v>
      </c>
      <c r="N414" s="9" t="s">
        <v>18</v>
      </c>
    </row>
    <row r="415" customFormat="false" ht="39.55" hidden="false" customHeight="false" outlineLevel="0" collapsed="false">
      <c r="A415" s="67"/>
      <c r="B415" s="67"/>
      <c r="C415" s="68"/>
      <c r="D415" s="68"/>
      <c r="E415" s="52" t="s">
        <v>515</v>
      </c>
      <c r="F415" s="7" t="s">
        <v>266</v>
      </c>
      <c r="G415" s="9" t="n">
        <v>149021</v>
      </c>
      <c r="H415" s="9" t="n">
        <v>6</v>
      </c>
      <c r="I415" s="10" t="s">
        <v>267</v>
      </c>
      <c r="J415" s="9" t="n">
        <v>1</v>
      </c>
      <c r="K415" s="8" t="s">
        <v>40</v>
      </c>
      <c r="L415" s="11" t="n">
        <v>2659.1</v>
      </c>
      <c r="M415" s="12" t="n">
        <f aca="false">J415*L415</f>
        <v>2659.1</v>
      </c>
      <c r="N415" s="9" t="s">
        <v>18</v>
      </c>
    </row>
    <row r="416" customFormat="false" ht="26.85" hidden="false" customHeight="false" outlineLevel="0" collapsed="false">
      <c r="A416" s="67"/>
      <c r="B416" s="67"/>
      <c r="C416" s="68"/>
      <c r="D416" s="68"/>
      <c r="E416" s="52" t="s">
        <v>515</v>
      </c>
      <c r="F416" s="7" t="s">
        <v>373</v>
      </c>
      <c r="G416" s="9" t="n">
        <v>149021</v>
      </c>
      <c r="H416" s="9" t="n">
        <v>7</v>
      </c>
      <c r="I416" s="10" t="s">
        <v>676</v>
      </c>
      <c r="J416" s="9" t="n">
        <v>12</v>
      </c>
      <c r="K416" s="8" t="s">
        <v>40</v>
      </c>
      <c r="L416" s="11" t="n">
        <v>120</v>
      </c>
      <c r="M416" s="12" t="n">
        <f aca="false">J416*L416</f>
        <v>1440</v>
      </c>
      <c r="N416" s="9" t="s">
        <v>18</v>
      </c>
    </row>
    <row r="417" customFormat="false" ht="26.85" hidden="false" customHeight="false" outlineLevel="0" collapsed="false">
      <c r="A417" s="67"/>
      <c r="B417" s="67"/>
      <c r="C417" s="68"/>
      <c r="D417" s="68"/>
      <c r="E417" s="52" t="s">
        <v>515</v>
      </c>
      <c r="F417" s="7" t="s">
        <v>677</v>
      </c>
      <c r="G417" s="9" t="n">
        <v>149021</v>
      </c>
      <c r="H417" s="9" t="n">
        <v>8</v>
      </c>
      <c r="I417" s="10" t="s">
        <v>678</v>
      </c>
      <c r="J417" s="9" t="n">
        <v>10</v>
      </c>
      <c r="K417" s="8" t="s">
        <v>40</v>
      </c>
      <c r="L417" s="11" t="n">
        <v>420.55</v>
      </c>
      <c r="M417" s="12" t="n">
        <f aca="false">J417*L417</f>
        <v>4205.5</v>
      </c>
      <c r="N417" s="9" t="s">
        <v>18</v>
      </c>
    </row>
    <row r="418" customFormat="false" ht="52.2" hidden="false" customHeight="false" outlineLevel="0" collapsed="false">
      <c r="A418" s="67"/>
      <c r="B418" s="67"/>
      <c r="C418" s="68"/>
      <c r="D418" s="68"/>
      <c r="E418" s="52" t="s">
        <v>515</v>
      </c>
      <c r="F418" s="7" t="s">
        <v>679</v>
      </c>
      <c r="G418" s="9" t="n">
        <v>149021</v>
      </c>
      <c r="H418" s="9" t="n">
        <v>9</v>
      </c>
      <c r="I418" s="10" t="s">
        <v>680</v>
      </c>
      <c r="J418" s="9" t="n">
        <v>4</v>
      </c>
      <c r="K418" s="8" t="s">
        <v>40</v>
      </c>
      <c r="L418" s="11" t="n">
        <v>1145</v>
      </c>
      <c r="M418" s="12" t="n">
        <f aca="false">J418*L418</f>
        <v>4580</v>
      </c>
      <c r="N418" s="9" t="s">
        <v>18</v>
      </c>
    </row>
    <row r="419" customFormat="false" ht="39.55" hidden="false" customHeight="false" outlineLevel="0" collapsed="false">
      <c r="A419" s="67"/>
      <c r="B419" s="67"/>
      <c r="C419" s="68"/>
      <c r="D419" s="68"/>
      <c r="E419" s="52" t="s">
        <v>515</v>
      </c>
      <c r="F419" s="7" t="s">
        <v>657</v>
      </c>
      <c r="G419" s="9" t="n">
        <v>149021</v>
      </c>
      <c r="H419" s="9" t="n">
        <v>10</v>
      </c>
      <c r="I419" s="10" t="s">
        <v>681</v>
      </c>
      <c r="J419" s="9" t="n">
        <v>1</v>
      </c>
      <c r="K419" s="8" t="s">
        <v>40</v>
      </c>
      <c r="L419" s="11" t="n">
        <v>221.65</v>
      </c>
      <c r="M419" s="12" t="n">
        <f aca="false">J419*L419</f>
        <v>221.65</v>
      </c>
      <c r="N419" s="9" t="s">
        <v>18</v>
      </c>
    </row>
    <row r="420" customFormat="false" ht="39.55" hidden="false" customHeight="false" outlineLevel="0" collapsed="false">
      <c r="A420" s="67"/>
      <c r="B420" s="67"/>
      <c r="C420" s="68"/>
      <c r="D420" s="68"/>
      <c r="E420" s="52" t="s">
        <v>515</v>
      </c>
      <c r="F420" s="7" t="s">
        <v>682</v>
      </c>
      <c r="G420" s="9" t="n">
        <v>149021</v>
      </c>
      <c r="H420" s="9" t="n">
        <v>11</v>
      </c>
      <c r="I420" s="10" t="s">
        <v>683</v>
      </c>
      <c r="J420" s="9" t="n">
        <v>1</v>
      </c>
      <c r="K420" s="8" t="s">
        <v>40</v>
      </c>
      <c r="L420" s="11" t="n">
        <v>70.01</v>
      </c>
      <c r="M420" s="12" t="n">
        <f aca="false">J420*L420</f>
        <v>70.01</v>
      </c>
      <c r="N420" s="9" t="s">
        <v>18</v>
      </c>
    </row>
    <row r="421" customFormat="false" ht="13.5" hidden="false" customHeight="false" outlineLevel="0" collapsed="false">
      <c r="A421" s="67"/>
      <c r="B421" s="67"/>
      <c r="C421" s="68"/>
      <c r="D421" s="68"/>
      <c r="E421" s="52" t="s">
        <v>515</v>
      </c>
      <c r="F421" s="7" t="s">
        <v>684</v>
      </c>
      <c r="G421" s="9" t="n">
        <v>149021</v>
      </c>
      <c r="H421" s="9" t="n">
        <v>12</v>
      </c>
      <c r="I421" s="10" t="s">
        <v>685</v>
      </c>
      <c r="J421" s="9" t="n">
        <v>1</v>
      </c>
      <c r="K421" s="8" t="s">
        <v>40</v>
      </c>
      <c r="L421" s="11" t="n">
        <v>1000</v>
      </c>
      <c r="M421" s="12" t="n">
        <f aca="false">J421*L421</f>
        <v>1000</v>
      </c>
      <c r="N421" s="9" t="s">
        <v>18</v>
      </c>
    </row>
    <row r="422" customFormat="false" ht="13.5" hidden="false" customHeight="false" outlineLevel="0" collapsed="false">
      <c r="A422" s="70" t="s">
        <v>0</v>
      </c>
      <c r="B422" s="70" t="s">
        <v>1</v>
      </c>
      <c r="C422" s="70" t="s">
        <v>2</v>
      </c>
      <c r="D422" s="70" t="s">
        <v>496</v>
      </c>
      <c r="E422" s="70" t="s">
        <v>325</v>
      </c>
      <c r="F422" s="99" t="s">
        <v>497</v>
      </c>
      <c r="G422" s="70" t="s">
        <v>5</v>
      </c>
      <c r="H422" s="70" t="s">
        <v>6</v>
      </c>
      <c r="I422" s="70" t="s">
        <v>7</v>
      </c>
      <c r="J422" s="70" t="s">
        <v>8</v>
      </c>
      <c r="K422" s="70" t="s">
        <v>9</v>
      </c>
      <c r="L422" s="70" t="s">
        <v>498</v>
      </c>
      <c r="M422" s="70" t="s">
        <v>499</v>
      </c>
      <c r="N422" s="70" t="s">
        <v>500</v>
      </c>
    </row>
    <row r="423" s="100" customFormat="true" ht="26.85" hidden="false" customHeight="false" outlineLevel="0" collapsed="false">
      <c r="A423" s="74" t="n">
        <v>46153</v>
      </c>
      <c r="B423" s="68" t="n">
        <v>182841</v>
      </c>
      <c r="C423" s="68" t="s">
        <v>686</v>
      </c>
      <c r="D423" s="68" t="s">
        <v>506</v>
      </c>
      <c r="E423" s="68" t="s">
        <v>319</v>
      </c>
      <c r="F423" s="68" t="n">
        <v>1204006</v>
      </c>
      <c r="G423" s="68" t="n">
        <v>150813</v>
      </c>
      <c r="H423" s="68" t="n">
        <v>1</v>
      </c>
      <c r="I423" s="50" t="s">
        <v>687</v>
      </c>
      <c r="J423" s="68" t="n">
        <v>90</v>
      </c>
      <c r="K423" s="68" t="s">
        <v>24</v>
      </c>
      <c r="L423" s="77" t="n">
        <v>1386</v>
      </c>
      <c r="M423" s="101" t="n">
        <v>6930</v>
      </c>
      <c r="N423" s="52" t="s">
        <v>667</v>
      </c>
    </row>
    <row r="424" customFormat="false" ht="13.5" hidden="false" customHeight="false" outlineLevel="0" collapsed="false">
      <c r="A424" s="70" t="s">
        <v>0</v>
      </c>
      <c r="B424" s="70" t="s">
        <v>1</v>
      </c>
      <c r="C424" s="70" t="s">
        <v>2</v>
      </c>
      <c r="D424" s="70" t="s">
        <v>496</v>
      </c>
      <c r="E424" s="70" t="s">
        <v>325</v>
      </c>
      <c r="F424" s="99" t="s">
        <v>497</v>
      </c>
      <c r="G424" s="70" t="s">
        <v>5</v>
      </c>
      <c r="H424" s="70" t="s">
        <v>6</v>
      </c>
      <c r="I424" s="70" t="s">
        <v>7</v>
      </c>
      <c r="J424" s="70" t="s">
        <v>8</v>
      </c>
      <c r="K424" s="70" t="s">
        <v>9</v>
      </c>
      <c r="L424" s="70" t="s">
        <v>498</v>
      </c>
      <c r="M424" s="70" t="s">
        <v>499</v>
      </c>
      <c r="N424" s="70" t="s">
        <v>500</v>
      </c>
    </row>
    <row r="425" customFormat="false" ht="26.85" hidden="false" customHeight="false" outlineLevel="0" collapsed="false">
      <c r="A425" s="74" t="n">
        <v>46153</v>
      </c>
      <c r="B425" s="68" t="n">
        <v>182914</v>
      </c>
      <c r="C425" s="68" t="s">
        <v>688</v>
      </c>
      <c r="D425" s="68" t="s">
        <v>506</v>
      </c>
      <c r="E425" s="52" t="s">
        <v>564</v>
      </c>
      <c r="F425" s="9" t="n">
        <v>1301074</v>
      </c>
      <c r="G425" s="9" t="n">
        <v>149245</v>
      </c>
      <c r="H425" s="9" t="n">
        <v>1</v>
      </c>
      <c r="I425" s="13" t="s">
        <v>689</v>
      </c>
      <c r="J425" s="9" t="n">
        <v>20</v>
      </c>
      <c r="K425" s="9" t="s">
        <v>566</v>
      </c>
      <c r="L425" s="9" t="n">
        <v>693.25</v>
      </c>
      <c r="M425" s="12" t="n">
        <f aca="false">J425*L425</f>
        <v>13865</v>
      </c>
      <c r="N425" s="9" t="s">
        <v>18</v>
      </c>
    </row>
    <row r="426" customFormat="false" ht="13.5" hidden="false" customHeight="false" outlineLevel="0" collapsed="false">
      <c r="A426" s="70" t="s">
        <v>0</v>
      </c>
      <c r="B426" s="70" t="s">
        <v>1</v>
      </c>
      <c r="C426" s="70" t="s">
        <v>2</v>
      </c>
      <c r="D426" s="70" t="s">
        <v>496</v>
      </c>
      <c r="E426" s="102" t="s">
        <v>325</v>
      </c>
      <c r="F426" s="99" t="s">
        <v>497</v>
      </c>
      <c r="G426" s="70" t="s">
        <v>5</v>
      </c>
      <c r="H426" s="70" t="s">
        <v>6</v>
      </c>
      <c r="I426" s="70" t="s">
        <v>7</v>
      </c>
      <c r="J426" s="70" t="s">
        <v>8</v>
      </c>
      <c r="K426" s="103" t="s">
        <v>9</v>
      </c>
      <c r="L426" s="70" t="s">
        <v>498</v>
      </c>
      <c r="M426" s="70" t="s">
        <v>499</v>
      </c>
      <c r="N426" s="70" t="s">
        <v>500</v>
      </c>
    </row>
    <row r="427" customFormat="false" ht="39.55" hidden="false" customHeight="false" outlineLevel="0" collapsed="false">
      <c r="A427" s="78" t="n">
        <v>46156</v>
      </c>
      <c r="B427" s="79" t="n">
        <v>183472</v>
      </c>
      <c r="C427" s="79" t="s">
        <v>690</v>
      </c>
      <c r="D427" s="80" t="s">
        <v>506</v>
      </c>
      <c r="E427" s="52" t="s">
        <v>515</v>
      </c>
      <c r="F427" s="86" t="s">
        <v>691</v>
      </c>
      <c r="G427" s="52" t="n">
        <v>150816</v>
      </c>
      <c r="H427" s="52" t="n">
        <v>1</v>
      </c>
      <c r="I427" s="50" t="s">
        <v>692</v>
      </c>
      <c r="J427" s="52" t="n">
        <v>1</v>
      </c>
      <c r="K427" s="68" t="s">
        <v>40</v>
      </c>
      <c r="L427" s="52" t="s">
        <v>693</v>
      </c>
      <c r="M427" s="101" t="n">
        <v>479.75</v>
      </c>
      <c r="N427" s="52" t="s">
        <v>667</v>
      </c>
    </row>
    <row r="428" customFormat="false" ht="13.5" hidden="false" customHeight="false" outlineLevel="0" collapsed="false">
      <c r="A428" s="65" t="s">
        <v>0</v>
      </c>
      <c r="B428" s="65" t="s">
        <v>1</v>
      </c>
      <c r="C428" s="65" t="s">
        <v>2</v>
      </c>
      <c r="D428" s="65" t="s">
        <v>531</v>
      </c>
      <c r="E428" s="70" t="s">
        <v>325</v>
      </c>
      <c r="F428" s="65" t="s">
        <v>4</v>
      </c>
      <c r="G428" s="65" t="s">
        <v>5</v>
      </c>
      <c r="H428" s="65" t="s">
        <v>6</v>
      </c>
      <c r="I428" s="65" t="s">
        <v>7</v>
      </c>
      <c r="J428" s="65" t="s">
        <v>8</v>
      </c>
      <c r="K428" s="65" t="s">
        <v>9</v>
      </c>
      <c r="L428" s="70" t="s">
        <v>498</v>
      </c>
      <c r="M428" s="70" t="s">
        <v>499</v>
      </c>
      <c r="N428" s="70" t="s">
        <v>500</v>
      </c>
    </row>
    <row r="429" customFormat="false" ht="26.85" hidden="false" customHeight="true" outlineLevel="0" collapsed="false">
      <c r="A429" s="4" t="n">
        <v>46160</v>
      </c>
      <c r="B429" s="6" t="n">
        <v>183712</v>
      </c>
      <c r="C429" s="6" t="s">
        <v>584</v>
      </c>
      <c r="D429" s="6" t="s">
        <v>694</v>
      </c>
      <c r="E429" s="6" t="s">
        <v>515</v>
      </c>
      <c r="F429" s="31" t="s">
        <v>695</v>
      </c>
      <c r="G429" s="31"/>
      <c r="H429" s="31" t="s">
        <v>154</v>
      </c>
      <c r="I429" s="104" t="s">
        <v>696</v>
      </c>
      <c r="J429" s="31" t="n">
        <v>12</v>
      </c>
      <c r="K429" s="31" t="s">
        <v>164</v>
      </c>
      <c r="L429" s="9"/>
      <c r="M429" s="9"/>
      <c r="N429" s="8" t="s">
        <v>697</v>
      </c>
    </row>
    <row r="430" customFormat="false" ht="39.55" hidden="false" customHeight="false" outlineLevel="0" collapsed="false">
      <c r="A430" s="4"/>
      <c r="B430" s="6"/>
      <c r="C430" s="6"/>
      <c r="D430" s="6"/>
      <c r="E430" s="6" t="s">
        <v>515</v>
      </c>
      <c r="F430" s="31" t="s">
        <v>698</v>
      </c>
      <c r="G430" s="31"/>
      <c r="H430" s="31" t="s">
        <v>159</v>
      </c>
      <c r="I430" s="104" t="s">
        <v>699</v>
      </c>
      <c r="J430" s="31" t="s">
        <v>154</v>
      </c>
      <c r="K430" s="31" t="s">
        <v>21</v>
      </c>
      <c r="L430" s="9"/>
      <c r="M430" s="9"/>
      <c r="N430" s="8" t="s">
        <v>697</v>
      </c>
    </row>
    <row r="431" customFormat="false" ht="26.85" hidden="false" customHeight="false" outlineLevel="0" collapsed="false">
      <c r="A431" s="4"/>
      <c r="B431" s="6"/>
      <c r="C431" s="6"/>
      <c r="D431" s="6"/>
      <c r="E431" s="6" t="s">
        <v>515</v>
      </c>
      <c r="F431" s="31" t="s">
        <v>700</v>
      </c>
      <c r="G431" s="31"/>
      <c r="H431" s="31" t="s">
        <v>99</v>
      </c>
      <c r="I431" s="104" t="s">
        <v>701</v>
      </c>
      <c r="J431" s="31" t="s">
        <v>154</v>
      </c>
      <c r="K431" s="31" t="s">
        <v>21</v>
      </c>
      <c r="L431" s="9"/>
      <c r="M431" s="9"/>
      <c r="N431" s="8" t="s">
        <v>697</v>
      </c>
    </row>
    <row r="432" customFormat="false" ht="26.85" hidden="false" customHeight="false" outlineLevel="0" collapsed="false">
      <c r="A432" s="4"/>
      <c r="B432" s="6"/>
      <c r="C432" s="6"/>
      <c r="D432" s="6"/>
      <c r="E432" s="6" t="s">
        <v>515</v>
      </c>
      <c r="F432" s="55" t="s">
        <v>702</v>
      </c>
      <c r="G432" s="105"/>
      <c r="H432" s="55" t="s">
        <v>224</v>
      </c>
      <c r="I432" s="106" t="s">
        <v>703</v>
      </c>
      <c r="J432" s="55" t="n">
        <v>8</v>
      </c>
      <c r="K432" s="55" t="s">
        <v>21</v>
      </c>
      <c r="L432" s="52"/>
      <c r="M432" s="52"/>
      <c r="N432" s="68" t="s">
        <v>704</v>
      </c>
    </row>
    <row r="433" customFormat="false" ht="26.85" hidden="false" customHeight="false" outlineLevel="0" collapsed="false">
      <c r="A433" s="4"/>
      <c r="B433" s="6"/>
      <c r="C433" s="6"/>
      <c r="D433" s="6"/>
      <c r="E433" s="6" t="s">
        <v>515</v>
      </c>
      <c r="F433" s="31" t="s">
        <v>705</v>
      </c>
      <c r="G433" s="107"/>
      <c r="H433" s="31" t="s">
        <v>119</v>
      </c>
      <c r="I433" s="104" t="s">
        <v>706</v>
      </c>
      <c r="J433" s="31" t="s">
        <v>154</v>
      </c>
      <c r="K433" s="31" t="s">
        <v>21</v>
      </c>
      <c r="L433" s="9"/>
      <c r="M433" s="9"/>
      <c r="N433" s="8" t="s">
        <v>697</v>
      </c>
    </row>
    <row r="434" customFormat="false" ht="26.85" hidden="false" customHeight="false" outlineLevel="0" collapsed="false">
      <c r="A434" s="4"/>
      <c r="B434" s="6"/>
      <c r="C434" s="6"/>
      <c r="D434" s="6"/>
      <c r="E434" s="6" t="s">
        <v>515</v>
      </c>
      <c r="F434" s="31" t="s">
        <v>707</v>
      </c>
      <c r="G434" s="107"/>
      <c r="H434" s="31" t="s">
        <v>229</v>
      </c>
      <c r="I434" s="104" t="s">
        <v>420</v>
      </c>
      <c r="J434" s="31" t="s">
        <v>229</v>
      </c>
      <c r="K434" s="31" t="s">
        <v>21</v>
      </c>
      <c r="L434" s="9"/>
      <c r="M434" s="9"/>
      <c r="N434" s="8" t="s">
        <v>697</v>
      </c>
    </row>
    <row r="435" customFormat="false" ht="26.85" hidden="false" customHeight="false" outlineLevel="0" collapsed="false">
      <c r="A435" s="4"/>
      <c r="B435" s="6"/>
      <c r="C435" s="6"/>
      <c r="D435" s="6"/>
      <c r="E435" s="6" t="s">
        <v>515</v>
      </c>
      <c r="F435" s="31" t="s">
        <v>708</v>
      </c>
      <c r="G435" s="107"/>
      <c r="H435" s="31" t="s">
        <v>232</v>
      </c>
      <c r="I435" s="104" t="s">
        <v>709</v>
      </c>
      <c r="J435" s="31" t="n">
        <v>10</v>
      </c>
      <c r="K435" s="31" t="s">
        <v>21</v>
      </c>
      <c r="L435" s="9"/>
      <c r="M435" s="9"/>
      <c r="N435" s="8" t="s">
        <v>697</v>
      </c>
    </row>
    <row r="436" customFormat="false" ht="13.5" hidden="false" customHeight="false" outlineLevel="0" collapsed="false">
      <c r="A436" s="65" t="s">
        <v>0</v>
      </c>
      <c r="B436" s="65" t="s">
        <v>1</v>
      </c>
      <c r="C436" s="65" t="s">
        <v>2</v>
      </c>
      <c r="D436" s="65" t="s">
        <v>531</v>
      </c>
      <c r="E436" s="108" t="s">
        <v>325</v>
      </c>
      <c r="F436" s="65" t="s">
        <v>4</v>
      </c>
      <c r="G436" s="65" t="s">
        <v>5</v>
      </c>
      <c r="H436" s="65" t="s">
        <v>6</v>
      </c>
      <c r="I436" s="65" t="s">
        <v>7</v>
      </c>
      <c r="J436" s="65" t="s">
        <v>8</v>
      </c>
      <c r="K436" s="65" t="s">
        <v>9</v>
      </c>
      <c r="L436" s="108" t="s">
        <v>498</v>
      </c>
      <c r="M436" s="108" t="s">
        <v>499</v>
      </c>
      <c r="N436" s="108" t="s">
        <v>500</v>
      </c>
    </row>
    <row r="437" customFormat="false" ht="52.2" hidden="false" customHeight="true" outlineLevel="0" collapsed="false">
      <c r="A437" s="67" t="n">
        <v>46161</v>
      </c>
      <c r="B437" s="52" t="n">
        <v>183898</v>
      </c>
      <c r="C437" s="68" t="s">
        <v>710</v>
      </c>
      <c r="D437" s="68" t="s">
        <v>694</v>
      </c>
      <c r="E437" s="52" t="s">
        <v>564</v>
      </c>
      <c r="F437" s="52" t="n">
        <v>1301062</v>
      </c>
      <c r="G437" s="52" t="n">
        <v>150821</v>
      </c>
      <c r="H437" s="52" t="n">
        <v>1</v>
      </c>
      <c r="I437" s="50" t="s">
        <v>711</v>
      </c>
      <c r="J437" s="52" t="n">
        <v>40</v>
      </c>
      <c r="K437" s="52" t="s">
        <v>566</v>
      </c>
      <c r="L437" s="77" t="n">
        <v>339.74</v>
      </c>
      <c r="M437" s="77" t="n">
        <v>13589.5</v>
      </c>
      <c r="N437" s="52" t="s">
        <v>667</v>
      </c>
    </row>
    <row r="438" customFormat="false" ht="52.2" hidden="false" customHeight="false" outlineLevel="0" collapsed="false">
      <c r="A438" s="67"/>
      <c r="B438" s="67"/>
      <c r="C438" s="68"/>
      <c r="D438" s="68"/>
      <c r="E438" s="52" t="s">
        <v>564</v>
      </c>
      <c r="F438" s="55" t="n">
        <v>1301063</v>
      </c>
      <c r="G438" s="52" t="n">
        <v>150821</v>
      </c>
      <c r="H438" s="55" t="s">
        <v>159</v>
      </c>
      <c r="I438" s="76" t="s">
        <v>105</v>
      </c>
      <c r="J438" s="52" t="n">
        <v>40</v>
      </c>
      <c r="K438" s="52" t="s">
        <v>566</v>
      </c>
      <c r="L438" s="77" t="n">
        <v>557.93</v>
      </c>
      <c r="M438" s="77" t="n">
        <v>22317.14</v>
      </c>
      <c r="N438" s="52" t="s">
        <v>667</v>
      </c>
    </row>
    <row r="439" customFormat="false" ht="26.85" hidden="false" customHeight="false" outlineLevel="0" collapsed="false">
      <c r="A439" s="67"/>
      <c r="B439" s="67"/>
      <c r="C439" s="68"/>
      <c r="D439" s="68"/>
      <c r="E439" s="52" t="s">
        <v>564</v>
      </c>
      <c r="F439" s="52" t="n">
        <v>1301036</v>
      </c>
      <c r="G439" s="52" t="n">
        <v>150821</v>
      </c>
      <c r="H439" s="52" t="n">
        <v>3</v>
      </c>
      <c r="I439" s="50" t="s">
        <v>577</v>
      </c>
      <c r="J439" s="52" t="n">
        <v>100</v>
      </c>
      <c r="K439" s="52" t="s">
        <v>566</v>
      </c>
      <c r="L439" s="77" t="n">
        <v>248.43</v>
      </c>
      <c r="M439" s="77" t="n">
        <v>24843.43</v>
      </c>
      <c r="N439" s="52" t="s">
        <v>667</v>
      </c>
    </row>
    <row r="440" customFormat="false" ht="26.85" hidden="false" customHeight="false" outlineLevel="0" collapsed="false">
      <c r="A440" s="67"/>
      <c r="B440" s="67"/>
      <c r="C440" s="68"/>
      <c r="D440" s="68"/>
      <c r="E440" s="52" t="s">
        <v>564</v>
      </c>
      <c r="F440" s="52" t="n">
        <v>1301098</v>
      </c>
      <c r="G440" s="52" t="n">
        <v>150821</v>
      </c>
      <c r="H440" s="52" t="n">
        <v>4</v>
      </c>
      <c r="I440" s="50" t="s">
        <v>102</v>
      </c>
      <c r="J440" s="52" t="n">
        <v>40</v>
      </c>
      <c r="K440" s="52" t="s">
        <v>566</v>
      </c>
      <c r="L440" s="77" t="n">
        <v>270.18</v>
      </c>
      <c r="M440" s="77" t="n">
        <v>10807.18</v>
      </c>
      <c r="N440" s="52" t="s">
        <v>667</v>
      </c>
    </row>
    <row r="441" customFormat="false" ht="13.5" hidden="false" customHeight="false" outlineLevel="0" collapsed="false">
      <c r="A441" s="65" t="s">
        <v>0</v>
      </c>
      <c r="B441" s="65" t="s">
        <v>1</v>
      </c>
      <c r="C441" s="65" t="s">
        <v>2</v>
      </c>
      <c r="D441" s="65" t="s">
        <v>531</v>
      </c>
      <c r="E441" s="108" t="s">
        <v>325</v>
      </c>
      <c r="F441" s="65" t="s">
        <v>4</v>
      </c>
      <c r="G441" s="65" t="s">
        <v>5</v>
      </c>
      <c r="H441" s="65" t="s">
        <v>6</v>
      </c>
      <c r="I441" s="65" t="s">
        <v>7</v>
      </c>
      <c r="J441" s="65" t="s">
        <v>8</v>
      </c>
      <c r="K441" s="65" t="s">
        <v>9</v>
      </c>
      <c r="L441" s="108" t="s">
        <v>498</v>
      </c>
      <c r="M441" s="108" t="s">
        <v>499</v>
      </c>
      <c r="N441" s="108" t="s">
        <v>500</v>
      </c>
    </row>
    <row r="442" customFormat="false" ht="26.85" hidden="false" customHeight="true" outlineLevel="0" collapsed="false">
      <c r="A442" s="67" t="n">
        <v>46162</v>
      </c>
      <c r="B442" s="52" t="n">
        <v>184112</v>
      </c>
      <c r="C442" s="68" t="s">
        <v>712</v>
      </c>
      <c r="D442" s="68" t="s">
        <v>694</v>
      </c>
      <c r="E442" s="52"/>
      <c r="F442" s="9" t="n">
        <v>1108140</v>
      </c>
      <c r="G442" s="9" t="n">
        <v>150417</v>
      </c>
      <c r="H442" s="9" t="n">
        <v>1</v>
      </c>
      <c r="I442" s="10" t="s">
        <v>713</v>
      </c>
      <c r="J442" s="9" t="n">
        <v>20</v>
      </c>
      <c r="K442" s="31" t="s">
        <v>21</v>
      </c>
      <c r="L442" s="11" t="n">
        <v>213</v>
      </c>
      <c r="M442" s="11" t="n">
        <f aca="false">L442*J442</f>
        <v>4260</v>
      </c>
      <c r="N442" s="9" t="s">
        <v>18</v>
      </c>
    </row>
    <row r="443" customFormat="false" ht="26.85" hidden="false" customHeight="false" outlineLevel="0" collapsed="false">
      <c r="A443" s="67"/>
      <c r="B443" s="67"/>
      <c r="C443" s="68"/>
      <c r="D443" s="68"/>
      <c r="E443" s="52"/>
      <c r="F443" s="9" t="n">
        <v>1108141</v>
      </c>
      <c r="G443" s="9" t="n">
        <v>150417</v>
      </c>
      <c r="H443" s="9" t="n">
        <v>2</v>
      </c>
      <c r="I443" s="10" t="s">
        <v>714</v>
      </c>
      <c r="J443" s="9" t="n">
        <v>20</v>
      </c>
      <c r="K443" s="31" t="s">
        <v>21</v>
      </c>
      <c r="L443" s="11" t="n">
        <v>465</v>
      </c>
      <c r="M443" s="11" t="n">
        <f aca="false">L443*J443</f>
        <v>9300</v>
      </c>
      <c r="N443" s="9" t="s">
        <v>18</v>
      </c>
    </row>
    <row r="444" customFormat="false" ht="26.85" hidden="false" customHeight="false" outlineLevel="0" collapsed="false">
      <c r="A444" s="67"/>
      <c r="B444" s="67"/>
      <c r="C444" s="68"/>
      <c r="D444" s="68"/>
      <c r="E444" s="52"/>
      <c r="F444" s="9" t="n">
        <v>1108142</v>
      </c>
      <c r="G444" s="9" t="n">
        <v>150417</v>
      </c>
      <c r="H444" s="9" t="n">
        <v>3</v>
      </c>
      <c r="I444" s="10" t="s">
        <v>715</v>
      </c>
      <c r="J444" s="9" t="n">
        <v>20</v>
      </c>
      <c r="K444" s="31" t="s">
        <v>21</v>
      </c>
      <c r="L444" s="11" t="n">
        <v>267</v>
      </c>
      <c r="M444" s="11" t="n">
        <f aca="false">L444*J444</f>
        <v>5340</v>
      </c>
      <c r="N444" s="9" t="s">
        <v>18</v>
      </c>
    </row>
    <row r="445" customFormat="false" ht="13.5" hidden="false" customHeight="false" outlineLevel="0" collapsed="false">
      <c r="A445" s="65" t="s">
        <v>0</v>
      </c>
      <c r="B445" s="65" t="s">
        <v>1</v>
      </c>
      <c r="C445" s="65" t="s">
        <v>2</v>
      </c>
      <c r="D445" s="65" t="s">
        <v>531</v>
      </c>
      <c r="E445" s="108" t="s">
        <v>325</v>
      </c>
      <c r="F445" s="65" t="s">
        <v>4</v>
      </c>
      <c r="G445" s="65" t="s">
        <v>5</v>
      </c>
      <c r="H445" s="65" t="s">
        <v>6</v>
      </c>
      <c r="I445" s="65" t="s">
        <v>7</v>
      </c>
      <c r="J445" s="65" t="s">
        <v>8</v>
      </c>
      <c r="K445" s="65" t="s">
        <v>9</v>
      </c>
      <c r="L445" s="108" t="s">
        <v>498</v>
      </c>
      <c r="M445" s="108" t="s">
        <v>499</v>
      </c>
      <c r="N445" s="108" t="s">
        <v>500</v>
      </c>
    </row>
    <row r="446" customFormat="false" ht="26.85" hidden="false" customHeight="true" outlineLevel="0" collapsed="false">
      <c r="A446" s="67" t="n">
        <v>46164</v>
      </c>
      <c r="B446" s="52" t="n">
        <v>184298</v>
      </c>
      <c r="C446" s="68" t="s">
        <v>716</v>
      </c>
      <c r="D446" s="68" t="s">
        <v>694</v>
      </c>
      <c r="E446" s="52"/>
      <c r="F446" s="7" t="s">
        <v>548</v>
      </c>
      <c r="G446" s="9" t="n">
        <v>149656</v>
      </c>
      <c r="H446" s="31" t="s">
        <v>154</v>
      </c>
      <c r="I446" s="27" t="s">
        <v>549</v>
      </c>
      <c r="J446" s="31" t="s">
        <v>717</v>
      </c>
      <c r="K446" s="31" t="s">
        <v>164</v>
      </c>
      <c r="L446" s="11" t="n">
        <v>64.18</v>
      </c>
      <c r="M446" s="11" t="n">
        <v>30806.4</v>
      </c>
      <c r="N446" s="9" t="s">
        <v>18</v>
      </c>
    </row>
    <row r="447" customFormat="false" ht="26.85" hidden="false" customHeight="false" outlineLevel="0" collapsed="false">
      <c r="A447" s="67"/>
      <c r="B447" s="67"/>
      <c r="C447" s="68"/>
      <c r="D447" s="68"/>
      <c r="E447" s="52"/>
      <c r="F447" s="86" t="s">
        <v>560</v>
      </c>
      <c r="G447" s="52"/>
      <c r="H447" s="55" t="s">
        <v>159</v>
      </c>
      <c r="I447" s="76" t="s">
        <v>561</v>
      </c>
      <c r="J447" s="55" t="s">
        <v>141</v>
      </c>
      <c r="K447" s="55" t="s">
        <v>21</v>
      </c>
      <c r="L447" s="77" t="n">
        <v>5448.24</v>
      </c>
      <c r="M447" s="77" t="n">
        <f aca="false">L447*J447</f>
        <v>54482.4</v>
      </c>
      <c r="N447" s="52" t="s">
        <v>74</v>
      </c>
    </row>
    <row r="448" customFormat="false" ht="13.5" hidden="false" customHeight="false" outlineLevel="0" collapsed="false">
      <c r="A448" s="67"/>
      <c r="B448" s="67"/>
      <c r="C448" s="68"/>
      <c r="D448" s="68"/>
      <c r="E448" s="52"/>
      <c r="F448" s="86" t="n">
        <v>1402045</v>
      </c>
      <c r="G448" s="52"/>
      <c r="H448" s="55" t="s">
        <v>99</v>
      </c>
      <c r="I448" s="76" t="s">
        <v>562</v>
      </c>
      <c r="J448" s="55" t="s">
        <v>183</v>
      </c>
      <c r="K448" s="55" t="s">
        <v>21</v>
      </c>
      <c r="L448" s="77" t="n">
        <v>7723.09</v>
      </c>
      <c r="M448" s="77" t="n">
        <f aca="false">L448*J448</f>
        <v>115846.35</v>
      </c>
      <c r="N448" s="52" t="s">
        <v>74</v>
      </c>
    </row>
    <row r="449" customFormat="false" ht="13.5" hidden="false" customHeight="false" outlineLevel="0" collapsed="false">
      <c r="A449" s="65" t="s">
        <v>0</v>
      </c>
      <c r="B449" s="65" t="s">
        <v>1</v>
      </c>
      <c r="C449" s="65" t="s">
        <v>2</v>
      </c>
      <c r="D449" s="65" t="s">
        <v>531</v>
      </c>
      <c r="E449" s="108" t="s">
        <v>325</v>
      </c>
      <c r="F449" s="65" t="s">
        <v>4</v>
      </c>
      <c r="G449" s="65" t="s">
        <v>5</v>
      </c>
      <c r="H449" s="65" t="s">
        <v>6</v>
      </c>
      <c r="I449" s="65" t="s">
        <v>7</v>
      </c>
      <c r="J449" s="65" t="s">
        <v>8</v>
      </c>
      <c r="K449" s="65" t="s">
        <v>9</v>
      </c>
      <c r="L449" s="108" t="s">
        <v>498</v>
      </c>
      <c r="M449" s="108" t="s">
        <v>499</v>
      </c>
      <c r="N449" s="108" t="s">
        <v>500</v>
      </c>
    </row>
    <row r="450" customFormat="false" ht="26.85" hidden="false" customHeight="true" outlineLevel="0" collapsed="false">
      <c r="A450" s="67" t="n">
        <v>46169</v>
      </c>
      <c r="B450" s="52" t="n">
        <v>184578</v>
      </c>
      <c r="C450" s="68" t="s">
        <v>718</v>
      </c>
      <c r="D450" s="68" t="s">
        <v>694</v>
      </c>
      <c r="E450" s="6" t="s">
        <v>319</v>
      </c>
      <c r="F450" s="86" t="n">
        <v>1204049</v>
      </c>
      <c r="G450" s="52" t="n">
        <v>150864</v>
      </c>
      <c r="H450" s="55" t="s">
        <v>154</v>
      </c>
      <c r="I450" s="76" t="s">
        <v>195</v>
      </c>
      <c r="J450" s="55" t="s">
        <v>130</v>
      </c>
      <c r="K450" s="55" t="s">
        <v>21</v>
      </c>
      <c r="L450" s="77" t="n">
        <v>31</v>
      </c>
      <c r="M450" s="77" t="n">
        <v>3100</v>
      </c>
      <c r="N450" s="52" t="s">
        <v>667</v>
      </c>
    </row>
    <row r="451" customFormat="false" ht="26.85" hidden="false" customHeight="false" outlineLevel="0" collapsed="false">
      <c r="A451" s="67"/>
      <c r="B451" s="67"/>
      <c r="C451" s="68"/>
      <c r="D451" s="68"/>
      <c r="E451" s="6" t="s">
        <v>319</v>
      </c>
      <c r="F451" s="86" t="s">
        <v>541</v>
      </c>
      <c r="G451" s="52" t="n">
        <v>150864</v>
      </c>
      <c r="H451" s="55" t="s">
        <v>159</v>
      </c>
      <c r="I451" s="76" t="s">
        <v>199</v>
      </c>
      <c r="J451" s="55" t="s">
        <v>130</v>
      </c>
      <c r="K451" s="55" t="s">
        <v>21</v>
      </c>
      <c r="L451" s="77" t="n">
        <v>38</v>
      </c>
      <c r="M451" s="77" t="n">
        <v>3800</v>
      </c>
      <c r="N451" s="52" t="s">
        <v>667</v>
      </c>
    </row>
    <row r="452" customFormat="false" ht="26.85" hidden="false" customHeight="false" outlineLevel="0" collapsed="false">
      <c r="A452" s="67"/>
      <c r="B452" s="67"/>
      <c r="C452" s="68"/>
      <c r="D452" s="68"/>
      <c r="E452" s="6" t="s">
        <v>319</v>
      </c>
      <c r="F452" s="86" t="s">
        <v>719</v>
      </c>
      <c r="G452" s="52" t="n">
        <v>150864</v>
      </c>
      <c r="H452" s="55" t="s">
        <v>99</v>
      </c>
      <c r="I452" s="76" t="s">
        <v>720</v>
      </c>
      <c r="J452" s="55" t="s">
        <v>124</v>
      </c>
      <c r="K452" s="55" t="s">
        <v>21</v>
      </c>
      <c r="L452" s="77" t="n">
        <v>67</v>
      </c>
      <c r="M452" s="77" t="n">
        <v>670</v>
      </c>
      <c r="N452" s="52" t="s">
        <v>667</v>
      </c>
    </row>
    <row r="453" customFormat="false" ht="13.5" hidden="false" customHeight="false" outlineLevel="0" collapsed="false">
      <c r="A453" s="67"/>
      <c r="B453" s="67"/>
      <c r="C453" s="68"/>
      <c r="D453" s="68"/>
      <c r="E453" s="6" t="s">
        <v>319</v>
      </c>
      <c r="F453" s="86" t="s">
        <v>125</v>
      </c>
      <c r="G453" s="52" t="n">
        <v>150864</v>
      </c>
      <c r="H453" s="55" t="s">
        <v>224</v>
      </c>
      <c r="I453" s="76" t="s">
        <v>721</v>
      </c>
      <c r="J453" s="55" t="s">
        <v>109</v>
      </c>
      <c r="K453" s="55" t="s">
        <v>21</v>
      </c>
      <c r="L453" s="77" t="n">
        <v>178</v>
      </c>
      <c r="M453" s="77" t="n">
        <v>3560</v>
      </c>
      <c r="N453" s="52" t="s">
        <v>667</v>
      </c>
    </row>
    <row r="454" customFormat="false" ht="26.85" hidden="false" customHeight="false" outlineLevel="0" collapsed="false">
      <c r="A454" s="67"/>
      <c r="B454" s="67"/>
      <c r="C454" s="68"/>
      <c r="D454" s="68"/>
      <c r="E454" s="6" t="s">
        <v>319</v>
      </c>
      <c r="F454" s="86" t="s">
        <v>722</v>
      </c>
      <c r="G454" s="52" t="n">
        <v>150864</v>
      </c>
      <c r="H454" s="55" t="s">
        <v>119</v>
      </c>
      <c r="I454" s="76" t="s">
        <v>723</v>
      </c>
      <c r="J454" s="55" t="s">
        <v>724</v>
      </c>
      <c r="K454" s="55" t="s">
        <v>21</v>
      </c>
      <c r="L454" s="77" t="n">
        <v>3</v>
      </c>
      <c r="M454" s="77" t="n">
        <v>432</v>
      </c>
      <c r="N454" s="52" t="s">
        <v>667</v>
      </c>
    </row>
    <row r="455" customFormat="false" ht="13.5" hidden="false" customHeight="false" outlineLevel="0" collapsed="false">
      <c r="A455" s="67"/>
      <c r="B455" s="67"/>
      <c r="C455" s="68"/>
      <c r="D455" s="68"/>
      <c r="E455" s="6" t="s">
        <v>319</v>
      </c>
      <c r="F455" s="55" t="s">
        <v>117</v>
      </c>
      <c r="G455" s="52" t="n">
        <v>150864</v>
      </c>
      <c r="H455" s="55" t="s">
        <v>229</v>
      </c>
      <c r="I455" s="50" t="s">
        <v>118</v>
      </c>
      <c r="J455" s="55" t="s">
        <v>141</v>
      </c>
      <c r="K455" s="55" t="s">
        <v>21</v>
      </c>
      <c r="L455" s="77" t="n">
        <v>67</v>
      </c>
      <c r="M455" s="77" t="n">
        <v>670</v>
      </c>
      <c r="N455" s="52" t="s">
        <v>667</v>
      </c>
    </row>
    <row r="456" customFormat="false" ht="13.5" hidden="false" customHeight="false" outlineLevel="0" collapsed="false">
      <c r="A456" s="67"/>
      <c r="B456" s="67"/>
      <c r="C456" s="68"/>
      <c r="D456" s="68"/>
      <c r="E456" s="6" t="s">
        <v>319</v>
      </c>
      <c r="F456" s="86" t="s">
        <v>545</v>
      </c>
      <c r="G456" s="52" t="n">
        <v>150864</v>
      </c>
      <c r="H456" s="55" t="s">
        <v>232</v>
      </c>
      <c r="I456" s="76" t="s">
        <v>546</v>
      </c>
      <c r="J456" s="55" t="s">
        <v>224</v>
      </c>
      <c r="K456" s="55" t="s">
        <v>21</v>
      </c>
      <c r="L456" s="77" t="n">
        <v>160</v>
      </c>
      <c r="M456" s="77" t="n">
        <v>640</v>
      </c>
      <c r="N456" s="52" t="s">
        <v>667</v>
      </c>
    </row>
    <row r="457" customFormat="false" ht="13.5" hidden="false" customHeight="false" outlineLevel="0" collapsed="false">
      <c r="A457" s="67"/>
      <c r="B457" s="67"/>
      <c r="C457" s="68"/>
      <c r="D457" s="68"/>
      <c r="E457" s="6" t="s">
        <v>319</v>
      </c>
      <c r="F457" s="86" t="n">
        <v>1204041</v>
      </c>
      <c r="G457" s="52" t="n">
        <v>150864</v>
      </c>
      <c r="H457" s="55" t="s">
        <v>235</v>
      </c>
      <c r="I457" s="76" t="s">
        <v>547</v>
      </c>
      <c r="J457" s="55" t="s">
        <v>224</v>
      </c>
      <c r="K457" s="55" t="s">
        <v>21</v>
      </c>
      <c r="L457" s="77" t="n">
        <v>160</v>
      </c>
      <c r="M457" s="77" t="n">
        <v>640</v>
      </c>
      <c r="N457" s="52" t="s">
        <v>667</v>
      </c>
    </row>
    <row r="458" customFormat="false" ht="13.5" hidden="false" customHeight="false" outlineLevel="0" collapsed="false">
      <c r="A458" s="67"/>
      <c r="B458" s="67"/>
      <c r="C458" s="68"/>
      <c r="D458" s="68"/>
      <c r="E458" s="6" t="s">
        <v>319</v>
      </c>
      <c r="F458" s="52" t="n">
        <v>1501302</v>
      </c>
      <c r="G458" s="52" t="n">
        <v>150864</v>
      </c>
      <c r="H458" s="55" t="s">
        <v>239</v>
      </c>
      <c r="I458" s="87" t="s">
        <v>725</v>
      </c>
      <c r="J458" s="52" t="n">
        <v>2</v>
      </c>
      <c r="K458" s="55" t="s">
        <v>21</v>
      </c>
      <c r="L458" s="77" t="n">
        <v>5300</v>
      </c>
      <c r="M458" s="77" t="n">
        <v>10600</v>
      </c>
      <c r="N458" s="52" t="s">
        <v>667</v>
      </c>
    </row>
    <row r="459" customFormat="false" ht="26.85" hidden="false" customHeight="false" outlineLevel="0" collapsed="false">
      <c r="A459" s="67"/>
      <c r="B459" s="67"/>
      <c r="C459" s="68"/>
      <c r="D459" s="68"/>
      <c r="E459" s="6" t="s">
        <v>319</v>
      </c>
      <c r="F459" s="52" t="n">
        <v>1208475</v>
      </c>
      <c r="G459" s="52" t="n">
        <v>150864</v>
      </c>
      <c r="H459" s="55" t="s">
        <v>141</v>
      </c>
      <c r="I459" s="109" t="s">
        <v>726</v>
      </c>
      <c r="J459" s="52" t="n">
        <v>2</v>
      </c>
      <c r="K459" s="55" t="s">
        <v>21</v>
      </c>
      <c r="L459" s="77" t="n">
        <v>3890</v>
      </c>
      <c r="M459" s="77" t="n">
        <v>7780</v>
      </c>
      <c r="N459" s="52" t="s">
        <v>667</v>
      </c>
    </row>
    <row r="460" customFormat="false" ht="26.85" hidden="false" customHeight="false" outlineLevel="0" collapsed="false">
      <c r="A460" s="67"/>
      <c r="B460" s="67"/>
      <c r="C460" s="68"/>
      <c r="D460" s="68"/>
      <c r="E460" s="6" t="s">
        <v>319</v>
      </c>
      <c r="F460" s="52" t="n">
        <v>2003028</v>
      </c>
      <c r="G460" s="52" t="n">
        <v>150864</v>
      </c>
      <c r="H460" s="55" t="s">
        <v>244</v>
      </c>
      <c r="I460" s="76" t="s">
        <v>449</v>
      </c>
      <c r="J460" s="52" t="n">
        <v>5</v>
      </c>
      <c r="K460" s="55" t="s">
        <v>21</v>
      </c>
      <c r="L460" s="77" t="n">
        <v>305</v>
      </c>
      <c r="M460" s="77" t="n">
        <v>1525</v>
      </c>
      <c r="N460" s="52" t="s">
        <v>667</v>
      </c>
    </row>
    <row r="461" customFormat="false" ht="13.5" hidden="false" customHeight="false" outlineLevel="0" collapsed="false">
      <c r="A461" s="67"/>
      <c r="B461" s="67"/>
      <c r="C461" s="68"/>
      <c r="D461" s="68"/>
      <c r="E461" s="6" t="s">
        <v>319</v>
      </c>
      <c r="F461" s="52" t="n">
        <v>1501138</v>
      </c>
      <c r="G461" s="52" t="n">
        <v>150864</v>
      </c>
      <c r="H461" s="55" t="s">
        <v>246</v>
      </c>
      <c r="I461" s="109" t="s">
        <v>727</v>
      </c>
      <c r="J461" s="52" t="n">
        <v>1</v>
      </c>
      <c r="K461" s="55" t="s">
        <v>21</v>
      </c>
      <c r="L461" s="77" t="n">
        <v>410</v>
      </c>
      <c r="M461" s="77" t="n">
        <v>410</v>
      </c>
      <c r="N461" s="52" t="s">
        <v>667</v>
      </c>
    </row>
    <row r="462" customFormat="false" ht="13.5" hidden="false" customHeight="false" outlineLevel="0" collapsed="false">
      <c r="A462" s="65" t="s">
        <v>0</v>
      </c>
      <c r="B462" s="65" t="s">
        <v>1</v>
      </c>
      <c r="C462" s="65" t="s">
        <v>2</v>
      </c>
      <c r="D462" s="65" t="s">
        <v>531</v>
      </c>
      <c r="E462" s="108" t="s">
        <v>325</v>
      </c>
      <c r="F462" s="65" t="s">
        <v>4</v>
      </c>
      <c r="G462" s="65" t="s">
        <v>5</v>
      </c>
      <c r="H462" s="65" t="s">
        <v>6</v>
      </c>
      <c r="I462" s="65" t="s">
        <v>7</v>
      </c>
      <c r="J462" s="65" t="s">
        <v>8</v>
      </c>
      <c r="K462" s="65" t="s">
        <v>9</v>
      </c>
      <c r="L462" s="108" t="s">
        <v>498</v>
      </c>
      <c r="M462" s="108" t="s">
        <v>499</v>
      </c>
      <c r="N462" s="108" t="s">
        <v>500</v>
      </c>
    </row>
    <row r="463" customFormat="false" ht="26.85" hidden="false" customHeight="true" outlineLevel="0" collapsed="false">
      <c r="A463" s="67" t="n">
        <v>46171</v>
      </c>
      <c r="B463" s="52" t="n">
        <v>185092</v>
      </c>
      <c r="C463" s="52" t="s">
        <v>728</v>
      </c>
      <c r="D463" s="68" t="s">
        <v>694</v>
      </c>
      <c r="E463" s="6" t="s">
        <v>319</v>
      </c>
      <c r="F463" s="52" t="n">
        <v>1108144</v>
      </c>
      <c r="G463" s="52" t="n">
        <v>150869</v>
      </c>
      <c r="H463" s="52" t="n">
        <v>1</v>
      </c>
      <c r="I463" s="50" t="s">
        <v>729</v>
      </c>
      <c r="J463" s="52" t="n">
        <v>100</v>
      </c>
      <c r="K463" s="55" t="s">
        <v>21</v>
      </c>
      <c r="L463" s="77" t="n">
        <v>4.78</v>
      </c>
      <c r="M463" s="77" t="n">
        <v>478</v>
      </c>
      <c r="N463" s="52" t="s">
        <v>667</v>
      </c>
    </row>
    <row r="464" customFormat="false" ht="26.85" hidden="false" customHeight="false" outlineLevel="0" collapsed="false">
      <c r="A464" s="67"/>
      <c r="B464" s="52"/>
      <c r="C464" s="52"/>
      <c r="D464" s="68"/>
      <c r="E464" s="6" t="s">
        <v>319</v>
      </c>
      <c r="F464" s="52" t="n">
        <v>1108145</v>
      </c>
      <c r="G464" s="52" t="n">
        <v>150869</v>
      </c>
      <c r="H464" s="52" t="n">
        <v>2</v>
      </c>
      <c r="I464" s="50" t="s">
        <v>730</v>
      </c>
      <c r="J464" s="52" t="n">
        <v>100</v>
      </c>
      <c r="K464" s="55" t="s">
        <v>21</v>
      </c>
      <c r="L464" s="77" t="n">
        <v>14.27</v>
      </c>
      <c r="M464" s="77" t="n">
        <v>1427</v>
      </c>
      <c r="N464" s="52" t="s">
        <v>667</v>
      </c>
    </row>
    <row r="465" customFormat="false" ht="13.5" hidden="false" customHeight="false" outlineLevel="0" collapsed="false">
      <c r="A465" s="56" t="s">
        <v>0</v>
      </c>
      <c r="B465" s="56" t="s">
        <v>1</v>
      </c>
      <c r="C465" s="56" t="s">
        <v>2</v>
      </c>
      <c r="D465" s="56" t="s">
        <v>3</v>
      </c>
      <c r="E465" s="56" t="s">
        <v>325</v>
      </c>
      <c r="F465" s="56" t="s">
        <v>4</v>
      </c>
      <c r="G465" s="56" t="s">
        <v>5</v>
      </c>
      <c r="H465" s="56" t="s">
        <v>6</v>
      </c>
      <c r="I465" s="56" t="s">
        <v>7</v>
      </c>
      <c r="J465" s="56" t="s">
        <v>8</v>
      </c>
      <c r="K465" s="56" t="s">
        <v>9</v>
      </c>
      <c r="L465" s="56" t="s">
        <v>10</v>
      </c>
      <c r="M465" s="56" t="s">
        <v>11</v>
      </c>
      <c r="N465" s="56" t="s">
        <v>12</v>
      </c>
    </row>
    <row r="466" customFormat="false" ht="26.85" hidden="false" customHeight="false" outlineLevel="0" collapsed="false">
      <c r="A466" s="110" t="n">
        <v>46176</v>
      </c>
      <c r="B466" s="5" t="n">
        <v>185574</v>
      </c>
      <c r="C466" s="5" t="s">
        <v>731</v>
      </c>
      <c r="D466" s="68" t="s">
        <v>694</v>
      </c>
      <c r="E466" s="5" t="s">
        <v>319</v>
      </c>
      <c r="F466" s="86" t="s">
        <v>411</v>
      </c>
      <c r="G466" s="86" t="s">
        <v>732</v>
      </c>
      <c r="H466" s="86" t="n">
        <v>1</v>
      </c>
      <c r="I466" s="111" t="s">
        <v>413</v>
      </c>
      <c r="J466" s="86" t="s">
        <v>99</v>
      </c>
      <c r="K466" s="86" t="s">
        <v>414</v>
      </c>
      <c r="L466" s="101" t="n">
        <v>1981.9</v>
      </c>
      <c r="M466" s="101" t="n">
        <v>5945.69</v>
      </c>
      <c r="N466" s="52" t="s">
        <v>667</v>
      </c>
    </row>
    <row r="467" customFormat="false" ht="13.5" hidden="false" customHeight="false" outlineLevel="0" collapsed="false">
      <c r="A467" s="56" t="s">
        <v>0</v>
      </c>
      <c r="B467" s="56" t="s">
        <v>1</v>
      </c>
      <c r="C467" s="56" t="s">
        <v>2</v>
      </c>
      <c r="D467" s="56" t="s">
        <v>3</v>
      </c>
      <c r="E467" s="56" t="s">
        <v>325</v>
      </c>
      <c r="F467" s="56" t="s">
        <v>4</v>
      </c>
      <c r="G467" s="56" t="s">
        <v>5</v>
      </c>
      <c r="H467" s="56" t="s">
        <v>6</v>
      </c>
      <c r="I467" s="56" t="s">
        <v>7</v>
      </c>
      <c r="J467" s="56" t="s">
        <v>8</v>
      </c>
      <c r="K467" s="56" t="s">
        <v>9</v>
      </c>
      <c r="L467" s="56" t="s">
        <v>10</v>
      </c>
      <c r="M467" s="56" t="s">
        <v>11</v>
      </c>
      <c r="N467" s="56" t="s">
        <v>12</v>
      </c>
    </row>
    <row r="468" customFormat="false" ht="26.85" hidden="false" customHeight="false" outlineLevel="0" collapsed="false">
      <c r="A468" s="110" t="n">
        <v>46177</v>
      </c>
      <c r="B468" s="5" t="n">
        <v>185715</v>
      </c>
      <c r="C468" s="5" t="s">
        <v>733</v>
      </c>
      <c r="D468" s="68" t="s">
        <v>694</v>
      </c>
      <c r="E468" s="5" t="s">
        <v>319</v>
      </c>
      <c r="F468" s="7" t="s">
        <v>734</v>
      </c>
      <c r="G468" s="7"/>
      <c r="H468" s="7" t="n">
        <v>1</v>
      </c>
      <c r="I468" s="27" t="s">
        <v>735</v>
      </c>
      <c r="J468" s="7" t="s">
        <v>154</v>
      </c>
      <c r="K468" s="7" t="s">
        <v>21</v>
      </c>
      <c r="L468" s="9"/>
      <c r="M468" s="9"/>
      <c r="N468" s="8" t="s">
        <v>736</v>
      </c>
    </row>
    <row r="469" customFormat="false" ht="13.5" hidden="false" customHeight="false" outlineLevel="0" collapsed="false">
      <c r="A469" s="56" t="s">
        <v>0</v>
      </c>
      <c r="B469" s="56" t="s">
        <v>1</v>
      </c>
      <c r="C469" s="56" t="s">
        <v>2</v>
      </c>
      <c r="D469" s="56" t="s">
        <v>3</v>
      </c>
      <c r="E469" s="56" t="s">
        <v>325</v>
      </c>
      <c r="F469" s="56" t="s">
        <v>4</v>
      </c>
      <c r="G469" s="56" t="s">
        <v>5</v>
      </c>
      <c r="H469" s="56" t="s">
        <v>6</v>
      </c>
      <c r="I469" s="56" t="s">
        <v>7</v>
      </c>
      <c r="J469" s="56" t="s">
        <v>8</v>
      </c>
      <c r="K469" s="56" t="s">
        <v>9</v>
      </c>
      <c r="L469" s="56" t="s">
        <v>10</v>
      </c>
      <c r="M469" s="56" t="s">
        <v>11</v>
      </c>
      <c r="N469" s="56" t="s">
        <v>12</v>
      </c>
    </row>
    <row r="470" customFormat="false" ht="13.5" hidden="false" customHeight="true" outlineLevel="0" collapsed="false">
      <c r="A470" s="74" t="n">
        <v>46177</v>
      </c>
      <c r="B470" s="68" t="n">
        <v>185808</v>
      </c>
      <c r="C470" s="68" t="s">
        <v>737</v>
      </c>
      <c r="D470" s="68" t="s">
        <v>694</v>
      </c>
      <c r="E470" s="55" t="s">
        <v>319</v>
      </c>
      <c r="F470" s="112" t="n">
        <v>1402052</v>
      </c>
      <c r="G470" s="5"/>
      <c r="H470" s="55" t="s">
        <v>154</v>
      </c>
      <c r="I470" s="113" t="s">
        <v>738</v>
      </c>
      <c r="J470" s="52" t="n">
        <v>4</v>
      </c>
      <c r="K470" s="55" t="s">
        <v>21</v>
      </c>
      <c r="L470" s="51"/>
      <c r="M470" s="51"/>
      <c r="N470" s="52" t="s">
        <v>74</v>
      </c>
    </row>
    <row r="471" customFormat="false" ht="13.5" hidden="false" customHeight="false" outlineLevel="0" collapsed="false">
      <c r="A471" s="74"/>
      <c r="B471" s="68"/>
      <c r="C471" s="68"/>
      <c r="D471" s="68"/>
      <c r="E471" s="55" t="s">
        <v>319</v>
      </c>
      <c r="F471" s="52" t="n">
        <v>1409041</v>
      </c>
      <c r="G471" s="52"/>
      <c r="H471" s="52" t="n">
        <v>2</v>
      </c>
      <c r="I471" s="87" t="s">
        <v>739</v>
      </c>
      <c r="J471" s="52" t="n">
        <v>35</v>
      </c>
      <c r="K471" s="55" t="s">
        <v>21</v>
      </c>
      <c r="L471" s="52"/>
      <c r="M471" s="52"/>
      <c r="N471" s="52" t="s">
        <v>74</v>
      </c>
    </row>
    <row r="472" customFormat="false" ht="13.5" hidden="false" customHeight="false" outlineLevel="0" collapsed="false">
      <c r="A472" s="74"/>
      <c r="B472" s="68"/>
      <c r="C472" s="68"/>
      <c r="D472" s="68"/>
      <c r="E472" s="55" t="s">
        <v>319</v>
      </c>
      <c r="F472" s="52" t="n">
        <v>1401022</v>
      </c>
      <c r="G472" s="52"/>
      <c r="H472" s="52" t="n">
        <v>3</v>
      </c>
      <c r="I472" s="87" t="s">
        <v>740</v>
      </c>
      <c r="J472" s="55" t="s">
        <v>229</v>
      </c>
      <c r="K472" s="55" t="s">
        <v>21</v>
      </c>
      <c r="L472" s="52"/>
      <c r="M472" s="52"/>
      <c r="N472" s="52" t="s">
        <v>74</v>
      </c>
    </row>
    <row r="473" customFormat="false" ht="13.5" hidden="false" customHeight="false" outlineLevel="0" collapsed="false">
      <c r="A473" s="74"/>
      <c r="B473" s="68"/>
      <c r="C473" s="68"/>
      <c r="D473" s="68"/>
      <c r="E473" s="55" t="s">
        <v>319</v>
      </c>
      <c r="F473" s="52" t="n">
        <v>1208388</v>
      </c>
      <c r="G473" s="52"/>
      <c r="H473" s="52" t="n">
        <v>5</v>
      </c>
      <c r="I473" s="87" t="s">
        <v>741</v>
      </c>
      <c r="J473" s="52" t="n">
        <v>300</v>
      </c>
      <c r="K473" s="55" t="s">
        <v>21</v>
      </c>
      <c r="L473" s="52"/>
      <c r="M473" s="52"/>
      <c r="N473" s="52" t="s">
        <v>74</v>
      </c>
    </row>
    <row r="474" customFormat="false" ht="13.5" hidden="false" customHeight="false" outlineLevel="0" collapsed="false">
      <c r="A474" s="74"/>
      <c r="B474" s="68"/>
      <c r="C474" s="68"/>
      <c r="D474" s="68"/>
      <c r="E474" s="52"/>
      <c r="F474" s="52" t="n">
        <v>1406001</v>
      </c>
      <c r="G474" s="52"/>
      <c r="H474" s="52" t="n">
        <v>6</v>
      </c>
      <c r="I474" s="87" t="s">
        <v>742</v>
      </c>
      <c r="J474" s="52" t="n">
        <v>10</v>
      </c>
      <c r="K474" s="55" t="s">
        <v>21</v>
      </c>
      <c r="L474" s="52"/>
      <c r="M474" s="52"/>
      <c r="N474" s="52" t="s">
        <v>74</v>
      </c>
    </row>
    <row r="475" customFormat="false" ht="13.5" hidden="false" customHeight="false" outlineLevel="0" collapsed="false">
      <c r="A475" s="56" t="s">
        <v>0</v>
      </c>
      <c r="B475" s="56" t="s">
        <v>1</v>
      </c>
      <c r="C475" s="56" t="s">
        <v>2</v>
      </c>
      <c r="D475" s="56" t="s">
        <v>3</v>
      </c>
      <c r="E475" s="56" t="s">
        <v>325</v>
      </c>
      <c r="F475" s="56" t="s">
        <v>4</v>
      </c>
      <c r="G475" s="56" t="s">
        <v>5</v>
      </c>
      <c r="H475" s="56" t="s">
        <v>6</v>
      </c>
      <c r="I475" s="56" t="s">
        <v>7</v>
      </c>
      <c r="J475" s="56" t="s">
        <v>8</v>
      </c>
      <c r="K475" s="56" t="s">
        <v>9</v>
      </c>
      <c r="L475" s="56" t="s">
        <v>10</v>
      </c>
      <c r="M475" s="56" t="s">
        <v>11</v>
      </c>
      <c r="N475" s="56" t="s">
        <v>12</v>
      </c>
    </row>
    <row r="476" customFormat="false" ht="26.85" hidden="false" customHeight="true" outlineLevel="0" collapsed="false">
      <c r="A476" s="67" t="n">
        <v>46181</v>
      </c>
      <c r="B476" s="52" t="n">
        <v>185973</v>
      </c>
      <c r="C476" s="52" t="s">
        <v>743</v>
      </c>
      <c r="D476" s="68" t="s">
        <v>694</v>
      </c>
      <c r="E476" s="52"/>
      <c r="F476" s="114" t="s">
        <v>744</v>
      </c>
      <c r="G476" s="113"/>
      <c r="H476" s="55" t="s">
        <v>154</v>
      </c>
      <c r="I476" s="113" t="s">
        <v>745</v>
      </c>
      <c r="J476" s="55" t="s">
        <v>307</v>
      </c>
      <c r="K476" s="55" t="s">
        <v>164</v>
      </c>
      <c r="L476" s="77"/>
      <c r="M476" s="77"/>
      <c r="N476" s="52" t="s">
        <v>74</v>
      </c>
    </row>
    <row r="477" customFormat="false" ht="26.85" hidden="false" customHeight="false" outlineLevel="0" collapsed="false">
      <c r="A477" s="67"/>
      <c r="B477" s="52"/>
      <c r="C477" s="52"/>
      <c r="D477" s="68"/>
      <c r="E477" s="52"/>
      <c r="F477" s="86" t="s">
        <v>746</v>
      </c>
      <c r="G477" s="52"/>
      <c r="H477" s="55" t="s">
        <v>159</v>
      </c>
      <c r="I477" s="50" t="s">
        <v>747</v>
      </c>
      <c r="J477" s="55" t="s">
        <v>246</v>
      </c>
      <c r="K477" s="55" t="s">
        <v>21</v>
      </c>
      <c r="L477" s="77"/>
      <c r="M477" s="77"/>
      <c r="N477" s="52" t="s">
        <v>74</v>
      </c>
    </row>
    <row r="478" customFormat="false" ht="64.9" hidden="false" customHeight="false" outlineLevel="0" collapsed="false">
      <c r="A478" s="67"/>
      <c r="B478" s="52"/>
      <c r="C478" s="52"/>
      <c r="D478" s="68"/>
      <c r="E478" s="52"/>
      <c r="F478" s="86" t="s">
        <v>748</v>
      </c>
      <c r="G478" s="52"/>
      <c r="H478" s="55" t="s">
        <v>99</v>
      </c>
      <c r="I478" s="50" t="s">
        <v>749</v>
      </c>
      <c r="J478" s="52" t="n">
        <v>8</v>
      </c>
      <c r="K478" s="55" t="s">
        <v>21</v>
      </c>
      <c r="L478" s="77"/>
      <c r="M478" s="77"/>
      <c r="N478" s="52" t="s">
        <v>74</v>
      </c>
    </row>
    <row r="479" customFormat="false" ht="26.85" hidden="false" customHeight="false" outlineLevel="0" collapsed="false">
      <c r="A479" s="67"/>
      <c r="B479" s="52"/>
      <c r="C479" s="52"/>
      <c r="D479" s="68"/>
      <c r="E479" s="52"/>
      <c r="F479" s="86" t="s">
        <v>750</v>
      </c>
      <c r="G479" s="52"/>
      <c r="H479" s="55" t="s">
        <v>224</v>
      </c>
      <c r="I479" s="50" t="s">
        <v>751</v>
      </c>
      <c r="J479" s="52" t="n">
        <v>4</v>
      </c>
      <c r="K479" s="55" t="s">
        <v>21</v>
      </c>
      <c r="L479" s="52"/>
      <c r="M479" s="52"/>
      <c r="N479" s="52" t="s">
        <v>74</v>
      </c>
    </row>
    <row r="480" customFormat="false" ht="39.55" hidden="false" customHeight="false" outlineLevel="0" collapsed="false">
      <c r="A480" s="67"/>
      <c r="B480" s="52"/>
      <c r="C480" s="52"/>
      <c r="D480" s="68"/>
      <c r="E480" s="52"/>
      <c r="F480" s="86" t="s">
        <v>752</v>
      </c>
      <c r="G480" s="52"/>
      <c r="H480" s="52" t="n">
        <v>5</v>
      </c>
      <c r="I480" s="50" t="s">
        <v>753</v>
      </c>
      <c r="J480" s="52" t="n">
        <v>8</v>
      </c>
      <c r="K480" s="52" t="s">
        <v>592</v>
      </c>
      <c r="L480" s="77"/>
      <c r="M480" s="77"/>
      <c r="N480" s="52" t="s">
        <v>74</v>
      </c>
    </row>
    <row r="481" customFormat="false" ht="39.55" hidden="false" customHeight="false" outlineLevel="0" collapsed="false">
      <c r="A481" s="67"/>
      <c r="B481" s="52"/>
      <c r="C481" s="52"/>
      <c r="D481" s="68"/>
      <c r="E481" s="52"/>
      <c r="F481" s="86" t="s">
        <v>754</v>
      </c>
      <c r="G481" s="52"/>
      <c r="H481" s="52" t="n">
        <v>6</v>
      </c>
      <c r="I481" s="50" t="s">
        <v>755</v>
      </c>
      <c r="J481" s="52" t="n">
        <v>8</v>
      </c>
      <c r="K481" s="52" t="s">
        <v>592</v>
      </c>
      <c r="L481" s="77"/>
      <c r="M481" s="77"/>
      <c r="N481" s="52" t="s">
        <v>74</v>
      </c>
    </row>
    <row r="482" customFormat="false" ht="26.85" hidden="false" customHeight="false" outlineLevel="0" collapsed="false">
      <c r="A482" s="67"/>
      <c r="B482" s="52"/>
      <c r="C482" s="52"/>
      <c r="D482" s="68"/>
      <c r="E482" s="52"/>
      <c r="F482" s="86" t="s">
        <v>756</v>
      </c>
      <c r="G482" s="52"/>
      <c r="H482" s="52" t="n">
        <v>7</v>
      </c>
      <c r="I482" s="50" t="s">
        <v>757</v>
      </c>
      <c r="J482" s="52" t="n">
        <v>32</v>
      </c>
      <c r="K482" s="52" t="s">
        <v>592</v>
      </c>
      <c r="L482" s="77"/>
      <c r="M482" s="77"/>
      <c r="N482" s="52" t="s">
        <v>74</v>
      </c>
    </row>
    <row r="483" customFormat="false" ht="26.85" hidden="false" customHeight="false" outlineLevel="0" collapsed="false">
      <c r="A483" s="67"/>
      <c r="B483" s="52"/>
      <c r="C483" s="52"/>
      <c r="D483" s="68"/>
      <c r="E483" s="52"/>
      <c r="F483" s="86" t="s">
        <v>758</v>
      </c>
      <c r="G483" s="52"/>
      <c r="H483" s="52" t="n">
        <v>8</v>
      </c>
      <c r="I483" s="50" t="s">
        <v>759</v>
      </c>
      <c r="J483" s="52" t="n">
        <v>8</v>
      </c>
      <c r="K483" s="52" t="s">
        <v>21</v>
      </c>
      <c r="L483" s="77"/>
      <c r="M483" s="77"/>
      <c r="N483" s="52" t="s">
        <v>74</v>
      </c>
    </row>
    <row r="484" customFormat="false" ht="13.5" hidden="false" customHeight="false" outlineLevel="0" collapsed="false">
      <c r="A484" s="56" t="s">
        <v>0</v>
      </c>
      <c r="B484" s="56" t="s">
        <v>1</v>
      </c>
      <c r="C484" s="56" t="s">
        <v>2</v>
      </c>
      <c r="D484" s="56" t="s">
        <v>3</v>
      </c>
      <c r="E484" s="56" t="s">
        <v>325</v>
      </c>
      <c r="F484" s="56" t="s">
        <v>4</v>
      </c>
      <c r="G484" s="56" t="s">
        <v>5</v>
      </c>
      <c r="H484" s="56" t="s">
        <v>6</v>
      </c>
      <c r="I484" s="56" t="s">
        <v>7</v>
      </c>
      <c r="J484" s="56" t="s">
        <v>8</v>
      </c>
      <c r="K484" s="56" t="s">
        <v>9</v>
      </c>
      <c r="L484" s="56" t="s">
        <v>10</v>
      </c>
      <c r="M484" s="56" t="s">
        <v>11</v>
      </c>
      <c r="N484" s="56" t="s">
        <v>12</v>
      </c>
    </row>
    <row r="485" customFormat="false" ht="13.5" hidden="false" customHeight="true" outlineLevel="0" collapsed="false">
      <c r="A485" s="67" t="n">
        <v>46185</v>
      </c>
      <c r="B485" s="52" t="n">
        <v>186579</v>
      </c>
      <c r="C485" s="68" t="s">
        <v>760</v>
      </c>
      <c r="D485" s="68" t="s">
        <v>694</v>
      </c>
      <c r="E485" s="52"/>
      <c r="F485" s="52" t="n">
        <v>1412008</v>
      </c>
      <c r="G485" s="52"/>
      <c r="H485" s="52" t="n">
        <v>1</v>
      </c>
      <c r="I485" s="87" t="s">
        <v>761</v>
      </c>
      <c r="J485" s="52" t="n">
        <v>10</v>
      </c>
      <c r="K485" s="52" t="s">
        <v>762</v>
      </c>
      <c r="L485" s="52"/>
      <c r="M485" s="52"/>
      <c r="N485" s="52"/>
    </row>
    <row r="486" customFormat="false" ht="13.5" hidden="false" customHeight="false" outlineLevel="0" collapsed="false">
      <c r="A486" s="67"/>
      <c r="B486" s="67"/>
      <c r="C486" s="68"/>
      <c r="D486" s="68"/>
      <c r="E486" s="52"/>
      <c r="F486" s="52" t="n">
        <v>9601013</v>
      </c>
      <c r="G486" s="52"/>
      <c r="H486" s="52" t="n">
        <v>2</v>
      </c>
      <c r="I486" s="87" t="s">
        <v>763</v>
      </c>
      <c r="J486" s="52" t="n">
        <v>1</v>
      </c>
      <c r="K486" s="52" t="s">
        <v>205</v>
      </c>
      <c r="L486" s="52"/>
      <c r="M486" s="52"/>
      <c r="N486" s="52"/>
    </row>
    <row r="487" customFormat="false" ht="13.5" hidden="false" customHeight="false" outlineLevel="0" collapsed="false">
      <c r="A487" s="65" t="s">
        <v>0</v>
      </c>
      <c r="B487" s="65" t="s">
        <v>1</v>
      </c>
      <c r="C487" s="65" t="s">
        <v>2</v>
      </c>
      <c r="D487" s="65" t="s">
        <v>531</v>
      </c>
      <c r="E487" s="108" t="s">
        <v>325</v>
      </c>
      <c r="F487" s="65" t="s">
        <v>4</v>
      </c>
      <c r="G487" s="65" t="s">
        <v>5</v>
      </c>
      <c r="H487" s="65" t="s">
        <v>6</v>
      </c>
      <c r="I487" s="65" t="s">
        <v>7</v>
      </c>
      <c r="J487" s="65" t="s">
        <v>8</v>
      </c>
      <c r="K487" s="65" t="s">
        <v>9</v>
      </c>
      <c r="L487" s="108" t="s">
        <v>498</v>
      </c>
      <c r="M487" s="108" t="s">
        <v>499</v>
      </c>
      <c r="N487" s="108" t="s">
        <v>500</v>
      </c>
    </row>
    <row r="488" customFormat="false" ht="26.85" hidden="false" customHeight="false" outlineLevel="0" collapsed="false">
      <c r="A488" s="115" t="n">
        <v>46186</v>
      </c>
      <c r="B488" s="116" t="n">
        <v>186602</v>
      </c>
      <c r="C488" s="68" t="s">
        <v>716</v>
      </c>
      <c r="D488" s="68" t="s">
        <v>694</v>
      </c>
      <c r="E488" s="52"/>
      <c r="F488" s="86" t="n">
        <v>1402045</v>
      </c>
      <c r="G488" s="52"/>
      <c r="H488" s="55" t="s">
        <v>154</v>
      </c>
      <c r="I488" s="76" t="s">
        <v>562</v>
      </c>
      <c r="J488" s="55" t="s">
        <v>109</v>
      </c>
      <c r="K488" s="55" t="s">
        <v>21</v>
      </c>
      <c r="L488" s="77" t="n">
        <v>7723.09</v>
      </c>
      <c r="M488" s="77" t="n">
        <f aca="false">L488*J488</f>
        <v>154461.8</v>
      </c>
      <c r="N488" s="52" t="s">
        <v>74</v>
      </c>
    </row>
  </sheetData>
  <mergeCells count="172">
    <mergeCell ref="A2:A7"/>
    <mergeCell ref="B2:B7"/>
    <mergeCell ref="C2:C7"/>
    <mergeCell ref="D2:D7"/>
    <mergeCell ref="A9:A16"/>
    <mergeCell ref="B9:B16"/>
    <mergeCell ref="C9:C16"/>
    <mergeCell ref="D9:D16"/>
    <mergeCell ref="A18:A22"/>
    <mergeCell ref="B18:B22"/>
    <mergeCell ref="C18:C22"/>
    <mergeCell ref="D18:D22"/>
    <mergeCell ref="A24:A25"/>
    <mergeCell ref="B24:B25"/>
    <mergeCell ref="C24:C25"/>
    <mergeCell ref="D24:D25"/>
    <mergeCell ref="A27:A32"/>
    <mergeCell ref="B27:B32"/>
    <mergeCell ref="C27:C32"/>
    <mergeCell ref="D27:D32"/>
    <mergeCell ref="A40:A42"/>
    <mergeCell ref="B40:B42"/>
    <mergeCell ref="C40:C42"/>
    <mergeCell ref="D40:D42"/>
    <mergeCell ref="A44:A46"/>
    <mergeCell ref="B44:B46"/>
    <mergeCell ref="C44:C46"/>
    <mergeCell ref="D44:D46"/>
    <mergeCell ref="A50:A66"/>
    <mergeCell ref="B50:B66"/>
    <mergeCell ref="C50:C66"/>
    <mergeCell ref="D50:D66"/>
    <mergeCell ref="A70:A84"/>
    <mergeCell ref="B70:B84"/>
    <mergeCell ref="C70:C84"/>
    <mergeCell ref="D70:D84"/>
    <mergeCell ref="A86:A98"/>
    <mergeCell ref="B86:B98"/>
    <mergeCell ref="C86:C98"/>
    <mergeCell ref="D86:D98"/>
    <mergeCell ref="A102:A104"/>
    <mergeCell ref="B102:B104"/>
    <mergeCell ref="C102:C104"/>
    <mergeCell ref="D102:D104"/>
    <mergeCell ref="A107:A143"/>
    <mergeCell ref="B107:B143"/>
    <mergeCell ref="C107:C143"/>
    <mergeCell ref="D107:D143"/>
    <mergeCell ref="A145:A146"/>
    <mergeCell ref="B145:B146"/>
    <mergeCell ref="C145:C146"/>
    <mergeCell ref="D145:D146"/>
    <mergeCell ref="A148:A172"/>
    <mergeCell ref="B148:B172"/>
    <mergeCell ref="C148:C172"/>
    <mergeCell ref="D148:D172"/>
    <mergeCell ref="A174:A195"/>
    <mergeCell ref="B174:B195"/>
    <mergeCell ref="C174:C195"/>
    <mergeCell ref="D174:D195"/>
    <mergeCell ref="A199:A220"/>
    <mergeCell ref="B199:B220"/>
    <mergeCell ref="C199:C220"/>
    <mergeCell ref="D199:D220"/>
    <mergeCell ref="A222:A250"/>
    <mergeCell ref="B222:B250"/>
    <mergeCell ref="C222:C250"/>
    <mergeCell ref="D222:D250"/>
    <mergeCell ref="A252:A263"/>
    <mergeCell ref="B252:B263"/>
    <mergeCell ref="C252:C263"/>
    <mergeCell ref="D252:D263"/>
    <mergeCell ref="A269:A270"/>
    <mergeCell ref="B269:B270"/>
    <mergeCell ref="C269:C270"/>
    <mergeCell ref="D269:D270"/>
    <mergeCell ref="A274:A311"/>
    <mergeCell ref="B274:B311"/>
    <mergeCell ref="C274:C311"/>
    <mergeCell ref="D274:D311"/>
    <mergeCell ref="A313:A336"/>
    <mergeCell ref="B313:B336"/>
    <mergeCell ref="C313:C336"/>
    <mergeCell ref="D313:D336"/>
    <mergeCell ref="A338:A339"/>
    <mergeCell ref="B338:B339"/>
    <mergeCell ref="C338:C339"/>
    <mergeCell ref="D338:D339"/>
    <mergeCell ref="A341:A346"/>
    <mergeCell ref="B341:B346"/>
    <mergeCell ref="C341:C346"/>
    <mergeCell ref="D341:D346"/>
    <mergeCell ref="A348:A351"/>
    <mergeCell ref="B348:B351"/>
    <mergeCell ref="C348:C351"/>
    <mergeCell ref="D348:D351"/>
    <mergeCell ref="A353:A358"/>
    <mergeCell ref="B353:B358"/>
    <mergeCell ref="C353:C358"/>
    <mergeCell ref="D353:D358"/>
    <mergeCell ref="A360:A361"/>
    <mergeCell ref="B360:B361"/>
    <mergeCell ref="C360:C361"/>
    <mergeCell ref="D360:D361"/>
    <mergeCell ref="A363:A375"/>
    <mergeCell ref="B363:B375"/>
    <mergeCell ref="C363:C375"/>
    <mergeCell ref="D363:D375"/>
    <mergeCell ref="A381:A382"/>
    <mergeCell ref="B381:B382"/>
    <mergeCell ref="C381:C382"/>
    <mergeCell ref="D381:D382"/>
    <mergeCell ref="A384:A385"/>
    <mergeCell ref="B384:B385"/>
    <mergeCell ref="C384:C385"/>
    <mergeCell ref="D384:D385"/>
    <mergeCell ref="A387:A388"/>
    <mergeCell ref="B387:B388"/>
    <mergeCell ref="C387:C388"/>
    <mergeCell ref="D387:D388"/>
    <mergeCell ref="A390:A394"/>
    <mergeCell ref="B390:B394"/>
    <mergeCell ref="C390:C394"/>
    <mergeCell ref="D390:D394"/>
    <mergeCell ref="A396:A399"/>
    <mergeCell ref="B396:B399"/>
    <mergeCell ref="C396:C399"/>
    <mergeCell ref="D396:D399"/>
    <mergeCell ref="A401:A408"/>
    <mergeCell ref="B401:B408"/>
    <mergeCell ref="C401:C408"/>
    <mergeCell ref="D401:D408"/>
    <mergeCell ref="A410:A421"/>
    <mergeCell ref="B410:B421"/>
    <mergeCell ref="C410:C421"/>
    <mergeCell ref="D410:D421"/>
    <mergeCell ref="A429:A435"/>
    <mergeCell ref="B429:B435"/>
    <mergeCell ref="C429:C435"/>
    <mergeCell ref="D429:D435"/>
    <mergeCell ref="A437:A440"/>
    <mergeCell ref="B437:B440"/>
    <mergeCell ref="C437:C440"/>
    <mergeCell ref="D437:D440"/>
    <mergeCell ref="A442:A444"/>
    <mergeCell ref="B442:B444"/>
    <mergeCell ref="C442:C444"/>
    <mergeCell ref="D442:D444"/>
    <mergeCell ref="A446:A448"/>
    <mergeCell ref="B446:B448"/>
    <mergeCell ref="C446:C448"/>
    <mergeCell ref="D446:D448"/>
    <mergeCell ref="A450:A461"/>
    <mergeCell ref="B450:B461"/>
    <mergeCell ref="C450:C461"/>
    <mergeCell ref="D450:D461"/>
    <mergeCell ref="A463:A464"/>
    <mergeCell ref="B463:B464"/>
    <mergeCell ref="C463:C464"/>
    <mergeCell ref="D463:D464"/>
    <mergeCell ref="A470:A474"/>
    <mergeCell ref="B470:B474"/>
    <mergeCell ref="C470:C474"/>
    <mergeCell ref="D470:D474"/>
    <mergeCell ref="A476:A483"/>
    <mergeCell ref="B476:B483"/>
    <mergeCell ref="C476:C483"/>
    <mergeCell ref="D476:D483"/>
    <mergeCell ref="A485:A486"/>
    <mergeCell ref="B485:B486"/>
    <mergeCell ref="C485:C486"/>
    <mergeCell ref="D485:D486"/>
  </mergeCells>
  <conditionalFormatting sqref="F4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7"/>
  <sheetViews>
    <sheetView showFormulas="false" showGridLines="true" showRowColHeaders="true" showZeros="true" rightToLeft="false" tabSelected="true" showOutlineSymbols="true" defaultGridColor="true" view="normal" topLeftCell="A1" colorId="64" zoomScale="70" zoomScaleNormal="70" zoomScalePageLayoutView="100" workbookViewId="0">
      <selection pane="topLeft" activeCell="A1" activeCellId="0" sqref="A1"/>
    </sheetView>
  </sheetViews>
  <sheetFormatPr defaultColWidth="10.59765625" defaultRowHeight="12.8" zeroHeight="false" outlineLevelRow="0" outlineLevelCol="0"/>
  <cols>
    <col collapsed="false" customWidth="true" hidden="false" outlineLevel="0" max="3" min="3" style="0" width="21.22"/>
    <col collapsed="false" customWidth="true" hidden="false" outlineLevel="0" max="4" min="4" style="0" width="26.11"/>
    <col collapsed="false" customWidth="true" hidden="false" outlineLevel="0" max="5" min="5" style="0" width="14.11"/>
    <col collapsed="false" customWidth="true" hidden="false" outlineLevel="0" max="6" min="6" style="0" width="9.66"/>
    <col collapsed="false" customWidth="true" hidden="false" outlineLevel="0" max="7" min="7" style="0" width="8.22"/>
    <col collapsed="false" customWidth="true" hidden="false" outlineLevel="0" max="8" min="8" style="0" width="4.55"/>
    <col collapsed="false" customWidth="true" hidden="false" outlineLevel="0" max="9" min="9" style="0" width="96.89"/>
    <col collapsed="false" customWidth="true" hidden="false" outlineLevel="0" max="12" min="12" style="0" width="12.45"/>
    <col collapsed="false" customWidth="true" hidden="false" outlineLevel="0" max="13" min="13" style="0" width="15"/>
    <col collapsed="false" customWidth="true" hidden="false" outlineLevel="0" max="14" min="14" style="0" width="26.67"/>
  </cols>
  <sheetData>
    <row r="1" s="117" customFormat="true" ht="13.8" hidden="false" customHeight="false" outlineLevel="0" collapsed="false">
      <c r="A1" s="3" t="s">
        <v>0</v>
      </c>
      <c r="B1" s="3" t="s">
        <v>1</v>
      </c>
      <c r="C1" s="3" t="s">
        <v>2</v>
      </c>
      <c r="D1" s="3" t="s">
        <v>531</v>
      </c>
      <c r="E1" s="65" t="s">
        <v>325</v>
      </c>
      <c r="F1" s="3" t="s">
        <v>4</v>
      </c>
      <c r="G1" s="3" t="s">
        <v>5</v>
      </c>
      <c r="H1" s="3" t="s">
        <v>6</v>
      </c>
      <c r="I1" s="3" t="s">
        <v>7</v>
      </c>
      <c r="J1" s="65" t="s">
        <v>8</v>
      </c>
      <c r="K1" s="65" t="s">
        <v>9</v>
      </c>
      <c r="L1" s="65" t="s">
        <v>498</v>
      </c>
      <c r="M1" s="65" t="s">
        <v>499</v>
      </c>
      <c r="N1" s="65" t="s">
        <v>500</v>
      </c>
    </row>
    <row r="2" s="123" customFormat="true" ht="26.85" hidden="false" customHeight="false" outlineLevel="0" collapsed="false">
      <c r="A2" s="118" t="n">
        <v>46141</v>
      </c>
      <c r="B2" s="119" t="n">
        <v>181846</v>
      </c>
      <c r="C2" s="120" t="s">
        <v>764</v>
      </c>
      <c r="D2" s="120" t="s">
        <v>765</v>
      </c>
      <c r="E2" s="119" t="s">
        <v>564</v>
      </c>
      <c r="F2" s="119" t="n">
        <v>1308003</v>
      </c>
      <c r="G2" s="119" t="n">
        <v>148278</v>
      </c>
      <c r="H2" s="119" t="n">
        <v>1</v>
      </c>
      <c r="I2" s="121" t="s">
        <v>766</v>
      </c>
      <c r="J2" s="119" t="n">
        <v>10000</v>
      </c>
      <c r="K2" s="119" t="s">
        <v>767</v>
      </c>
      <c r="L2" s="122" t="n">
        <v>6.07</v>
      </c>
      <c r="M2" s="122" t="n">
        <v>60700</v>
      </c>
      <c r="N2" s="119" t="s">
        <v>596</v>
      </c>
    </row>
    <row r="3" s="117" customFormat="true" ht="13.8" hidden="false" customHeight="false" outlineLevel="0" collapsed="false">
      <c r="A3" s="3" t="s">
        <v>0</v>
      </c>
      <c r="B3" s="3" t="s">
        <v>1</v>
      </c>
      <c r="C3" s="3" t="s">
        <v>2</v>
      </c>
      <c r="D3" s="3" t="s">
        <v>531</v>
      </c>
      <c r="E3" s="65" t="s">
        <v>325</v>
      </c>
      <c r="F3" s="3" t="s">
        <v>4</v>
      </c>
      <c r="G3" s="3" t="s">
        <v>5</v>
      </c>
      <c r="H3" s="3" t="s">
        <v>6</v>
      </c>
      <c r="I3" s="3" t="s">
        <v>7</v>
      </c>
      <c r="J3" s="65" t="s">
        <v>8</v>
      </c>
      <c r="K3" s="65" t="s">
        <v>9</v>
      </c>
      <c r="L3" s="65" t="s">
        <v>498</v>
      </c>
      <c r="M3" s="65" t="s">
        <v>499</v>
      </c>
      <c r="N3" s="65" t="s">
        <v>500</v>
      </c>
    </row>
    <row r="4" s="123" customFormat="true" ht="26.85" hidden="false" customHeight="false" outlineLevel="0" collapsed="false">
      <c r="A4" s="124" t="n">
        <v>46146</v>
      </c>
      <c r="B4" s="125" t="n">
        <v>182301</v>
      </c>
      <c r="C4" s="126" t="s">
        <v>768</v>
      </c>
      <c r="D4" s="126" t="s">
        <v>765</v>
      </c>
      <c r="E4" s="125" t="s">
        <v>319</v>
      </c>
      <c r="F4" s="127" t="s">
        <v>769</v>
      </c>
      <c r="G4" s="125" t="n">
        <v>148863</v>
      </c>
      <c r="H4" s="125" t="n">
        <v>1</v>
      </c>
      <c r="I4" s="128" t="s">
        <v>770</v>
      </c>
      <c r="J4" s="125" t="n">
        <v>2</v>
      </c>
      <c r="K4" s="125" t="s">
        <v>21</v>
      </c>
      <c r="L4" s="129" t="n">
        <v>3588.5</v>
      </c>
      <c r="M4" s="130" t="n">
        <f aca="false">J4*L4</f>
        <v>7177</v>
      </c>
      <c r="N4" s="125" t="s">
        <v>771</v>
      </c>
    </row>
    <row r="5" s="117" customFormat="true" ht="19.7" hidden="false" customHeight="false" outlineLevel="0" collapsed="false">
      <c r="A5" s="131" t="s">
        <v>0</v>
      </c>
      <c r="B5" s="131" t="s">
        <v>1</v>
      </c>
      <c r="C5" s="131" t="s">
        <v>2</v>
      </c>
      <c r="D5" s="131" t="s">
        <v>531</v>
      </c>
      <c r="E5" s="132" t="s">
        <v>325</v>
      </c>
      <c r="F5" s="131" t="s">
        <v>4</v>
      </c>
      <c r="G5" s="131" t="s">
        <v>5</v>
      </c>
      <c r="H5" s="131" t="s">
        <v>6</v>
      </c>
      <c r="I5" s="131" t="s">
        <v>7</v>
      </c>
      <c r="J5" s="132" t="s">
        <v>8</v>
      </c>
      <c r="K5" s="132" t="s">
        <v>9</v>
      </c>
      <c r="L5" s="132" t="s">
        <v>498</v>
      </c>
      <c r="M5" s="132" t="s">
        <v>499</v>
      </c>
      <c r="N5" s="132" t="s">
        <v>500</v>
      </c>
    </row>
    <row r="6" s="123" customFormat="true" ht="16.4" hidden="false" customHeight="true" outlineLevel="0" collapsed="false">
      <c r="A6" s="133" t="n">
        <v>46126</v>
      </c>
      <c r="B6" s="134" t="n">
        <v>180222</v>
      </c>
      <c r="C6" s="135" t="s">
        <v>772</v>
      </c>
      <c r="D6" s="135" t="s">
        <v>765</v>
      </c>
      <c r="E6" s="134"/>
      <c r="F6" s="136" t="s">
        <v>773</v>
      </c>
      <c r="G6" s="136" t="n">
        <v>147367</v>
      </c>
      <c r="H6" s="137" t="n">
        <v>1</v>
      </c>
      <c r="I6" s="138" t="s">
        <v>774</v>
      </c>
      <c r="J6" s="136" t="n">
        <v>2</v>
      </c>
      <c r="K6" s="139" t="s">
        <v>40</v>
      </c>
      <c r="L6" s="140" t="n">
        <v>157.29</v>
      </c>
      <c r="M6" s="140" t="n">
        <v>314.58</v>
      </c>
      <c r="N6" s="137" t="s">
        <v>596</v>
      </c>
    </row>
    <row r="7" s="123" customFormat="true" ht="16.4" hidden="false" customHeight="false" outlineLevel="0" collapsed="false">
      <c r="A7" s="133"/>
      <c r="B7" s="134"/>
      <c r="C7" s="135"/>
      <c r="D7" s="135"/>
      <c r="E7" s="134"/>
      <c r="F7" s="136" t="s">
        <v>775</v>
      </c>
      <c r="G7" s="136" t="n">
        <v>147367</v>
      </c>
      <c r="H7" s="137" t="n">
        <v>2</v>
      </c>
      <c r="I7" s="138" t="s">
        <v>776</v>
      </c>
      <c r="J7" s="136" t="n">
        <v>2</v>
      </c>
      <c r="K7" s="139" t="s">
        <v>40</v>
      </c>
      <c r="L7" s="140" t="n">
        <v>599.29</v>
      </c>
      <c r="M7" s="140" t="n">
        <v>1198.58</v>
      </c>
      <c r="N7" s="137" t="s">
        <v>596</v>
      </c>
    </row>
    <row r="8" s="123" customFormat="true" ht="16.4" hidden="false" customHeight="false" outlineLevel="0" collapsed="false">
      <c r="A8" s="133"/>
      <c r="B8" s="134"/>
      <c r="C8" s="135"/>
      <c r="D8" s="135"/>
      <c r="E8" s="134"/>
      <c r="F8" s="136" t="s">
        <v>777</v>
      </c>
      <c r="G8" s="136" t="n">
        <v>147367</v>
      </c>
      <c r="H8" s="137" t="n">
        <v>3</v>
      </c>
      <c r="I8" s="138" t="s">
        <v>778</v>
      </c>
      <c r="J8" s="136" t="n">
        <v>2</v>
      </c>
      <c r="K8" s="139" t="s">
        <v>40</v>
      </c>
      <c r="L8" s="140" t="n">
        <v>57.64</v>
      </c>
      <c r="M8" s="140" t="n">
        <v>115.28</v>
      </c>
      <c r="N8" s="137" t="s">
        <v>596</v>
      </c>
    </row>
    <row r="9" s="123" customFormat="true" ht="16.4" hidden="false" customHeight="false" outlineLevel="0" collapsed="false">
      <c r="A9" s="133"/>
      <c r="B9" s="134"/>
      <c r="C9" s="135"/>
      <c r="D9" s="135"/>
      <c r="E9" s="134"/>
      <c r="F9" s="136" t="s">
        <v>779</v>
      </c>
      <c r="G9" s="136" t="n">
        <v>147367</v>
      </c>
      <c r="H9" s="137" t="n">
        <v>4</v>
      </c>
      <c r="I9" s="138" t="s">
        <v>780</v>
      </c>
      <c r="J9" s="136" t="n">
        <v>1</v>
      </c>
      <c r="K9" s="139" t="s">
        <v>40</v>
      </c>
      <c r="L9" s="140" t="n">
        <v>673</v>
      </c>
      <c r="M9" s="140" t="n">
        <v>673</v>
      </c>
      <c r="N9" s="137" t="s">
        <v>596</v>
      </c>
    </row>
    <row r="10" s="123" customFormat="true" ht="16.4" hidden="false" customHeight="false" outlineLevel="0" collapsed="false">
      <c r="A10" s="133"/>
      <c r="B10" s="134"/>
      <c r="C10" s="135"/>
      <c r="D10" s="135"/>
      <c r="E10" s="134"/>
      <c r="F10" s="136" t="s">
        <v>781</v>
      </c>
      <c r="G10" s="136" t="n">
        <v>147367</v>
      </c>
      <c r="H10" s="137" t="n">
        <v>5</v>
      </c>
      <c r="I10" s="138" t="s">
        <v>782</v>
      </c>
      <c r="J10" s="136" t="n">
        <v>1</v>
      </c>
      <c r="K10" s="139" t="s">
        <v>40</v>
      </c>
      <c r="L10" s="140" t="n">
        <v>168.9</v>
      </c>
      <c r="M10" s="140" t="n">
        <v>168.9</v>
      </c>
      <c r="N10" s="137" t="s">
        <v>596</v>
      </c>
    </row>
    <row r="11" s="123" customFormat="true" ht="16.4" hidden="false" customHeight="false" outlineLevel="0" collapsed="false">
      <c r="A11" s="133"/>
      <c r="B11" s="134"/>
      <c r="C11" s="135"/>
      <c r="D11" s="135"/>
      <c r="E11" s="134"/>
      <c r="F11" s="136" t="s">
        <v>783</v>
      </c>
      <c r="G11" s="136" t="n">
        <v>147367</v>
      </c>
      <c r="H11" s="137" t="n">
        <v>6</v>
      </c>
      <c r="I11" s="138" t="s">
        <v>784</v>
      </c>
      <c r="J11" s="136" t="n">
        <v>6</v>
      </c>
      <c r="K11" s="139" t="s">
        <v>40</v>
      </c>
      <c r="L11" s="140" t="n">
        <v>6.665</v>
      </c>
      <c r="M11" s="140" t="n">
        <v>39.99</v>
      </c>
      <c r="N11" s="137" t="s">
        <v>596</v>
      </c>
    </row>
    <row r="12" s="123" customFormat="true" ht="16.4" hidden="false" customHeight="false" outlineLevel="0" collapsed="false">
      <c r="A12" s="133"/>
      <c r="B12" s="134"/>
      <c r="C12" s="135"/>
      <c r="D12" s="135"/>
      <c r="E12" s="134"/>
      <c r="F12" s="136" t="s">
        <v>785</v>
      </c>
      <c r="G12" s="136" t="n">
        <v>147367</v>
      </c>
      <c r="H12" s="137" t="n">
        <v>7</v>
      </c>
      <c r="I12" s="138" t="s">
        <v>786</v>
      </c>
      <c r="J12" s="136" t="n">
        <v>5</v>
      </c>
      <c r="K12" s="139" t="s">
        <v>40</v>
      </c>
      <c r="L12" s="140" t="n">
        <v>121.58</v>
      </c>
      <c r="M12" s="140" t="n">
        <v>607.9</v>
      </c>
      <c r="N12" s="137" t="s">
        <v>596</v>
      </c>
    </row>
    <row r="13" s="123" customFormat="true" ht="16.4" hidden="false" customHeight="false" outlineLevel="0" collapsed="false">
      <c r="A13" s="133"/>
      <c r="B13" s="134"/>
      <c r="C13" s="135"/>
      <c r="D13" s="135"/>
      <c r="E13" s="134"/>
      <c r="F13" s="136" t="s">
        <v>787</v>
      </c>
      <c r="G13" s="136" t="n">
        <v>147367</v>
      </c>
      <c r="H13" s="137" t="n">
        <v>8</v>
      </c>
      <c r="I13" s="138" t="s">
        <v>788</v>
      </c>
      <c r="J13" s="136" t="n">
        <v>4</v>
      </c>
      <c r="K13" s="139" t="s">
        <v>40</v>
      </c>
      <c r="L13" s="140" t="n">
        <v>30.64</v>
      </c>
      <c r="M13" s="140" t="n">
        <v>122.56</v>
      </c>
      <c r="N13" s="137" t="s">
        <v>596</v>
      </c>
    </row>
    <row r="14" s="123" customFormat="true" ht="16.4" hidden="false" customHeight="false" outlineLevel="0" collapsed="false">
      <c r="A14" s="133"/>
      <c r="B14" s="134"/>
      <c r="C14" s="135"/>
      <c r="D14" s="135"/>
      <c r="E14" s="134"/>
      <c r="F14" s="136" t="s">
        <v>789</v>
      </c>
      <c r="G14" s="136" t="n">
        <v>147367</v>
      </c>
      <c r="H14" s="137" t="n">
        <v>9</v>
      </c>
      <c r="I14" s="138" t="s">
        <v>790</v>
      </c>
      <c r="J14" s="136" t="n">
        <v>2</v>
      </c>
      <c r="K14" s="139" t="s">
        <v>40</v>
      </c>
      <c r="L14" s="140" t="n">
        <v>257.76</v>
      </c>
      <c r="M14" s="140" t="n">
        <v>515.52</v>
      </c>
      <c r="N14" s="137" t="s">
        <v>596</v>
      </c>
    </row>
    <row r="15" s="123" customFormat="true" ht="16.4" hidden="false" customHeight="false" outlineLevel="0" collapsed="false">
      <c r="A15" s="133"/>
      <c r="B15" s="134"/>
      <c r="C15" s="135"/>
      <c r="D15" s="135"/>
      <c r="E15" s="134"/>
      <c r="F15" s="136" t="s">
        <v>791</v>
      </c>
      <c r="G15" s="136" t="n">
        <v>147368</v>
      </c>
      <c r="H15" s="137" t="n">
        <v>10</v>
      </c>
      <c r="I15" s="138" t="s">
        <v>792</v>
      </c>
      <c r="J15" s="136" t="n">
        <v>1</v>
      </c>
      <c r="K15" s="139" t="s">
        <v>40</v>
      </c>
      <c r="L15" s="140" t="n">
        <v>1293.1034</v>
      </c>
      <c r="M15" s="140" t="n">
        <v>1293.1</v>
      </c>
      <c r="N15" s="137" t="s">
        <v>596</v>
      </c>
    </row>
    <row r="16" s="123" customFormat="true" ht="16.4" hidden="false" customHeight="false" outlineLevel="0" collapsed="false">
      <c r="A16" s="133"/>
      <c r="B16" s="134"/>
      <c r="C16" s="135"/>
      <c r="D16" s="135"/>
      <c r="E16" s="134"/>
      <c r="F16" s="136" t="s">
        <v>793</v>
      </c>
      <c r="G16" s="136" t="n">
        <v>147367</v>
      </c>
      <c r="H16" s="137" t="n">
        <v>11</v>
      </c>
      <c r="I16" s="138" t="s">
        <v>794</v>
      </c>
      <c r="J16" s="136" t="n">
        <v>1</v>
      </c>
      <c r="K16" s="139" t="s">
        <v>40</v>
      </c>
      <c r="L16" s="140" t="n">
        <v>68.47</v>
      </c>
      <c r="M16" s="140" t="n">
        <v>68.47</v>
      </c>
      <c r="N16" s="137" t="s">
        <v>596</v>
      </c>
    </row>
    <row r="17" s="123" customFormat="true" ht="16.4" hidden="false" customHeight="false" outlineLevel="0" collapsed="false">
      <c r="A17" s="133"/>
      <c r="B17" s="134"/>
      <c r="C17" s="135"/>
      <c r="D17" s="135"/>
      <c r="E17" s="134"/>
      <c r="F17" s="136" t="s">
        <v>795</v>
      </c>
      <c r="G17" s="136" t="n">
        <v>147366</v>
      </c>
      <c r="H17" s="137" t="n">
        <v>12</v>
      </c>
      <c r="I17" s="138" t="s">
        <v>796</v>
      </c>
      <c r="J17" s="136" t="n">
        <v>2</v>
      </c>
      <c r="K17" s="139" t="s">
        <v>40</v>
      </c>
      <c r="L17" s="140" t="n">
        <v>341.68</v>
      </c>
      <c r="M17" s="140" t="n">
        <v>683.36</v>
      </c>
      <c r="N17" s="137" t="s">
        <v>596</v>
      </c>
    </row>
    <row r="18" s="123" customFormat="true" ht="16.4" hidden="false" customHeight="false" outlineLevel="0" collapsed="false">
      <c r="A18" s="133"/>
      <c r="B18" s="134"/>
      <c r="C18" s="135"/>
      <c r="D18" s="135"/>
      <c r="E18" s="134"/>
      <c r="F18" s="136" t="s">
        <v>797</v>
      </c>
      <c r="G18" s="136" t="n">
        <v>147366</v>
      </c>
      <c r="H18" s="137" t="n">
        <v>13</v>
      </c>
      <c r="I18" s="138" t="s">
        <v>798</v>
      </c>
      <c r="J18" s="136" t="n">
        <v>2</v>
      </c>
      <c r="K18" s="139" t="s">
        <v>40</v>
      </c>
      <c r="L18" s="140" t="n">
        <v>70.585</v>
      </c>
      <c r="M18" s="140" t="n">
        <v>141.17</v>
      </c>
      <c r="N18" s="137" t="s">
        <v>596</v>
      </c>
    </row>
    <row r="19" s="123" customFormat="true" ht="16.4" hidden="false" customHeight="false" outlineLevel="0" collapsed="false">
      <c r="A19" s="133"/>
      <c r="B19" s="134"/>
      <c r="C19" s="135"/>
      <c r="D19" s="135"/>
      <c r="E19" s="134"/>
      <c r="F19" s="136" t="s">
        <v>799</v>
      </c>
      <c r="G19" s="136" t="n">
        <v>147366</v>
      </c>
      <c r="H19" s="137" t="n">
        <v>14</v>
      </c>
      <c r="I19" s="138" t="s">
        <v>800</v>
      </c>
      <c r="J19" s="136" t="n">
        <v>2</v>
      </c>
      <c r="K19" s="139" t="s">
        <v>40</v>
      </c>
      <c r="L19" s="140" t="n">
        <v>189.24</v>
      </c>
      <c r="M19" s="140" t="n">
        <v>378.48</v>
      </c>
      <c r="N19" s="137" t="s">
        <v>596</v>
      </c>
    </row>
    <row r="20" s="123" customFormat="true" ht="16.4" hidden="false" customHeight="false" outlineLevel="0" collapsed="false">
      <c r="A20" s="133"/>
      <c r="B20" s="134"/>
      <c r="C20" s="135"/>
      <c r="D20" s="135"/>
      <c r="E20" s="134"/>
      <c r="F20" s="136" t="s">
        <v>801</v>
      </c>
      <c r="G20" s="136" t="n">
        <v>147366</v>
      </c>
      <c r="H20" s="137" t="n">
        <v>15</v>
      </c>
      <c r="I20" s="138" t="s">
        <v>802</v>
      </c>
      <c r="J20" s="136" t="n">
        <v>2</v>
      </c>
      <c r="K20" s="139" t="s">
        <v>40</v>
      </c>
      <c r="L20" s="140" t="n">
        <v>82.865</v>
      </c>
      <c r="M20" s="140" t="n">
        <v>165.73</v>
      </c>
      <c r="N20" s="137" t="s">
        <v>596</v>
      </c>
    </row>
    <row r="21" s="123" customFormat="true" ht="16.4" hidden="false" customHeight="false" outlineLevel="0" collapsed="false">
      <c r="A21" s="133"/>
      <c r="B21" s="134"/>
      <c r="C21" s="135"/>
      <c r="D21" s="135"/>
      <c r="E21" s="134"/>
      <c r="F21" s="136" t="s">
        <v>803</v>
      </c>
      <c r="G21" s="136" t="n">
        <v>147366</v>
      </c>
      <c r="H21" s="137" t="n">
        <v>16</v>
      </c>
      <c r="I21" s="138" t="s">
        <v>804</v>
      </c>
      <c r="J21" s="136" t="n">
        <v>2</v>
      </c>
      <c r="K21" s="139" t="s">
        <v>40</v>
      </c>
      <c r="L21" s="140" t="n">
        <v>126.335</v>
      </c>
      <c r="M21" s="140" t="n">
        <v>252.67</v>
      </c>
      <c r="N21" s="137" t="s">
        <v>596</v>
      </c>
    </row>
    <row r="22" s="123" customFormat="true" ht="16.4" hidden="false" customHeight="false" outlineLevel="0" collapsed="false">
      <c r="A22" s="133"/>
      <c r="B22" s="134"/>
      <c r="C22" s="135"/>
      <c r="D22" s="135"/>
      <c r="E22" s="134"/>
      <c r="F22" s="136" t="s">
        <v>805</v>
      </c>
      <c r="G22" s="136" t="n">
        <v>147365</v>
      </c>
      <c r="H22" s="137" t="n">
        <v>17</v>
      </c>
      <c r="I22" s="138" t="s">
        <v>806</v>
      </c>
      <c r="J22" s="136" t="n">
        <v>2</v>
      </c>
      <c r="K22" s="139" t="s">
        <v>40</v>
      </c>
      <c r="L22" s="140" t="n">
        <v>28</v>
      </c>
      <c r="M22" s="140" t="n">
        <v>56</v>
      </c>
      <c r="N22" s="137" t="s">
        <v>596</v>
      </c>
    </row>
    <row r="23" s="123" customFormat="true" ht="16.4" hidden="false" customHeight="false" outlineLevel="0" collapsed="false">
      <c r="A23" s="133"/>
      <c r="B23" s="134"/>
      <c r="C23" s="135"/>
      <c r="D23" s="135"/>
      <c r="E23" s="134"/>
      <c r="F23" s="136" t="s">
        <v>807</v>
      </c>
      <c r="G23" s="136" t="n">
        <v>147366</v>
      </c>
      <c r="H23" s="137" t="n">
        <v>18</v>
      </c>
      <c r="I23" s="138" t="s">
        <v>808</v>
      </c>
      <c r="J23" s="136" t="n">
        <v>2</v>
      </c>
      <c r="K23" s="139" t="s">
        <v>40</v>
      </c>
      <c r="L23" s="140" t="n">
        <v>94.11</v>
      </c>
      <c r="M23" s="140" t="n">
        <v>188.22</v>
      </c>
      <c r="N23" s="137" t="s">
        <v>596</v>
      </c>
    </row>
    <row r="24" s="123" customFormat="true" ht="16.4" hidden="false" customHeight="false" outlineLevel="0" collapsed="false">
      <c r="A24" s="133"/>
      <c r="B24" s="134"/>
      <c r="C24" s="135"/>
      <c r="D24" s="135"/>
      <c r="E24" s="134"/>
      <c r="F24" s="136" t="s">
        <v>809</v>
      </c>
      <c r="G24" s="136" t="n">
        <v>147365</v>
      </c>
      <c r="H24" s="137" t="n">
        <v>19</v>
      </c>
      <c r="I24" s="138" t="s">
        <v>810</v>
      </c>
      <c r="J24" s="136" t="n">
        <v>2</v>
      </c>
      <c r="K24" s="139" t="s">
        <v>40</v>
      </c>
      <c r="L24" s="140" t="n">
        <v>39</v>
      </c>
      <c r="M24" s="140" t="n">
        <v>78</v>
      </c>
      <c r="N24" s="137" t="s">
        <v>596</v>
      </c>
    </row>
    <row r="25" s="123" customFormat="true" ht="16.4" hidden="false" customHeight="false" outlineLevel="0" collapsed="false">
      <c r="A25" s="133"/>
      <c r="B25" s="134"/>
      <c r="C25" s="135"/>
      <c r="D25" s="135"/>
      <c r="E25" s="134"/>
      <c r="F25" s="136" t="s">
        <v>811</v>
      </c>
      <c r="G25" s="136" t="n">
        <v>147468</v>
      </c>
      <c r="H25" s="137" t="n">
        <v>20</v>
      </c>
      <c r="I25" s="138" t="s">
        <v>812</v>
      </c>
      <c r="J25" s="136" t="n">
        <v>2</v>
      </c>
      <c r="K25" s="139" t="s">
        <v>40</v>
      </c>
      <c r="L25" s="140" t="n">
        <v>14350</v>
      </c>
      <c r="M25" s="140" t="n">
        <v>28700</v>
      </c>
      <c r="N25" s="137" t="s">
        <v>596</v>
      </c>
    </row>
    <row r="26" s="123" customFormat="true" ht="16.4" hidden="false" customHeight="false" outlineLevel="0" collapsed="false">
      <c r="A26" s="133"/>
      <c r="B26" s="134"/>
      <c r="C26" s="135"/>
      <c r="D26" s="135"/>
      <c r="E26" s="134"/>
      <c r="F26" s="136" t="s">
        <v>813</v>
      </c>
      <c r="G26" s="136" t="n">
        <v>147461</v>
      </c>
      <c r="H26" s="137" t="n">
        <v>21</v>
      </c>
      <c r="I26" s="138" t="s">
        <v>814</v>
      </c>
      <c r="J26" s="136" t="n">
        <v>2</v>
      </c>
      <c r="K26" s="139" t="s">
        <v>40</v>
      </c>
      <c r="L26" s="140" t="n">
        <v>12005.01</v>
      </c>
      <c r="M26" s="140" t="n">
        <v>24010.02</v>
      </c>
      <c r="N26" s="137" t="s">
        <v>596</v>
      </c>
    </row>
    <row r="27" s="123" customFormat="true" ht="16.4" hidden="false" customHeight="false" outlineLevel="0" collapsed="false">
      <c r="A27" s="133"/>
      <c r="B27" s="134"/>
      <c r="C27" s="135"/>
      <c r="D27" s="135"/>
      <c r="E27" s="134"/>
      <c r="F27" s="136" t="s">
        <v>815</v>
      </c>
      <c r="G27" s="136" t="n">
        <v>147364</v>
      </c>
      <c r="H27" s="137" t="n">
        <v>22</v>
      </c>
      <c r="I27" s="138" t="s">
        <v>816</v>
      </c>
      <c r="J27" s="136" t="n">
        <v>2</v>
      </c>
      <c r="K27" s="139" t="s">
        <v>40</v>
      </c>
      <c r="L27" s="140" t="n">
        <v>48</v>
      </c>
      <c r="M27" s="140" t="n">
        <v>192</v>
      </c>
      <c r="N27" s="137" t="s">
        <v>596</v>
      </c>
    </row>
    <row r="28" s="123" customFormat="true" ht="16.4" hidden="false" customHeight="false" outlineLevel="0" collapsed="false">
      <c r="A28" s="133"/>
      <c r="B28" s="134"/>
      <c r="C28" s="135"/>
      <c r="D28" s="135"/>
      <c r="E28" s="134"/>
      <c r="F28" s="136" t="s">
        <v>817</v>
      </c>
      <c r="G28" s="136" t="n">
        <v>147364</v>
      </c>
      <c r="H28" s="137" t="n">
        <v>23</v>
      </c>
      <c r="I28" s="138" t="s">
        <v>818</v>
      </c>
      <c r="J28" s="136" t="n">
        <v>2</v>
      </c>
      <c r="K28" s="139" t="s">
        <v>40</v>
      </c>
      <c r="L28" s="140" t="n">
        <v>48</v>
      </c>
      <c r="M28" s="140" t="n">
        <v>192</v>
      </c>
      <c r="N28" s="137" t="s">
        <v>596</v>
      </c>
    </row>
    <row r="29" s="123" customFormat="true" ht="16.4" hidden="false" customHeight="false" outlineLevel="0" collapsed="false">
      <c r="A29" s="133"/>
      <c r="B29" s="134"/>
      <c r="C29" s="135"/>
      <c r="D29" s="135"/>
      <c r="E29" s="134"/>
      <c r="F29" s="136" t="s">
        <v>819</v>
      </c>
      <c r="G29" s="136" t="n">
        <v>147364</v>
      </c>
      <c r="H29" s="137" t="n">
        <v>24</v>
      </c>
      <c r="I29" s="138" t="s">
        <v>820</v>
      </c>
      <c r="J29" s="136" t="n">
        <v>2</v>
      </c>
      <c r="K29" s="139" t="s">
        <v>40</v>
      </c>
      <c r="L29" s="140" t="n">
        <v>48</v>
      </c>
      <c r="M29" s="140" t="n">
        <v>192</v>
      </c>
      <c r="N29" s="137" t="s">
        <v>596</v>
      </c>
    </row>
    <row r="30" s="123" customFormat="true" ht="16.4" hidden="false" customHeight="false" outlineLevel="0" collapsed="false">
      <c r="A30" s="133"/>
      <c r="B30" s="134"/>
      <c r="C30" s="135"/>
      <c r="D30" s="135"/>
      <c r="E30" s="134"/>
      <c r="F30" s="136" t="s">
        <v>821</v>
      </c>
      <c r="G30" s="136" t="n">
        <v>147364</v>
      </c>
      <c r="H30" s="137" t="n">
        <v>25</v>
      </c>
      <c r="I30" s="138" t="s">
        <v>822</v>
      </c>
      <c r="J30" s="136" t="n">
        <v>2</v>
      </c>
      <c r="K30" s="139" t="s">
        <v>40</v>
      </c>
      <c r="L30" s="140" t="n">
        <v>48</v>
      </c>
      <c r="M30" s="140" t="n">
        <v>192</v>
      </c>
      <c r="N30" s="137" t="s">
        <v>596</v>
      </c>
    </row>
    <row r="31" s="123" customFormat="true" ht="16.4" hidden="false" customHeight="false" outlineLevel="0" collapsed="false">
      <c r="A31" s="133"/>
      <c r="B31" s="134"/>
      <c r="C31" s="135"/>
      <c r="D31" s="135"/>
      <c r="E31" s="134"/>
      <c r="F31" s="136" t="s">
        <v>823</v>
      </c>
      <c r="G31" s="136" t="n">
        <v>147364</v>
      </c>
      <c r="H31" s="137" t="n">
        <v>26</v>
      </c>
      <c r="I31" s="138" t="s">
        <v>824</v>
      </c>
      <c r="J31" s="136" t="n">
        <v>2</v>
      </c>
      <c r="K31" s="139" t="s">
        <v>40</v>
      </c>
      <c r="L31" s="140" t="n">
        <v>48</v>
      </c>
      <c r="M31" s="140" t="n">
        <v>192</v>
      </c>
      <c r="N31" s="137" t="s">
        <v>596</v>
      </c>
    </row>
    <row r="32" s="123" customFormat="true" ht="16.4" hidden="false" customHeight="false" outlineLevel="0" collapsed="false">
      <c r="A32" s="133"/>
      <c r="B32" s="134"/>
      <c r="C32" s="135"/>
      <c r="D32" s="135"/>
      <c r="E32" s="134"/>
      <c r="F32" s="136" t="s">
        <v>825</v>
      </c>
      <c r="G32" s="136" t="n">
        <v>147364</v>
      </c>
      <c r="H32" s="137" t="n">
        <v>27</v>
      </c>
      <c r="I32" s="138" t="s">
        <v>826</v>
      </c>
      <c r="J32" s="136" t="n">
        <v>2</v>
      </c>
      <c r="K32" s="139" t="s">
        <v>40</v>
      </c>
      <c r="L32" s="140" t="n">
        <v>48</v>
      </c>
      <c r="M32" s="140" t="n">
        <v>192</v>
      </c>
      <c r="N32" s="137" t="s">
        <v>596</v>
      </c>
    </row>
    <row r="33" s="123" customFormat="true" ht="16.4" hidden="false" customHeight="false" outlineLevel="0" collapsed="false">
      <c r="A33" s="133"/>
      <c r="B33" s="134"/>
      <c r="C33" s="135"/>
      <c r="D33" s="135"/>
      <c r="E33" s="134"/>
      <c r="F33" s="136" t="s">
        <v>827</v>
      </c>
      <c r="G33" s="136" t="n">
        <v>147364</v>
      </c>
      <c r="H33" s="137" t="n">
        <v>28</v>
      </c>
      <c r="I33" s="138" t="s">
        <v>828</v>
      </c>
      <c r="J33" s="136" t="n">
        <v>2</v>
      </c>
      <c r="K33" s="139" t="s">
        <v>40</v>
      </c>
      <c r="L33" s="140" t="n">
        <v>48</v>
      </c>
      <c r="M33" s="140" t="n">
        <v>192</v>
      </c>
      <c r="N33" s="137" t="s">
        <v>596</v>
      </c>
    </row>
    <row r="34" s="123" customFormat="true" ht="16.4" hidden="false" customHeight="false" outlineLevel="0" collapsed="false">
      <c r="A34" s="133"/>
      <c r="B34" s="134"/>
      <c r="C34" s="135"/>
      <c r="D34" s="135"/>
      <c r="E34" s="134"/>
      <c r="F34" s="136" t="s">
        <v>829</v>
      </c>
      <c r="G34" s="136" t="n">
        <v>147364</v>
      </c>
      <c r="H34" s="137" t="n">
        <v>29</v>
      </c>
      <c r="I34" s="138" t="s">
        <v>830</v>
      </c>
      <c r="J34" s="136" t="n">
        <v>2</v>
      </c>
      <c r="K34" s="139" t="s">
        <v>40</v>
      </c>
      <c r="L34" s="140" t="n">
        <v>45</v>
      </c>
      <c r="M34" s="140" t="n">
        <v>180</v>
      </c>
      <c r="N34" s="137" t="s">
        <v>596</v>
      </c>
    </row>
    <row r="35" s="123" customFormat="true" ht="16.4" hidden="false" customHeight="false" outlineLevel="0" collapsed="false">
      <c r="A35" s="133"/>
      <c r="B35" s="134"/>
      <c r="C35" s="135"/>
      <c r="D35" s="135"/>
      <c r="E35" s="134"/>
      <c r="F35" s="136" t="s">
        <v>831</v>
      </c>
      <c r="G35" s="136" t="n">
        <v>147364</v>
      </c>
      <c r="H35" s="137" t="n">
        <v>30</v>
      </c>
      <c r="I35" s="138" t="s">
        <v>832</v>
      </c>
      <c r="J35" s="136" t="n">
        <v>2</v>
      </c>
      <c r="K35" s="139" t="s">
        <v>40</v>
      </c>
      <c r="L35" s="140" t="n">
        <v>48</v>
      </c>
      <c r="M35" s="140" t="n">
        <v>192</v>
      </c>
      <c r="N35" s="137" t="s">
        <v>596</v>
      </c>
    </row>
    <row r="36" s="123" customFormat="true" ht="16.4" hidden="false" customHeight="false" outlineLevel="0" collapsed="false">
      <c r="A36" s="133"/>
      <c r="B36" s="134"/>
      <c r="C36" s="135"/>
      <c r="D36" s="135"/>
      <c r="E36" s="134"/>
      <c r="F36" s="136" t="s">
        <v>831</v>
      </c>
      <c r="G36" s="136" t="n">
        <v>147364</v>
      </c>
      <c r="H36" s="137" t="n">
        <v>31</v>
      </c>
      <c r="I36" s="138" t="s">
        <v>832</v>
      </c>
      <c r="J36" s="136" t="n">
        <v>2</v>
      </c>
      <c r="K36" s="139" t="s">
        <v>40</v>
      </c>
      <c r="L36" s="140" t="n">
        <v>48</v>
      </c>
      <c r="M36" s="140" t="n">
        <v>192</v>
      </c>
      <c r="N36" s="137" t="s">
        <v>596</v>
      </c>
    </row>
    <row r="37" s="123" customFormat="true" ht="16.4" hidden="false" customHeight="false" outlineLevel="0" collapsed="false">
      <c r="A37" s="133"/>
      <c r="B37" s="134"/>
      <c r="C37" s="135"/>
      <c r="D37" s="135"/>
      <c r="E37" s="134"/>
      <c r="F37" s="136" t="s">
        <v>833</v>
      </c>
      <c r="G37" s="136" t="n">
        <v>147462</v>
      </c>
      <c r="H37" s="137" t="n">
        <v>32</v>
      </c>
      <c r="I37" s="138" t="s">
        <v>834</v>
      </c>
      <c r="J37" s="136" t="n">
        <v>15</v>
      </c>
      <c r="K37" s="139" t="s">
        <v>40</v>
      </c>
      <c r="L37" s="140" t="n">
        <v>264.29</v>
      </c>
      <c r="M37" s="140" t="n">
        <v>3964.35</v>
      </c>
      <c r="N37" s="137" t="s">
        <v>596</v>
      </c>
    </row>
    <row r="38" s="123" customFormat="true" ht="16.4" hidden="false" customHeight="false" outlineLevel="0" collapsed="false">
      <c r="A38" s="133"/>
      <c r="B38" s="134"/>
      <c r="C38" s="135"/>
      <c r="D38" s="135"/>
      <c r="E38" s="134"/>
      <c r="F38" s="136" t="s">
        <v>835</v>
      </c>
      <c r="G38" s="136" t="n">
        <v>147462</v>
      </c>
      <c r="H38" s="137" t="n">
        <v>33</v>
      </c>
      <c r="I38" s="138" t="s">
        <v>836</v>
      </c>
      <c r="J38" s="136" t="n">
        <v>2</v>
      </c>
      <c r="K38" s="139" t="s">
        <v>40</v>
      </c>
      <c r="L38" s="140" t="n">
        <v>56.63</v>
      </c>
      <c r="M38" s="140" t="n">
        <v>113.26</v>
      </c>
      <c r="N38" s="137" t="s">
        <v>596</v>
      </c>
    </row>
    <row r="39" s="123" customFormat="true" ht="16.4" hidden="false" customHeight="false" outlineLevel="0" collapsed="false">
      <c r="A39" s="133"/>
      <c r="B39" s="134"/>
      <c r="C39" s="135"/>
      <c r="D39" s="135"/>
      <c r="E39" s="134"/>
      <c r="F39" s="136" t="s">
        <v>837</v>
      </c>
      <c r="G39" s="136" t="n">
        <v>147462</v>
      </c>
      <c r="H39" s="137" t="n">
        <v>34</v>
      </c>
      <c r="I39" s="138" t="s">
        <v>838</v>
      </c>
      <c r="J39" s="136" t="n">
        <v>2</v>
      </c>
      <c r="K39" s="139" t="s">
        <v>40</v>
      </c>
      <c r="L39" s="140" t="n">
        <v>56.63</v>
      </c>
      <c r="M39" s="140" t="n">
        <v>113.26</v>
      </c>
      <c r="N39" s="137" t="s">
        <v>596</v>
      </c>
    </row>
    <row r="40" s="123" customFormat="true" ht="16.4" hidden="false" customHeight="false" outlineLevel="0" collapsed="false">
      <c r="A40" s="133"/>
      <c r="B40" s="134"/>
      <c r="C40" s="135"/>
      <c r="D40" s="135"/>
      <c r="E40" s="134"/>
      <c r="F40" s="136" t="s">
        <v>839</v>
      </c>
      <c r="G40" s="136" t="n">
        <v>147469</v>
      </c>
      <c r="H40" s="137" t="n">
        <v>35</v>
      </c>
      <c r="I40" s="138" t="s">
        <v>840</v>
      </c>
      <c r="J40" s="136" t="n">
        <v>4</v>
      </c>
      <c r="K40" s="139" t="s">
        <v>40</v>
      </c>
      <c r="L40" s="140" t="n">
        <v>850</v>
      </c>
      <c r="M40" s="140" t="n">
        <v>3400</v>
      </c>
      <c r="N40" s="137" t="s">
        <v>596</v>
      </c>
    </row>
    <row r="41" s="123" customFormat="true" ht="16.4" hidden="false" customHeight="false" outlineLevel="0" collapsed="false">
      <c r="A41" s="133"/>
      <c r="B41" s="134"/>
      <c r="C41" s="135"/>
      <c r="D41" s="135"/>
      <c r="E41" s="134"/>
      <c r="F41" s="136" t="s">
        <v>831</v>
      </c>
      <c r="G41" s="136" t="n">
        <v>147364</v>
      </c>
      <c r="H41" s="137" t="n">
        <v>36</v>
      </c>
      <c r="I41" s="138" t="s">
        <v>832</v>
      </c>
      <c r="J41" s="136" t="n">
        <v>1</v>
      </c>
      <c r="K41" s="139" t="s">
        <v>40</v>
      </c>
      <c r="L41" s="140" t="n">
        <v>48</v>
      </c>
      <c r="M41" s="140" t="n">
        <v>192</v>
      </c>
      <c r="N41" s="137" t="s">
        <v>596</v>
      </c>
    </row>
    <row r="42" s="123" customFormat="true" ht="16.4" hidden="false" customHeight="false" outlineLevel="0" collapsed="false">
      <c r="A42" s="133"/>
      <c r="B42" s="134"/>
      <c r="C42" s="135"/>
      <c r="D42" s="135"/>
      <c r="E42" s="134"/>
      <c r="F42" s="136" t="s">
        <v>841</v>
      </c>
      <c r="G42" s="136" t="n">
        <v>147364</v>
      </c>
      <c r="H42" s="137" t="n">
        <v>37</v>
      </c>
      <c r="I42" s="138" t="s">
        <v>842</v>
      </c>
      <c r="J42" s="136" t="n">
        <v>1</v>
      </c>
      <c r="K42" s="139" t="s">
        <v>40</v>
      </c>
      <c r="L42" s="140" t="n">
        <v>300</v>
      </c>
      <c r="M42" s="140" t="n">
        <v>300</v>
      </c>
      <c r="N42" s="137" t="s">
        <v>596</v>
      </c>
    </row>
    <row r="43" s="123" customFormat="true" ht="16.4" hidden="false" customHeight="false" outlineLevel="0" collapsed="false">
      <c r="A43" s="133"/>
      <c r="B43" s="134"/>
      <c r="C43" s="135"/>
      <c r="D43" s="135"/>
      <c r="E43" s="134"/>
      <c r="F43" s="136" t="s">
        <v>843</v>
      </c>
      <c r="G43" s="136" t="n">
        <v>147366</v>
      </c>
      <c r="H43" s="137" t="n">
        <v>38</v>
      </c>
      <c r="I43" s="138" t="s">
        <v>652</v>
      </c>
      <c r="J43" s="136" t="n">
        <v>1</v>
      </c>
      <c r="K43" s="139" t="s">
        <v>40</v>
      </c>
      <c r="L43" s="140" t="n">
        <v>734.51</v>
      </c>
      <c r="M43" s="140" t="n">
        <v>734.51</v>
      </c>
      <c r="N43" s="137" t="s">
        <v>596</v>
      </c>
    </row>
    <row r="44" s="123" customFormat="true" ht="16.4" hidden="false" customHeight="false" outlineLevel="0" collapsed="false">
      <c r="A44" s="133"/>
      <c r="B44" s="134"/>
      <c r="C44" s="135"/>
      <c r="D44" s="135"/>
      <c r="E44" s="134"/>
      <c r="F44" s="136" t="s">
        <v>844</v>
      </c>
      <c r="G44" s="136" t="n">
        <v>147369</v>
      </c>
      <c r="H44" s="137" t="n">
        <v>39</v>
      </c>
      <c r="I44" s="138" t="s">
        <v>845</v>
      </c>
      <c r="J44" s="136" t="n">
        <v>1</v>
      </c>
      <c r="K44" s="139" t="s">
        <v>40</v>
      </c>
      <c r="L44" s="140" t="n">
        <v>3490.5172</v>
      </c>
      <c r="M44" s="140" t="n">
        <v>3490.52</v>
      </c>
      <c r="N44" s="137" t="s">
        <v>596</v>
      </c>
    </row>
    <row r="45" s="123" customFormat="true" ht="16.4" hidden="false" customHeight="false" outlineLevel="0" collapsed="false">
      <c r="A45" s="133"/>
      <c r="B45" s="134"/>
      <c r="C45" s="135"/>
      <c r="D45" s="135"/>
      <c r="E45" s="134"/>
      <c r="F45" s="136" t="s">
        <v>846</v>
      </c>
      <c r="G45" s="136" t="n">
        <v>147366</v>
      </c>
      <c r="H45" s="137" t="n">
        <v>40</v>
      </c>
      <c r="I45" s="138" t="s">
        <v>847</v>
      </c>
      <c r="J45" s="136" t="n">
        <v>4</v>
      </c>
      <c r="K45" s="139" t="s">
        <v>40</v>
      </c>
      <c r="L45" s="140" t="n">
        <v>356</v>
      </c>
      <c r="M45" s="140" t="n">
        <v>1424</v>
      </c>
      <c r="N45" s="137" t="s">
        <v>596</v>
      </c>
    </row>
    <row r="46" s="123" customFormat="true" ht="16.4" hidden="false" customHeight="false" outlineLevel="0" collapsed="false">
      <c r="A46" s="133"/>
      <c r="B46" s="134"/>
      <c r="C46" s="135"/>
      <c r="D46" s="135"/>
      <c r="E46" s="134"/>
      <c r="F46" s="136" t="s">
        <v>848</v>
      </c>
      <c r="G46" s="136" t="n">
        <v>147366</v>
      </c>
      <c r="H46" s="137" t="n">
        <v>41</v>
      </c>
      <c r="I46" s="138" t="s">
        <v>849</v>
      </c>
      <c r="J46" s="136" t="n">
        <v>1</v>
      </c>
      <c r="K46" s="139" t="s">
        <v>40</v>
      </c>
      <c r="L46" s="140" t="n">
        <v>1224.52</v>
      </c>
      <c r="M46" s="140" t="n">
        <v>1224.52</v>
      </c>
      <c r="N46" s="137" t="s">
        <v>596</v>
      </c>
    </row>
    <row r="47" s="123" customFormat="true" ht="16.4" hidden="false" customHeight="false" outlineLevel="0" collapsed="false">
      <c r="A47" s="133"/>
      <c r="B47" s="134"/>
      <c r="C47" s="135"/>
      <c r="D47" s="135"/>
      <c r="E47" s="141"/>
      <c r="F47" s="136" t="s">
        <v>645</v>
      </c>
      <c r="G47" s="136" t="n">
        <v>147365</v>
      </c>
      <c r="H47" s="137" t="n">
        <v>42</v>
      </c>
      <c r="I47" s="138" t="s">
        <v>850</v>
      </c>
      <c r="J47" s="136" t="n">
        <v>2</v>
      </c>
      <c r="K47" s="139" t="s">
        <v>40</v>
      </c>
      <c r="L47" s="140" t="n">
        <v>679</v>
      </c>
      <c r="M47" s="140" t="n">
        <v>1358</v>
      </c>
      <c r="N47" s="137" t="s">
        <v>596</v>
      </c>
    </row>
    <row r="48" s="123" customFormat="true" ht="16.4" hidden="false" customHeight="false" outlineLevel="0" collapsed="false">
      <c r="A48" s="133"/>
      <c r="B48" s="134"/>
      <c r="C48" s="135"/>
      <c r="D48" s="135"/>
      <c r="E48" s="141"/>
      <c r="F48" s="136" t="s">
        <v>851</v>
      </c>
      <c r="G48" s="136" t="n">
        <v>147366</v>
      </c>
      <c r="H48" s="137" t="n">
        <v>43</v>
      </c>
      <c r="I48" s="138" t="s">
        <v>852</v>
      </c>
      <c r="J48" s="136" t="n">
        <v>1</v>
      </c>
      <c r="K48" s="139" t="s">
        <v>40</v>
      </c>
      <c r="L48" s="140" t="n">
        <v>2647.5</v>
      </c>
      <c r="M48" s="140" t="n">
        <v>2647.5</v>
      </c>
      <c r="N48" s="137" t="s">
        <v>596</v>
      </c>
    </row>
    <row r="49" s="1" customFormat="true" ht="13.8" hidden="false" customHeight="false" outlineLevel="0" collapsed="false">
      <c r="A49" s="57" t="s">
        <v>0</v>
      </c>
      <c r="B49" s="57" t="s">
        <v>1</v>
      </c>
      <c r="C49" s="57" t="s">
        <v>2</v>
      </c>
      <c r="D49" s="57" t="s">
        <v>531</v>
      </c>
      <c r="E49" s="65" t="s">
        <v>325</v>
      </c>
      <c r="F49" s="57" t="s">
        <v>4</v>
      </c>
      <c r="G49" s="57" t="s">
        <v>5</v>
      </c>
      <c r="H49" s="57" t="s">
        <v>6</v>
      </c>
      <c r="I49" s="57" t="s">
        <v>7</v>
      </c>
      <c r="J49" s="65" t="s">
        <v>8</v>
      </c>
      <c r="K49" s="65" t="s">
        <v>9</v>
      </c>
      <c r="L49" s="65" t="s">
        <v>498</v>
      </c>
      <c r="M49" s="65" t="s">
        <v>499</v>
      </c>
      <c r="N49" s="65" t="s">
        <v>500</v>
      </c>
    </row>
    <row r="50" s="100" customFormat="true" ht="26.85" hidden="false" customHeight="true" outlineLevel="0" collapsed="false">
      <c r="A50" s="74" t="n">
        <v>46135</v>
      </c>
      <c r="B50" s="68" t="n">
        <v>181345</v>
      </c>
      <c r="C50" s="68" t="s">
        <v>853</v>
      </c>
      <c r="D50" s="68" t="s">
        <v>506</v>
      </c>
      <c r="E50" s="68" t="s">
        <v>564</v>
      </c>
      <c r="F50" s="68" t="n">
        <v>1301127</v>
      </c>
      <c r="G50" s="68" t="n">
        <v>148112</v>
      </c>
      <c r="H50" s="68" t="n">
        <v>1</v>
      </c>
      <c r="I50" s="50" t="s">
        <v>854</v>
      </c>
      <c r="J50" s="68" t="n">
        <v>20</v>
      </c>
      <c r="K50" s="68" t="s">
        <v>566</v>
      </c>
      <c r="L50" s="77" t="n">
        <v>965</v>
      </c>
      <c r="M50" s="77" t="n">
        <v>19300</v>
      </c>
      <c r="N50" s="52" t="s">
        <v>855</v>
      </c>
    </row>
    <row r="51" s="100" customFormat="true" ht="39.55" hidden="false" customHeight="false" outlineLevel="0" collapsed="false">
      <c r="A51" s="74"/>
      <c r="B51" s="68"/>
      <c r="C51" s="68"/>
      <c r="D51" s="68"/>
      <c r="E51" s="68" t="s">
        <v>564</v>
      </c>
      <c r="F51" s="68" t="n">
        <v>1301126</v>
      </c>
      <c r="G51" s="68" t="n">
        <v>148112</v>
      </c>
      <c r="H51" s="68" t="n">
        <v>2</v>
      </c>
      <c r="I51" s="50" t="s">
        <v>856</v>
      </c>
      <c r="J51" s="68" t="n">
        <v>20</v>
      </c>
      <c r="K51" s="68" t="s">
        <v>566</v>
      </c>
      <c r="L51" s="77" t="n">
        <v>150</v>
      </c>
      <c r="M51" s="77" t="n">
        <v>3000</v>
      </c>
      <c r="N51" s="52" t="s">
        <v>855</v>
      </c>
    </row>
    <row r="52" s="1" customFormat="true" ht="13.8" hidden="false" customHeight="false" outlineLevel="0" collapsed="false">
      <c r="A52" s="3" t="s">
        <v>0</v>
      </c>
      <c r="B52" s="3" t="s">
        <v>1</v>
      </c>
      <c r="C52" s="3" t="s">
        <v>2</v>
      </c>
      <c r="D52" s="3" t="s">
        <v>531</v>
      </c>
      <c r="E52" s="65" t="s">
        <v>325</v>
      </c>
      <c r="F52" s="3" t="s">
        <v>4</v>
      </c>
      <c r="G52" s="3" t="s">
        <v>5</v>
      </c>
      <c r="H52" s="3" t="s">
        <v>6</v>
      </c>
      <c r="I52" s="3" t="s">
        <v>7</v>
      </c>
      <c r="J52" s="65" t="s">
        <v>8</v>
      </c>
      <c r="K52" s="65" t="s">
        <v>9</v>
      </c>
      <c r="L52" s="65" t="s">
        <v>498</v>
      </c>
      <c r="M52" s="65" t="s">
        <v>499</v>
      </c>
      <c r="N52" s="65" t="s">
        <v>500</v>
      </c>
    </row>
    <row r="53" s="100" customFormat="true" ht="26.85" hidden="false" customHeight="true" outlineLevel="0" collapsed="false">
      <c r="A53" s="74" t="n">
        <v>46135</v>
      </c>
      <c r="B53" s="68" t="n">
        <v>181346</v>
      </c>
      <c r="C53" s="68" t="s">
        <v>857</v>
      </c>
      <c r="D53" s="68" t="s">
        <v>765</v>
      </c>
      <c r="E53" s="68" t="s">
        <v>564</v>
      </c>
      <c r="F53" s="68" t="n">
        <v>1301128</v>
      </c>
      <c r="G53" s="68" t="n">
        <v>148756</v>
      </c>
      <c r="H53" s="68" t="n">
        <v>1</v>
      </c>
      <c r="I53" s="50" t="s">
        <v>858</v>
      </c>
      <c r="J53" s="68" t="n">
        <v>200</v>
      </c>
      <c r="K53" s="68" t="s">
        <v>566</v>
      </c>
      <c r="L53" s="77" t="n">
        <v>965</v>
      </c>
      <c r="M53" s="77" t="n">
        <v>193000</v>
      </c>
      <c r="N53" s="52" t="s">
        <v>667</v>
      </c>
    </row>
    <row r="54" s="100" customFormat="true" ht="39.55" hidden="false" customHeight="false" outlineLevel="0" collapsed="false">
      <c r="A54" s="74"/>
      <c r="B54" s="68"/>
      <c r="C54" s="68"/>
      <c r="D54" s="68"/>
      <c r="E54" s="68" t="s">
        <v>564</v>
      </c>
      <c r="F54" s="68" t="n">
        <v>1301126</v>
      </c>
      <c r="G54" s="68" t="n">
        <v>148756</v>
      </c>
      <c r="H54" s="68" t="n">
        <v>2</v>
      </c>
      <c r="I54" s="50" t="s">
        <v>856</v>
      </c>
      <c r="J54" s="68" t="n">
        <v>200</v>
      </c>
      <c r="K54" s="68" t="s">
        <v>566</v>
      </c>
      <c r="L54" s="77" t="n">
        <v>750</v>
      </c>
      <c r="M54" s="77" t="n">
        <f aca="false">J54*L54</f>
        <v>150000</v>
      </c>
      <c r="N54" s="52" t="s">
        <v>667</v>
      </c>
    </row>
    <row r="55" customFormat="false" ht="13.8" hidden="false" customHeight="false" outlineLevel="0" collapsed="false">
      <c r="A55" s="57" t="s">
        <v>0</v>
      </c>
      <c r="B55" s="57" t="s">
        <v>1</v>
      </c>
      <c r="C55" s="57" t="s">
        <v>2</v>
      </c>
      <c r="D55" s="57" t="s">
        <v>531</v>
      </c>
      <c r="E55" s="65" t="s">
        <v>325</v>
      </c>
      <c r="F55" s="57" t="s">
        <v>4</v>
      </c>
      <c r="G55" s="57" t="s">
        <v>5</v>
      </c>
      <c r="H55" s="57" t="s">
        <v>6</v>
      </c>
      <c r="I55" s="57" t="s">
        <v>7</v>
      </c>
      <c r="J55" s="65" t="s">
        <v>8</v>
      </c>
      <c r="K55" s="65" t="s">
        <v>9</v>
      </c>
      <c r="L55" s="65" t="s">
        <v>498</v>
      </c>
      <c r="M55" s="65" t="s">
        <v>499</v>
      </c>
      <c r="N55" s="65" t="s">
        <v>500</v>
      </c>
    </row>
    <row r="56" customFormat="false" ht="14.15" hidden="false" customHeight="true" outlineLevel="0" collapsed="false">
      <c r="A56" s="67" t="n">
        <v>46134</v>
      </c>
      <c r="B56" s="52" t="n">
        <v>181176</v>
      </c>
      <c r="C56" s="68" t="s">
        <v>859</v>
      </c>
      <c r="D56" s="68" t="s">
        <v>765</v>
      </c>
      <c r="E56" s="52" t="s">
        <v>515</v>
      </c>
      <c r="F56" s="55" t="s">
        <v>860</v>
      </c>
      <c r="G56" s="52" t="n">
        <v>148759</v>
      </c>
      <c r="H56" s="52" t="n">
        <v>1</v>
      </c>
      <c r="I56" s="50" t="s">
        <v>861</v>
      </c>
      <c r="J56" s="52" t="n">
        <v>40</v>
      </c>
      <c r="K56" s="52" t="s">
        <v>21</v>
      </c>
      <c r="L56" s="77" t="n">
        <v>729</v>
      </c>
      <c r="M56" s="89" t="n">
        <f aca="false">J56*L56</f>
        <v>29160</v>
      </c>
      <c r="N56" s="52" t="s">
        <v>667</v>
      </c>
    </row>
    <row r="57" customFormat="false" ht="14.15" hidden="false" customHeight="false" outlineLevel="0" collapsed="false">
      <c r="A57" s="67"/>
      <c r="B57" s="52"/>
      <c r="C57" s="68"/>
      <c r="D57" s="68"/>
      <c r="E57" s="52" t="s">
        <v>515</v>
      </c>
      <c r="F57" s="55" t="s">
        <v>862</v>
      </c>
      <c r="G57" s="52" t="n">
        <v>148759</v>
      </c>
      <c r="H57" s="52" t="n">
        <v>2</v>
      </c>
      <c r="I57" s="50" t="s">
        <v>863</v>
      </c>
      <c r="J57" s="52" t="n">
        <v>160</v>
      </c>
      <c r="K57" s="52" t="s">
        <v>21</v>
      </c>
      <c r="L57" s="77" t="n">
        <v>512</v>
      </c>
      <c r="M57" s="89" t="n">
        <f aca="false">J57*L57</f>
        <v>81920</v>
      </c>
      <c r="N57" s="52" t="s">
        <v>667</v>
      </c>
    </row>
    <row r="58" customFormat="false" ht="14.15" hidden="false" customHeight="false" outlineLevel="0" collapsed="false">
      <c r="A58" s="67"/>
      <c r="B58" s="52"/>
      <c r="C58" s="68"/>
      <c r="D58" s="68"/>
      <c r="E58" s="52" t="s">
        <v>515</v>
      </c>
      <c r="F58" s="55" t="s">
        <v>864</v>
      </c>
      <c r="G58" s="52" t="n">
        <v>148865</v>
      </c>
      <c r="H58" s="52" t="n">
        <v>3</v>
      </c>
      <c r="I58" s="50" t="s">
        <v>865</v>
      </c>
      <c r="J58" s="52" t="n">
        <v>80</v>
      </c>
      <c r="K58" s="52" t="s">
        <v>21</v>
      </c>
      <c r="L58" s="77" t="n">
        <v>915</v>
      </c>
      <c r="M58" s="89" t="n">
        <f aca="false">J58*L58</f>
        <v>73200</v>
      </c>
      <c r="N58" s="52" t="s">
        <v>667</v>
      </c>
    </row>
    <row r="59" customFormat="false" ht="14.15" hidden="false" customHeight="false" outlineLevel="0" collapsed="false">
      <c r="A59" s="67"/>
      <c r="B59" s="52"/>
      <c r="C59" s="68"/>
      <c r="D59" s="68"/>
      <c r="E59" s="52" t="s">
        <v>515</v>
      </c>
      <c r="F59" s="55" t="s">
        <v>866</v>
      </c>
      <c r="G59" s="52" t="n">
        <v>148865</v>
      </c>
      <c r="H59" s="52" t="n">
        <v>4</v>
      </c>
      <c r="I59" s="50" t="s">
        <v>867</v>
      </c>
      <c r="J59" s="52" t="n">
        <v>25</v>
      </c>
      <c r="K59" s="52" t="s">
        <v>21</v>
      </c>
      <c r="L59" s="77" t="n">
        <v>1015</v>
      </c>
      <c r="M59" s="89" t="n">
        <f aca="false">J59*L59</f>
        <v>25375</v>
      </c>
      <c r="N59" s="52" t="s">
        <v>667</v>
      </c>
    </row>
    <row r="60" customFormat="false" ht="13.8" hidden="false" customHeight="false" outlineLevel="0" collapsed="false">
      <c r="A60" s="57" t="s">
        <v>0</v>
      </c>
      <c r="B60" s="57" t="s">
        <v>1</v>
      </c>
      <c r="C60" s="57" t="s">
        <v>2</v>
      </c>
      <c r="D60" s="57" t="s">
        <v>531</v>
      </c>
      <c r="E60" s="65" t="s">
        <v>325</v>
      </c>
      <c r="F60" s="57" t="s">
        <v>4</v>
      </c>
      <c r="G60" s="57" t="s">
        <v>5</v>
      </c>
      <c r="H60" s="57" t="s">
        <v>6</v>
      </c>
      <c r="I60" s="57" t="s">
        <v>868</v>
      </c>
      <c r="J60" s="65" t="s">
        <v>8</v>
      </c>
      <c r="K60" s="65" t="s">
        <v>9</v>
      </c>
      <c r="L60" s="65" t="s">
        <v>498</v>
      </c>
      <c r="M60" s="65" t="s">
        <v>499</v>
      </c>
      <c r="N60" s="65" t="s">
        <v>500</v>
      </c>
    </row>
    <row r="61" customFormat="false" ht="26.85" hidden="false" customHeight="true" outlineLevel="0" collapsed="false">
      <c r="A61" s="4" t="n">
        <v>46107</v>
      </c>
      <c r="B61" s="5" t="n">
        <v>180820</v>
      </c>
      <c r="C61" s="6" t="s">
        <v>869</v>
      </c>
      <c r="D61" s="6" t="s">
        <v>765</v>
      </c>
      <c r="E61" s="52"/>
      <c r="F61" s="55" t="s">
        <v>870</v>
      </c>
      <c r="G61" s="55"/>
      <c r="H61" s="55" t="s">
        <v>154</v>
      </c>
      <c r="I61" s="50" t="s">
        <v>871</v>
      </c>
      <c r="J61" s="55" t="s">
        <v>277</v>
      </c>
      <c r="K61" s="55" t="s">
        <v>36</v>
      </c>
      <c r="L61" s="77" t="n">
        <v>7000</v>
      </c>
      <c r="M61" s="77" t="n">
        <v>14000</v>
      </c>
      <c r="N61" s="142" t="s">
        <v>74</v>
      </c>
    </row>
    <row r="62" customFormat="false" ht="26.85" hidden="false" customHeight="false" outlineLevel="0" collapsed="false">
      <c r="A62" s="4"/>
      <c r="B62" s="5"/>
      <c r="C62" s="6"/>
      <c r="D62" s="6"/>
      <c r="E62" s="52"/>
      <c r="F62" s="55" t="s">
        <v>872</v>
      </c>
      <c r="G62" s="52" t="n">
        <v>148553</v>
      </c>
      <c r="H62" s="55" t="s">
        <v>159</v>
      </c>
      <c r="I62" s="50" t="s">
        <v>873</v>
      </c>
      <c r="J62" s="55" t="s">
        <v>224</v>
      </c>
      <c r="K62" s="55" t="s">
        <v>40</v>
      </c>
      <c r="L62" s="77" t="n">
        <v>1170.3991</v>
      </c>
      <c r="M62" s="77" t="n">
        <v>4681.6</v>
      </c>
      <c r="N62" s="142" t="s">
        <v>667</v>
      </c>
    </row>
    <row r="63" customFormat="false" ht="26.85" hidden="false" customHeight="false" outlineLevel="0" collapsed="false">
      <c r="A63" s="4"/>
      <c r="B63" s="5"/>
      <c r="C63" s="6"/>
      <c r="D63" s="6"/>
      <c r="E63" s="52"/>
      <c r="F63" s="55" t="s">
        <v>874</v>
      </c>
      <c r="G63" s="52" t="n">
        <v>148553</v>
      </c>
      <c r="H63" s="55" t="s">
        <v>99</v>
      </c>
      <c r="I63" s="50" t="s">
        <v>875</v>
      </c>
      <c r="J63" s="55" t="s">
        <v>224</v>
      </c>
      <c r="K63" s="55" t="s">
        <v>40</v>
      </c>
      <c r="L63" s="77" t="n">
        <v>2027.6174</v>
      </c>
      <c r="M63" s="77" t="n">
        <v>8110.47</v>
      </c>
      <c r="N63" s="142" t="s">
        <v>667</v>
      </c>
    </row>
    <row r="64" customFormat="false" ht="26.85" hidden="false" customHeight="false" outlineLevel="0" collapsed="false">
      <c r="A64" s="4"/>
      <c r="B64" s="5"/>
      <c r="C64" s="6"/>
      <c r="D64" s="6"/>
      <c r="E64" s="52"/>
      <c r="F64" s="55" t="s">
        <v>876</v>
      </c>
      <c r="G64" s="52" t="n">
        <v>148553</v>
      </c>
      <c r="H64" s="55" t="s">
        <v>224</v>
      </c>
      <c r="I64" s="50" t="s">
        <v>877</v>
      </c>
      <c r="J64" s="55" t="s">
        <v>154</v>
      </c>
      <c r="K64" s="55" t="s">
        <v>40</v>
      </c>
      <c r="L64" s="77" t="n">
        <v>4008.8183</v>
      </c>
      <c r="M64" s="77" t="n">
        <v>4008.82</v>
      </c>
      <c r="N64" s="142" t="s">
        <v>667</v>
      </c>
    </row>
    <row r="65" customFormat="false" ht="26.85" hidden="false" customHeight="false" outlineLevel="0" collapsed="false">
      <c r="A65" s="4"/>
      <c r="B65" s="5"/>
      <c r="C65" s="6"/>
      <c r="D65" s="6"/>
      <c r="E65" s="52"/>
      <c r="F65" s="55" t="s">
        <v>746</v>
      </c>
      <c r="G65" s="52"/>
      <c r="H65" s="55" t="s">
        <v>119</v>
      </c>
      <c r="I65" s="50" t="s">
        <v>747</v>
      </c>
      <c r="J65" s="55" t="s">
        <v>246</v>
      </c>
      <c r="K65" s="55" t="s">
        <v>21</v>
      </c>
      <c r="L65" s="77"/>
      <c r="M65" s="77"/>
      <c r="N65" s="142" t="s">
        <v>74</v>
      </c>
    </row>
    <row r="66" customFormat="false" ht="26.85" hidden="false" customHeight="false" outlineLevel="0" collapsed="false">
      <c r="A66" s="4"/>
      <c r="B66" s="5"/>
      <c r="C66" s="6"/>
      <c r="D66" s="6"/>
      <c r="E66" s="52"/>
      <c r="F66" s="55" t="s">
        <v>878</v>
      </c>
      <c r="G66" s="52" t="n">
        <v>148553</v>
      </c>
      <c r="H66" s="55" t="s">
        <v>229</v>
      </c>
      <c r="I66" s="50" t="s">
        <v>879</v>
      </c>
      <c r="J66" s="55" t="s">
        <v>235</v>
      </c>
      <c r="K66" s="55" t="s">
        <v>40</v>
      </c>
      <c r="L66" s="77" t="n">
        <v>302.1458</v>
      </c>
      <c r="M66" s="77" t="n">
        <v>2417.17</v>
      </c>
      <c r="N66" s="142" t="s">
        <v>667</v>
      </c>
    </row>
    <row r="67" customFormat="false" ht="64.9" hidden="false" customHeight="false" outlineLevel="0" collapsed="false">
      <c r="A67" s="4"/>
      <c r="B67" s="5"/>
      <c r="C67" s="6"/>
      <c r="D67" s="6"/>
      <c r="E67" s="52"/>
      <c r="F67" s="55" t="s">
        <v>880</v>
      </c>
      <c r="G67" s="52"/>
      <c r="H67" s="55" t="s">
        <v>232</v>
      </c>
      <c r="I67" s="50" t="s">
        <v>749</v>
      </c>
      <c r="J67" s="52" t="n">
        <v>8</v>
      </c>
      <c r="K67" s="55" t="s">
        <v>21</v>
      </c>
      <c r="L67" s="77" t="n">
        <v>4840</v>
      </c>
      <c r="M67" s="77" t="n">
        <v>29040</v>
      </c>
      <c r="N67" s="142" t="s">
        <v>74</v>
      </c>
    </row>
    <row r="68" customFormat="false" ht="39.55" hidden="false" customHeight="false" outlineLevel="0" collapsed="false">
      <c r="A68" s="4"/>
      <c r="B68" s="5"/>
      <c r="C68" s="6"/>
      <c r="D68" s="6"/>
      <c r="E68" s="52"/>
      <c r="F68" s="55" t="s">
        <v>881</v>
      </c>
      <c r="G68" s="52" t="n">
        <v>148553</v>
      </c>
      <c r="H68" s="55" t="s">
        <v>235</v>
      </c>
      <c r="I68" s="50" t="s">
        <v>882</v>
      </c>
      <c r="J68" s="55" t="s">
        <v>235</v>
      </c>
      <c r="K68" s="55" t="s">
        <v>21</v>
      </c>
      <c r="L68" s="77" t="n">
        <v>181.4627</v>
      </c>
      <c r="M68" s="77" t="n">
        <v>1451.7</v>
      </c>
      <c r="N68" s="142" t="s">
        <v>667</v>
      </c>
    </row>
    <row r="69" customFormat="false" ht="52.2" hidden="false" customHeight="false" outlineLevel="0" collapsed="false">
      <c r="A69" s="4"/>
      <c r="B69" s="5"/>
      <c r="C69" s="6"/>
      <c r="D69" s="6"/>
      <c r="E69" s="52"/>
      <c r="F69" s="55" t="s">
        <v>883</v>
      </c>
      <c r="G69" s="52" t="n">
        <v>148553</v>
      </c>
      <c r="H69" s="55" t="s">
        <v>239</v>
      </c>
      <c r="I69" s="50" t="s">
        <v>884</v>
      </c>
      <c r="J69" s="55" t="s">
        <v>235</v>
      </c>
      <c r="K69" s="55" t="s">
        <v>21</v>
      </c>
      <c r="L69" s="77" t="n">
        <v>94.9351</v>
      </c>
      <c r="M69" s="77" t="n">
        <v>759.48</v>
      </c>
      <c r="N69" s="142" t="s">
        <v>667</v>
      </c>
    </row>
    <row r="70" customFormat="false" ht="26.85" hidden="false" customHeight="false" outlineLevel="0" collapsed="false">
      <c r="A70" s="4"/>
      <c r="B70" s="5"/>
      <c r="C70" s="6"/>
      <c r="D70" s="6"/>
      <c r="E70" s="52"/>
      <c r="F70" s="55" t="s">
        <v>756</v>
      </c>
      <c r="G70" s="52" t="n">
        <v>148553</v>
      </c>
      <c r="H70" s="55" t="s">
        <v>141</v>
      </c>
      <c r="I70" s="50" t="s">
        <v>757</v>
      </c>
      <c r="J70" s="55" t="s">
        <v>272</v>
      </c>
      <c r="K70" s="55" t="s">
        <v>21</v>
      </c>
      <c r="L70" s="77" t="n">
        <v>34.3308</v>
      </c>
      <c r="M70" s="77" t="n">
        <v>1098.59</v>
      </c>
      <c r="N70" s="142" t="s">
        <v>667</v>
      </c>
    </row>
    <row r="71" customFormat="false" ht="26.85" hidden="false" customHeight="false" outlineLevel="0" collapsed="false">
      <c r="A71" s="4"/>
      <c r="B71" s="5"/>
      <c r="C71" s="6"/>
      <c r="D71" s="6"/>
      <c r="E71" s="52"/>
      <c r="F71" s="55" t="s">
        <v>885</v>
      </c>
      <c r="G71" s="52"/>
      <c r="H71" s="55" t="s">
        <v>244</v>
      </c>
      <c r="I71" s="50" t="s">
        <v>886</v>
      </c>
      <c r="J71" s="55" t="s">
        <v>159</v>
      </c>
      <c r="K71" s="55" t="s">
        <v>21</v>
      </c>
      <c r="L71" s="77"/>
      <c r="M71" s="77"/>
      <c r="N71" s="142" t="s">
        <v>74</v>
      </c>
    </row>
    <row r="72" customFormat="false" ht="26.85" hidden="false" customHeight="false" outlineLevel="0" collapsed="false">
      <c r="A72" s="4"/>
      <c r="B72" s="5"/>
      <c r="C72" s="6"/>
      <c r="D72" s="6"/>
      <c r="E72" s="52"/>
      <c r="F72" s="55" t="s">
        <v>887</v>
      </c>
      <c r="G72" s="52"/>
      <c r="H72" s="55" t="s">
        <v>246</v>
      </c>
      <c r="I72" s="50" t="s">
        <v>888</v>
      </c>
      <c r="J72" s="55" t="s">
        <v>159</v>
      </c>
      <c r="K72" s="55" t="s">
        <v>21</v>
      </c>
      <c r="L72" s="77"/>
      <c r="M72" s="77"/>
      <c r="N72" s="142" t="s">
        <v>74</v>
      </c>
    </row>
    <row r="73" customFormat="false" ht="26.85" hidden="false" customHeight="false" outlineLevel="0" collapsed="false">
      <c r="A73" s="4"/>
      <c r="B73" s="5"/>
      <c r="C73" s="6"/>
      <c r="D73" s="6"/>
      <c r="E73" s="52"/>
      <c r="F73" s="55" t="s">
        <v>889</v>
      </c>
      <c r="G73" s="52" t="n">
        <v>148553</v>
      </c>
      <c r="H73" s="55" t="s">
        <v>248</v>
      </c>
      <c r="I73" s="50" t="s">
        <v>890</v>
      </c>
      <c r="J73" s="55" t="s">
        <v>277</v>
      </c>
      <c r="K73" s="55" t="s">
        <v>21</v>
      </c>
      <c r="L73" s="77" t="n">
        <v>130.492</v>
      </c>
      <c r="M73" s="77" t="n">
        <v>3131.81</v>
      </c>
      <c r="N73" s="142" t="s">
        <v>667</v>
      </c>
    </row>
    <row r="74" customFormat="false" ht="26.85" hidden="false" customHeight="false" outlineLevel="0" collapsed="false">
      <c r="A74" s="4"/>
      <c r="B74" s="5"/>
      <c r="C74" s="6"/>
      <c r="D74" s="6"/>
      <c r="E74" s="52"/>
      <c r="F74" s="55" t="s">
        <v>702</v>
      </c>
      <c r="G74" s="52" t="n">
        <v>148553</v>
      </c>
      <c r="H74" s="55" t="s">
        <v>181</v>
      </c>
      <c r="I74" s="50" t="s">
        <v>703</v>
      </c>
      <c r="J74" s="55" t="s">
        <v>277</v>
      </c>
      <c r="K74" s="55" t="s">
        <v>21</v>
      </c>
      <c r="L74" s="77" t="n">
        <v>126.4634</v>
      </c>
      <c r="M74" s="77" t="n">
        <v>3035.12</v>
      </c>
      <c r="N74" s="142" t="s">
        <v>667</v>
      </c>
    </row>
    <row r="75" customFormat="false" ht="39.55" hidden="false" customHeight="false" outlineLevel="0" collapsed="false">
      <c r="A75" s="4"/>
      <c r="B75" s="5"/>
      <c r="C75" s="6"/>
      <c r="D75" s="6"/>
      <c r="E75" s="52"/>
      <c r="F75" s="55" t="s">
        <v>891</v>
      </c>
      <c r="G75" s="52" t="n">
        <v>148553</v>
      </c>
      <c r="H75" s="55" t="s">
        <v>183</v>
      </c>
      <c r="I75" s="50" t="s">
        <v>892</v>
      </c>
      <c r="J75" s="55" t="s">
        <v>159</v>
      </c>
      <c r="K75" s="55" t="s">
        <v>40</v>
      </c>
      <c r="L75" s="77" t="n">
        <v>3080.1358</v>
      </c>
      <c r="M75" s="77" t="n">
        <v>6160.27</v>
      </c>
      <c r="N75" s="142" t="s">
        <v>667</v>
      </c>
    </row>
    <row r="76" customFormat="false" ht="52.2" hidden="false" customHeight="false" outlineLevel="0" collapsed="false">
      <c r="A76" s="4"/>
      <c r="B76" s="5"/>
      <c r="C76" s="6"/>
      <c r="D76" s="6"/>
      <c r="E76" s="52"/>
      <c r="F76" s="55" t="s">
        <v>354</v>
      </c>
      <c r="G76" s="52" t="n">
        <v>148553</v>
      </c>
      <c r="H76" s="55" t="s">
        <v>255</v>
      </c>
      <c r="I76" s="50" t="s">
        <v>355</v>
      </c>
      <c r="J76" s="55" t="s">
        <v>159</v>
      </c>
      <c r="K76" s="55" t="s">
        <v>40</v>
      </c>
      <c r="L76" s="77" t="n">
        <v>1538.2288</v>
      </c>
      <c r="M76" s="77" t="n">
        <v>3076.46</v>
      </c>
      <c r="N76" s="142" t="s">
        <v>667</v>
      </c>
    </row>
    <row r="77" customFormat="false" ht="26.85" hidden="false" customHeight="false" outlineLevel="0" collapsed="false">
      <c r="A77" s="4"/>
      <c r="B77" s="5"/>
      <c r="C77" s="6"/>
      <c r="D77" s="6"/>
      <c r="E77" s="52"/>
      <c r="F77" s="55" t="s">
        <v>893</v>
      </c>
      <c r="G77" s="52" t="n">
        <v>148553</v>
      </c>
      <c r="H77" s="55" t="s">
        <v>258</v>
      </c>
      <c r="I77" s="50" t="s">
        <v>894</v>
      </c>
      <c r="J77" s="55" t="s">
        <v>215</v>
      </c>
      <c r="K77" s="55" t="s">
        <v>40</v>
      </c>
      <c r="L77" s="77" t="n">
        <v>120.8583</v>
      </c>
      <c r="M77" s="77" t="n">
        <v>5801.2</v>
      </c>
      <c r="N77" s="142" t="s">
        <v>667</v>
      </c>
    </row>
    <row r="78" customFormat="false" ht="39.55" hidden="false" customHeight="false" outlineLevel="0" collapsed="false">
      <c r="A78" s="4"/>
      <c r="B78" s="5"/>
      <c r="C78" s="6"/>
      <c r="D78" s="6"/>
      <c r="E78" s="52"/>
      <c r="F78" s="55" t="s">
        <v>895</v>
      </c>
      <c r="G78" s="52" t="n">
        <v>148553</v>
      </c>
      <c r="H78" s="55" t="s">
        <v>261</v>
      </c>
      <c r="I78" s="50" t="s">
        <v>896</v>
      </c>
      <c r="J78" s="55" t="s">
        <v>159</v>
      </c>
      <c r="K78" s="55" t="s">
        <v>40</v>
      </c>
      <c r="L78" s="77" t="n">
        <v>1491.4619</v>
      </c>
      <c r="M78" s="77" t="n">
        <v>2982.92</v>
      </c>
      <c r="N78" s="142" t="s">
        <v>667</v>
      </c>
    </row>
    <row r="79" customFormat="false" ht="52.2" hidden="false" customHeight="false" outlineLevel="0" collapsed="false">
      <c r="A79" s="4"/>
      <c r="B79" s="5"/>
      <c r="C79" s="6"/>
      <c r="D79" s="6"/>
      <c r="E79" s="52"/>
      <c r="F79" s="55" t="s">
        <v>897</v>
      </c>
      <c r="G79" s="52" t="n">
        <v>148553</v>
      </c>
      <c r="H79" s="55" t="s">
        <v>264</v>
      </c>
      <c r="I79" s="50" t="s">
        <v>898</v>
      </c>
      <c r="J79" s="55" t="s">
        <v>159</v>
      </c>
      <c r="K79" s="55" t="s">
        <v>40</v>
      </c>
      <c r="L79" s="77" t="n">
        <v>1160.24</v>
      </c>
      <c r="M79" s="77" t="n">
        <v>2320.48</v>
      </c>
      <c r="N79" s="142" t="s">
        <v>667</v>
      </c>
    </row>
    <row r="80" customFormat="false" ht="39.55" hidden="false" customHeight="false" outlineLevel="0" collapsed="false">
      <c r="A80" s="4"/>
      <c r="B80" s="5"/>
      <c r="C80" s="6"/>
      <c r="D80" s="6"/>
      <c r="E80" s="52"/>
      <c r="F80" s="55" t="s">
        <v>899</v>
      </c>
      <c r="G80" s="52"/>
      <c r="H80" s="55" t="s">
        <v>109</v>
      </c>
      <c r="I80" s="50" t="s">
        <v>900</v>
      </c>
      <c r="J80" s="55" t="s">
        <v>141</v>
      </c>
      <c r="K80" s="55" t="s">
        <v>21</v>
      </c>
      <c r="L80" s="77"/>
      <c r="M80" s="77"/>
      <c r="N80" s="142" t="s">
        <v>74</v>
      </c>
    </row>
    <row r="81" customFormat="false" ht="26.85" hidden="false" customHeight="false" outlineLevel="0" collapsed="false">
      <c r="A81" s="4"/>
      <c r="B81" s="5"/>
      <c r="C81" s="6"/>
      <c r="D81" s="6"/>
      <c r="E81" s="52"/>
      <c r="F81" s="55" t="s">
        <v>901</v>
      </c>
      <c r="G81" s="52" t="n">
        <v>148553</v>
      </c>
      <c r="H81" s="55" t="s">
        <v>268</v>
      </c>
      <c r="I81" s="50" t="s">
        <v>902</v>
      </c>
      <c r="J81" s="55" t="s">
        <v>119</v>
      </c>
      <c r="K81" s="55" t="s">
        <v>21</v>
      </c>
      <c r="L81" s="77" t="n">
        <v>1779.0696</v>
      </c>
      <c r="M81" s="77" t="n">
        <v>8895.35</v>
      </c>
      <c r="N81" s="142" t="s">
        <v>667</v>
      </c>
    </row>
    <row r="82" customFormat="false" ht="26.85" hidden="false" customHeight="false" outlineLevel="0" collapsed="false">
      <c r="A82" s="4"/>
      <c r="B82" s="5"/>
      <c r="C82" s="6"/>
      <c r="D82" s="6"/>
      <c r="E82" s="52"/>
      <c r="F82" s="55" t="s">
        <v>903</v>
      </c>
      <c r="G82" s="52" t="n">
        <v>148553</v>
      </c>
      <c r="H82" s="55" t="s">
        <v>270</v>
      </c>
      <c r="I82" s="50" t="s">
        <v>904</v>
      </c>
      <c r="J82" s="55" t="s">
        <v>191</v>
      </c>
      <c r="K82" s="55" t="s">
        <v>21</v>
      </c>
      <c r="L82" s="77" t="n">
        <v>120.8583</v>
      </c>
      <c r="M82" s="77" t="n">
        <v>7251.5</v>
      </c>
      <c r="N82" s="142" t="s">
        <v>667</v>
      </c>
    </row>
    <row r="83" customFormat="false" ht="64.9" hidden="false" customHeight="false" outlineLevel="0" collapsed="false">
      <c r="A83" s="4"/>
      <c r="B83" s="5"/>
      <c r="C83" s="6"/>
      <c r="D83" s="6"/>
      <c r="E83" s="52"/>
      <c r="F83" s="55" t="s">
        <v>905</v>
      </c>
      <c r="G83" s="52" t="n">
        <v>148553</v>
      </c>
      <c r="H83" s="55" t="s">
        <v>274</v>
      </c>
      <c r="I83" s="50" t="s">
        <v>906</v>
      </c>
      <c r="J83" s="52" t="n">
        <v>1</v>
      </c>
      <c r="K83" s="55" t="s">
        <v>40</v>
      </c>
      <c r="L83" s="77" t="n">
        <v>30090.7465</v>
      </c>
      <c r="M83" s="77" t="n">
        <v>30090.75</v>
      </c>
      <c r="N83" s="142" t="s">
        <v>667</v>
      </c>
    </row>
    <row r="84" customFormat="false" ht="64.9" hidden="false" customHeight="false" outlineLevel="0" collapsed="false">
      <c r="A84" s="4"/>
      <c r="B84" s="5"/>
      <c r="C84" s="6"/>
      <c r="D84" s="6"/>
      <c r="E84" s="52"/>
      <c r="F84" s="55" t="s">
        <v>907</v>
      </c>
      <c r="G84" s="52" t="n">
        <v>148553</v>
      </c>
      <c r="H84" s="55" t="s">
        <v>277</v>
      </c>
      <c r="I84" s="50" t="s">
        <v>908</v>
      </c>
      <c r="J84" s="55" t="s">
        <v>154</v>
      </c>
      <c r="K84" s="55" t="s">
        <v>40</v>
      </c>
      <c r="L84" s="77" t="n">
        <v>40504.8811</v>
      </c>
      <c r="M84" s="77" t="n">
        <v>40504.88</v>
      </c>
      <c r="N84" s="142" t="s">
        <v>667</v>
      </c>
    </row>
    <row r="85" customFormat="false" ht="13.8" hidden="false" customHeight="false" outlineLevel="0" collapsed="false">
      <c r="A85" s="65" t="s">
        <v>0</v>
      </c>
      <c r="B85" s="65" t="s">
        <v>1</v>
      </c>
      <c r="C85" s="65" t="s">
        <v>2</v>
      </c>
      <c r="D85" s="65" t="s">
        <v>496</v>
      </c>
      <c r="E85" s="65" t="s">
        <v>325</v>
      </c>
      <c r="F85" s="66" t="s">
        <v>497</v>
      </c>
      <c r="G85" s="65" t="s">
        <v>5</v>
      </c>
      <c r="H85" s="65" t="s">
        <v>6</v>
      </c>
      <c r="I85" s="65" t="s">
        <v>7</v>
      </c>
      <c r="J85" s="65" t="s">
        <v>8</v>
      </c>
      <c r="K85" s="65" t="s">
        <v>9</v>
      </c>
      <c r="L85" s="65" t="s">
        <v>498</v>
      </c>
      <c r="M85" s="65" t="s">
        <v>499</v>
      </c>
      <c r="N85" s="65" t="s">
        <v>500</v>
      </c>
    </row>
    <row r="86" customFormat="false" ht="26.85" hidden="false" customHeight="true" outlineLevel="0" collapsed="false">
      <c r="A86" s="74" t="n">
        <v>46084</v>
      </c>
      <c r="B86" s="68" t="n">
        <v>176254</v>
      </c>
      <c r="C86" s="68" t="s">
        <v>909</v>
      </c>
      <c r="D86" s="68" t="s">
        <v>14</v>
      </c>
      <c r="E86" s="52"/>
      <c r="F86" s="86" t="s">
        <v>910</v>
      </c>
      <c r="G86" s="52"/>
      <c r="H86" s="55" t="s">
        <v>154</v>
      </c>
      <c r="I86" s="76" t="s">
        <v>911</v>
      </c>
      <c r="J86" s="55" t="s">
        <v>540</v>
      </c>
      <c r="K86" s="55" t="s">
        <v>164</v>
      </c>
      <c r="L86" s="77"/>
      <c r="M86" s="77" t="n">
        <f aca="false">L86*J86</f>
        <v>0</v>
      </c>
      <c r="N86" s="143" t="s">
        <v>912</v>
      </c>
    </row>
    <row r="87" customFormat="false" ht="26.85" hidden="false" customHeight="false" outlineLevel="0" collapsed="false">
      <c r="A87" s="74"/>
      <c r="B87" s="74"/>
      <c r="C87" s="74"/>
      <c r="D87" s="74"/>
      <c r="E87" s="52"/>
      <c r="F87" s="86" t="s">
        <v>913</v>
      </c>
      <c r="G87" s="52"/>
      <c r="H87" s="55" t="s">
        <v>159</v>
      </c>
      <c r="I87" s="76" t="s">
        <v>914</v>
      </c>
      <c r="J87" s="55" t="s">
        <v>295</v>
      </c>
      <c r="K87" s="55" t="s">
        <v>40</v>
      </c>
      <c r="L87" s="77"/>
      <c r="M87" s="77" t="n">
        <f aca="false">L87*J87</f>
        <v>0</v>
      </c>
      <c r="N87" s="143" t="s">
        <v>912</v>
      </c>
    </row>
    <row r="88" customFormat="false" ht="26.85" hidden="false" customHeight="false" outlineLevel="0" collapsed="false">
      <c r="A88" s="74"/>
      <c r="B88" s="74"/>
      <c r="C88" s="74"/>
      <c r="D88" s="74"/>
      <c r="E88" s="52"/>
      <c r="F88" s="86" t="s">
        <v>915</v>
      </c>
      <c r="G88" s="52"/>
      <c r="H88" s="55" t="s">
        <v>99</v>
      </c>
      <c r="I88" s="76" t="s">
        <v>916</v>
      </c>
      <c r="J88" s="55" t="s">
        <v>255</v>
      </c>
      <c r="K88" s="55" t="s">
        <v>40</v>
      </c>
      <c r="L88" s="77"/>
      <c r="M88" s="77" t="n">
        <f aca="false">L88*J88</f>
        <v>0</v>
      </c>
      <c r="N88" s="143" t="s">
        <v>912</v>
      </c>
    </row>
    <row r="89" customFormat="false" ht="26.85" hidden="false" customHeight="false" outlineLevel="0" collapsed="false">
      <c r="A89" s="74"/>
      <c r="B89" s="74"/>
      <c r="C89" s="74"/>
      <c r="D89" s="74"/>
      <c r="E89" s="52"/>
      <c r="F89" s="86" t="s">
        <v>917</v>
      </c>
      <c r="G89" s="52"/>
      <c r="H89" s="55" t="s">
        <v>224</v>
      </c>
      <c r="I89" s="76" t="s">
        <v>918</v>
      </c>
      <c r="J89" s="52" t="n">
        <v>60</v>
      </c>
      <c r="K89" s="55" t="s">
        <v>40</v>
      </c>
      <c r="L89" s="77" t="n">
        <v>1800</v>
      </c>
      <c r="M89" s="77" t="n">
        <f aca="false">L89*J89</f>
        <v>108000</v>
      </c>
      <c r="N89" s="143" t="s">
        <v>912</v>
      </c>
    </row>
    <row r="90" customFormat="false" ht="52.2" hidden="false" customHeight="false" outlineLevel="0" collapsed="false">
      <c r="A90" s="74"/>
      <c r="B90" s="74"/>
      <c r="C90" s="74"/>
      <c r="D90" s="74"/>
      <c r="E90" s="52"/>
      <c r="F90" s="86" t="s">
        <v>919</v>
      </c>
      <c r="G90" s="52"/>
      <c r="H90" s="55" t="s">
        <v>119</v>
      </c>
      <c r="I90" s="76" t="s">
        <v>920</v>
      </c>
      <c r="J90" s="52" t="n">
        <v>60</v>
      </c>
      <c r="K90" s="55" t="s">
        <v>40</v>
      </c>
      <c r="L90" s="77" t="n">
        <v>350</v>
      </c>
      <c r="M90" s="77" t="n">
        <f aca="false">L90*J90</f>
        <v>21000</v>
      </c>
      <c r="N90" s="143" t="s">
        <v>912</v>
      </c>
    </row>
    <row r="91" customFormat="false" ht="26.85" hidden="false" customHeight="false" outlineLevel="0" collapsed="false">
      <c r="A91" s="74"/>
      <c r="B91" s="74"/>
      <c r="C91" s="74"/>
      <c r="D91" s="74"/>
      <c r="E91" s="52"/>
      <c r="F91" s="86" t="s">
        <v>921</v>
      </c>
      <c r="G91" s="52"/>
      <c r="H91" s="55" t="s">
        <v>229</v>
      </c>
      <c r="I91" s="76" t="s">
        <v>922</v>
      </c>
      <c r="J91" s="55" t="s">
        <v>923</v>
      </c>
      <c r="K91" s="55" t="s">
        <v>40</v>
      </c>
      <c r="L91" s="77" t="n">
        <v>130</v>
      </c>
      <c r="M91" s="77" t="n">
        <f aca="false">L91*J91</f>
        <v>31200</v>
      </c>
      <c r="N91" s="143" t="s">
        <v>912</v>
      </c>
    </row>
    <row r="92" customFormat="false" ht="26.85" hidden="false" customHeight="false" outlineLevel="0" collapsed="false">
      <c r="A92" s="74"/>
      <c r="B92" s="74"/>
      <c r="C92" s="74"/>
      <c r="D92" s="74"/>
      <c r="E92" s="52"/>
      <c r="F92" s="86" t="s">
        <v>924</v>
      </c>
      <c r="G92" s="52"/>
      <c r="H92" s="55" t="s">
        <v>232</v>
      </c>
      <c r="I92" s="76" t="s">
        <v>925</v>
      </c>
      <c r="J92" s="55" t="s">
        <v>270</v>
      </c>
      <c r="K92" s="55" t="s">
        <v>40</v>
      </c>
      <c r="L92" s="77" t="n">
        <v>11000</v>
      </c>
      <c r="M92" s="77" t="n">
        <f aca="false">L92*J92</f>
        <v>242000</v>
      </c>
      <c r="N92" s="143" t="s">
        <v>912</v>
      </c>
    </row>
    <row r="93" customFormat="false" ht="52.2" hidden="false" customHeight="false" outlineLevel="0" collapsed="false">
      <c r="A93" s="74"/>
      <c r="B93" s="74"/>
      <c r="C93" s="74"/>
      <c r="D93" s="74"/>
      <c r="E93" s="52"/>
      <c r="F93" s="86" t="s">
        <v>926</v>
      </c>
      <c r="G93" s="52"/>
      <c r="H93" s="55" t="s">
        <v>235</v>
      </c>
      <c r="I93" s="76" t="s">
        <v>927</v>
      </c>
      <c r="J93" s="52" t="n">
        <v>12</v>
      </c>
      <c r="K93" s="55" t="s">
        <v>40</v>
      </c>
      <c r="L93" s="77" t="n">
        <v>22000</v>
      </c>
      <c r="M93" s="77" t="n">
        <f aca="false">L93*J93</f>
        <v>264000</v>
      </c>
      <c r="N93" s="143" t="s">
        <v>912</v>
      </c>
    </row>
    <row r="94" customFormat="false" ht="26.85" hidden="false" customHeight="false" outlineLevel="0" collapsed="false">
      <c r="A94" s="74"/>
      <c r="B94" s="74"/>
      <c r="C94" s="74"/>
      <c r="D94" s="74"/>
      <c r="E94" s="52"/>
      <c r="F94" s="86" t="s">
        <v>928</v>
      </c>
      <c r="G94" s="52"/>
      <c r="H94" s="55" t="s">
        <v>239</v>
      </c>
      <c r="I94" s="76" t="s">
        <v>929</v>
      </c>
      <c r="J94" s="52" t="n">
        <v>4</v>
      </c>
      <c r="K94" s="55" t="s">
        <v>40</v>
      </c>
      <c r="L94" s="77" t="n">
        <v>22000</v>
      </c>
      <c r="M94" s="77" t="n">
        <f aca="false">L94*J94</f>
        <v>88000</v>
      </c>
      <c r="N94" s="143" t="s">
        <v>912</v>
      </c>
    </row>
    <row r="95" customFormat="false" ht="77.6" hidden="false" customHeight="false" outlineLevel="0" collapsed="false">
      <c r="A95" s="74"/>
      <c r="B95" s="74"/>
      <c r="C95" s="74"/>
      <c r="D95" s="74"/>
      <c r="E95" s="52"/>
      <c r="F95" s="86" t="s">
        <v>930</v>
      </c>
      <c r="G95" s="52"/>
      <c r="H95" s="52" t="n">
        <v>10</v>
      </c>
      <c r="I95" s="50" t="s">
        <v>931</v>
      </c>
      <c r="J95" s="52" t="n">
        <v>4</v>
      </c>
      <c r="K95" s="55" t="s">
        <v>40</v>
      </c>
      <c r="L95" s="77"/>
      <c r="M95" s="77" t="n">
        <f aca="false">L95*J95</f>
        <v>0</v>
      </c>
      <c r="N95" s="143" t="s">
        <v>912</v>
      </c>
    </row>
    <row r="96" s="1" customFormat="true" ht="19.5" hidden="false" customHeight="true" outlineLevel="0" collapsed="false">
      <c r="A96" s="65" t="s">
        <v>0</v>
      </c>
      <c r="B96" s="65" t="s">
        <v>1</v>
      </c>
      <c r="C96" s="65" t="s">
        <v>2</v>
      </c>
      <c r="D96" s="65" t="s">
        <v>496</v>
      </c>
      <c r="E96" s="65" t="s">
        <v>325</v>
      </c>
      <c r="F96" s="66" t="s">
        <v>497</v>
      </c>
      <c r="G96" s="65" t="s">
        <v>5</v>
      </c>
      <c r="H96" s="65" t="s">
        <v>6</v>
      </c>
      <c r="I96" s="144" t="s">
        <v>7</v>
      </c>
      <c r="J96" s="65" t="s">
        <v>8</v>
      </c>
      <c r="K96" s="65" t="s">
        <v>9</v>
      </c>
      <c r="L96" s="65" t="s">
        <v>498</v>
      </c>
      <c r="M96" s="65" t="s">
        <v>499</v>
      </c>
      <c r="N96" s="65" t="s">
        <v>500</v>
      </c>
    </row>
    <row r="97" s="1" customFormat="true" ht="42" hidden="false" customHeight="true" outlineLevel="0" collapsed="false">
      <c r="A97" s="4" t="n">
        <v>46078</v>
      </c>
      <c r="B97" s="6" t="n">
        <v>176043</v>
      </c>
      <c r="C97" s="6" t="s">
        <v>932</v>
      </c>
      <c r="D97" s="6" t="s">
        <v>14</v>
      </c>
      <c r="E97" s="52"/>
      <c r="F97" s="49" t="s">
        <v>895</v>
      </c>
      <c r="G97" s="52"/>
      <c r="H97" s="55" t="s">
        <v>154</v>
      </c>
      <c r="I97" s="145" t="s">
        <v>896</v>
      </c>
      <c r="J97" s="52" t="n">
        <v>4</v>
      </c>
      <c r="K97" s="55" t="s">
        <v>40</v>
      </c>
      <c r="L97" s="77" t="n">
        <v>1800</v>
      </c>
      <c r="M97" s="77" t="n">
        <f aca="false">L97*J97</f>
        <v>7200</v>
      </c>
      <c r="N97" s="143" t="s">
        <v>912</v>
      </c>
    </row>
    <row r="98" s="1" customFormat="true" ht="42" hidden="false" customHeight="true" outlineLevel="0" collapsed="false">
      <c r="A98" s="4"/>
      <c r="B98" s="6"/>
      <c r="C98" s="6"/>
      <c r="D98" s="6"/>
      <c r="E98" s="6"/>
      <c r="F98" s="49" t="s">
        <v>891</v>
      </c>
      <c r="G98" s="52"/>
      <c r="H98" s="55" t="s">
        <v>159</v>
      </c>
      <c r="I98" s="145" t="s">
        <v>933</v>
      </c>
      <c r="J98" s="55" t="s">
        <v>224</v>
      </c>
      <c r="K98" s="55" t="s">
        <v>40</v>
      </c>
      <c r="L98" s="77" t="n">
        <v>2000</v>
      </c>
      <c r="M98" s="77" t="n">
        <f aca="false">L98*J98</f>
        <v>8000</v>
      </c>
      <c r="N98" s="143" t="s">
        <v>912</v>
      </c>
    </row>
    <row r="99" s="1" customFormat="true" ht="42" hidden="false" customHeight="true" outlineLevel="0" collapsed="false">
      <c r="A99" s="4"/>
      <c r="B99" s="6"/>
      <c r="C99" s="6"/>
      <c r="D99" s="6"/>
      <c r="E99" s="6"/>
      <c r="F99" s="49" t="s">
        <v>346</v>
      </c>
      <c r="G99" s="52"/>
      <c r="H99" s="55" t="s">
        <v>99</v>
      </c>
      <c r="I99" s="145" t="s">
        <v>347</v>
      </c>
      <c r="J99" s="55" t="s">
        <v>224</v>
      </c>
      <c r="K99" s="55" t="s">
        <v>40</v>
      </c>
      <c r="L99" s="77" t="n">
        <v>3000</v>
      </c>
      <c r="M99" s="77" t="n">
        <f aca="false">L99*J99</f>
        <v>12000</v>
      </c>
      <c r="N99" s="143" t="s">
        <v>912</v>
      </c>
    </row>
    <row r="100" s="1" customFormat="true" ht="27.75" hidden="false" customHeight="true" outlineLevel="0" collapsed="false">
      <c r="A100" s="4"/>
      <c r="B100" s="6"/>
      <c r="C100" s="6"/>
      <c r="D100" s="6"/>
      <c r="E100" s="6"/>
      <c r="F100" s="49" t="s">
        <v>872</v>
      </c>
      <c r="G100" s="52"/>
      <c r="H100" s="55" t="s">
        <v>224</v>
      </c>
      <c r="I100" s="145" t="s">
        <v>873</v>
      </c>
      <c r="J100" s="55" t="s">
        <v>224</v>
      </c>
      <c r="K100" s="55" t="s">
        <v>40</v>
      </c>
      <c r="L100" s="77" t="n">
        <v>1800</v>
      </c>
      <c r="M100" s="77" t="n">
        <f aca="false">L100*J100</f>
        <v>7200</v>
      </c>
      <c r="N100" s="143" t="s">
        <v>912</v>
      </c>
    </row>
    <row r="101" s="1" customFormat="true" ht="27.75" hidden="false" customHeight="true" outlineLevel="0" collapsed="false">
      <c r="A101" s="4"/>
      <c r="B101" s="6"/>
      <c r="C101" s="6"/>
      <c r="D101" s="6"/>
      <c r="E101" s="6"/>
      <c r="F101" s="49" t="s">
        <v>934</v>
      </c>
      <c r="G101" s="52"/>
      <c r="H101" s="55" t="s">
        <v>119</v>
      </c>
      <c r="I101" s="145" t="s">
        <v>935</v>
      </c>
      <c r="J101" s="55" t="s">
        <v>224</v>
      </c>
      <c r="K101" s="55" t="s">
        <v>40</v>
      </c>
      <c r="L101" s="77" t="n">
        <v>2000</v>
      </c>
      <c r="M101" s="77" t="n">
        <f aca="false">L101*J101</f>
        <v>8000</v>
      </c>
      <c r="N101" s="143" t="s">
        <v>912</v>
      </c>
    </row>
    <row r="102" s="1" customFormat="true" ht="27.75" hidden="false" customHeight="true" outlineLevel="0" collapsed="false">
      <c r="A102" s="4"/>
      <c r="B102" s="6"/>
      <c r="C102" s="6"/>
      <c r="D102" s="6"/>
      <c r="E102" s="6"/>
      <c r="F102" s="49" t="s">
        <v>936</v>
      </c>
      <c r="G102" s="52"/>
      <c r="H102" s="55" t="s">
        <v>229</v>
      </c>
      <c r="I102" s="145" t="s">
        <v>937</v>
      </c>
      <c r="J102" s="55" t="s">
        <v>224</v>
      </c>
      <c r="K102" s="55" t="s">
        <v>40</v>
      </c>
      <c r="L102" s="77" t="n">
        <v>250</v>
      </c>
      <c r="M102" s="77" t="n">
        <f aca="false">L102*J102</f>
        <v>1000</v>
      </c>
      <c r="N102" s="143" t="s">
        <v>912</v>
      </c>
    </row>
    <row r="103" s="1" customFormat="true" ht="27.75" hidden="false" customHeight="true" outlineLevel="0" collapsed="false">
      <c r="A103" s="4"/>
      <c r="B103" s="6"/>
      <c r="C103" s="6"/>
      <c r="D103" s="6"/>
      <c r="E103" s="6"/>
      <c r="F103" s="49" t="s">
        <v>874</v>
      </c>
      <c r="G103" s="52"/>
      <c r="H103" s="55" t="s">
        <v>232</v>
      </c>
      <c r="I103" s="145" t="s">
        <v>938</v>
      </c>
      <c r="J103" s="55" t="s">
        <v>224</v>
      </c>
      <c r="K103" s="55" t="s">
        <v>40</v>
      </c>
      <c r="L103" s="77" t="n">
        <v>1200</v>
      </c>
      <c r="M103" s="77" t="n">
        <f aca="false">L103*J103</f>
        <v>4800</v>
      </c>
      <c r="N103" s="143" t="s">
        <v>912</v>
      </c>
    </row>
    <row r="104" s="1" customFormat="true" ht="27.75" hidden="false" customHeight="true" outlineLevel="0" collapsed="false">
      <c r="A104" s="4"/>
      <c r="B104" s="6"/>
      <c r="C104" s="6"/>
      <c r="D104" s="6"/>
      <c r="E104" s="6"/>
      <c r="F104" s="49" t="s">
        <v>876</v>
      </c>
      <c r="G104" s="52"/>
      <c r="H104" s="55" t="s">
        <v>235</v>
      </c>
      <c r="I104" s="145" t="s">
        <v>877</v>
      </c>
      <c r="J104" s="55" t="s">
        <v>224</v>
      </c>
      <c r="K104" s="55" t="s">
        <v>40</v>
      </c>
      <c r="L104" s="77" t="n">
        <v>1400</v>
      </c>
      <c r="M104" s="77" t="n">
        <f aca="false">L104*J104</f>
        <v>5600</v>
      </c>
      <c r="N104" s="143" t="s">
        <v>912</v>
      </c>
    </row>
    <row r="105" s="1" customFormat="true" ht="69.75" hidden="false" customHeight="true" outlineLevel="0" collapsed="false">
      <c r="A105" s="4"/>
      <c r="B105" s="6"/>
      <c r="C105" s="6"/>
      <c r="D105" s="6"/>
      <c r="E105" s="52"/>
      <c r="F105" s="49" t="s">
        <v>897</v>
      </c>
      <c r="G105" s="52"/>
      <c r="H105" s="55" t="s">
        <v>239</v>
      </c>
      <c r="I105" s="145" t="s">
        <v>939</v>
      </c>
      <c r="J105" s="52" t="n">
        <v>4</v>
      </c>
      <c r="K105" s="55" t="s">
        <v>40</v>
      </c>
      <c r="L105" s="77" t="n">
        <v>350</v>
      </c>
      <c r="M105" s="77" t="n">
        <f aca="false">L105*J105</f>
        <v>1400</v>
      </c>
      <c r="N105" s="143" t="s">
        <v>912</v>
      </c>
    </row>
    <row r="106" s="1" customFormat="true" ht="69.75" hidden="false" customHeight="true" outlineLevel="0" collapsed="false">
      <c r="A106" s="4"/>
      <c r="B106" s="6"/>
      <c r="C106" s="6"/>
      <c r="D106" s="6"/>
      <c r="E106" s="6"/>
      <c r="F106" s="49" t="s">
        <v>354</v>
      </c>
      <c r="G106" s="52"/>
      <c r="H106" s="55" t="s">
        <v>141</v>
      </c>
      <c r="I106" s="145" t="s">
        <v>355</v>
      </c>
      <c r="J106" s="55" t="s">
        <v>224</v>
      </c>
      <c r="K106" s="55" t="s">
        <v>40</v>
      </c>
      <c r="L106" s="77" t="n">
        <v>800</v>
      </c>
      <c r="M106" s="77" t="n">
        <f aca="false">L106*J106</f>
        <v>3200</v>
      </c>
      <c r="N106" s="143" t="s">
        <v>912</v>
      </c>
    </row>
    <row r="107" s="1" customFormat="true" ht="69.75" hidden="false" customHeight="true" outlineLevel="0" collapsed="false">
      <c r="A107" s="4"/>
      <c r="B107" s="6"/>
      <c r="C107" s="6"/>
      <c r="D107" s="6"/>
      <c r="E107" s="6"/>
      <c r="F107" s="49" t="s">
        <v>348</v>
      </c>
      <c r="G107" s="52"/>
      <c r="H107" s="55" t="s">
        <v>244</v>
      </c>
      <c r="I107" s="145" t="s">
        <v>349</v>
      </c>
      <c r="J107" s="55" t="s">
        <v>224</v>
      </c>
      <c r="K107" s="55" t="s">
        <v>40</v>
      </c>
      <c r="L107" s="77" t="n">
        <v>800</v>
      </c>
      <c r="M107" s="77" t="n">
        <f aca="false">L107*J107</f>
        <v>3200</v>
      </c>
      <c r="N107" s="143" t="s">
        <v>912</v>
      </c>
    </row>
    <row r="108" s="1" customFormat="true" ht="42" hidden="false" customHeight="true" outlineLevel="0" collapsed="false">
      <c r="A108" s="4"/>
      <c r="B108" s="6"/>
      <c r="C108" s="6"/>
      <c r="D108" s="6"/>
      <c r="E108" s="6"/>
      <c r="F108" s="49" t="s">
        <v>940</v>
      </c>
      <c r="G108" s="52"/>
      <c r="H108" s="55" t="s">
        <v>246</v>
      </c>
      <c r="I108" s="145" t="s">
        <v>941</v>
      </c>
      <c r="J108" s="55" t="s">
        <v>942</v>
      </c>
      <c r="K108" s="55" t="s">
        <v>40</v>
      </c>
      <c r="L108" s="77" t="n">
        <v>130</v>
      </c>
      <c r="M108" s="77" t="n">
        <f aca="false">L108*J108</f>
        <v>8320</v>
      </c>
      <c r="N108" s="143" t="s">
        <v>912</v>
      </c>
    </row>
    <row r="109" s="1" customFormat="true" ht="42" hidden="false" customHeight="true" outlineLevel="0" collapsed="false">
      <c r="A109" s="4"/>
      <c r="B109" s="6"/>
      <c r="C109" s="6"/>
      <c r="D109" s="6"/>
      <c r="E109" s="52"/>
      <c r="F109" s="49" t="s">
        <v>903</v>
      </c>
      <c r="G109" s="52"/>
      <c r="H109" s="55" t="s">
        <v>248</v>
      </c>
      <c r="I109" s="145" t="s">
        <v>904</v>
      </c>
      <c r="J109" s="52" t="n">
        <v>48</v>
      </c>
      <c r="K109" s="55" t="s">
        <v>40</v>
      </c>
      <c r="L109" s="77" t="n">
        <v>100</v>
      </c>
      <c r="M109" s="77" t="n">
        <f aca="false">L109*J109</f>
        <v>4800</v>
      </c>
      <c r="N109" s="143" t="s">
        <v>912</v>
      </c>
    </row>
    <row r="110" s="1" customFormat="true" ht="42" hidden="false" customHeight="true" outlineLevel="0" collapsed="false">
      <c r="A110" s="4"/>
      <c r="B110" s="6"/>
      <c r="C110" s="6"/>
      <c r="D110" s="6"/>
      <c r="E110" s="6"/>
      <c r="F110" s="49" t="s">
        <v>893</v>
      </c>
      <c r="G110" s="52"/>
      <c r="H110" s="55" t="s">
        <v>181</v>
      </c>
      <c r="I110" s="145" t="s">
        <v>894</v>
      </c>
      <c r="J110" s="55" t="s">
        <v>215</v>
      </c>
      <c r="K110" s="55" t="s">
        <v>40</v>
      </c>
      <c r="L110" s="77" t="n">
        <v>100</v>
      </c>
      <c r="M110" s="77" t="n">
        <f aca="false">L110*J110</f>
        <v>4800</v>
      </c>
      <c r="N110" s="143" t="s">
        <v>912</v>
      </c>
    </row>
    <row r="111" s="1" customFormat="true" ht="42" hidden="false" customHeight="true" outlineLevel="0" collapsed="false">
      <c r="A111" s="4"/>
      <c r="B111" s="6"/>
      <c r="C111" s="6"/>
      <c r="D111" s="6"/>
      <c r="E111" s="6"/>
      <c r="F111" s="49" t="s">
        <v>943</v>
      </c>
      <c r="G111" s="52"/>
      <c r="H111" s="55" t="s">
        <v>183</v>
      </c>
      <c r="I111" s="145" t="s">
        <v>944</v>
      </c>
      <c r="J111" s="55" t="s">
        <v>154</v>
      </c>
      <c r="K111" s="55" t="s">
        <v>40</v>
      </c>
      <c r="L111" s="77" t="n">
        <v>4500</v>
      </c>
      <c r="M111" s="77" t="n">
        <f aca="false">L111*J111</f>
        <v>4500</v>
      </c>
      <c r="N111" s="143" t="s">
        <v>912</v>
      </c>
    </row>
    <row r="112" s="1" customFormat="true" ht="42" hidden="false" customHeight="true" outlineLevel="0" collapsed="false">
      <c r="A112" s="4"/>
      <c r="B112" s="6"/>
      <c r="C112" s="6"/>
      <c r="D112" s="6"/>
      <c r="E112" s="6"/>
      <c r="F112" s="49" t="s">
        <v>342</v>
      </c>
      <c r="G112" s="52"/>
      <c r="H112" s="55" t="s">
        <v>255</v>
      </c>
      <c r="I112" s="145" t="s">
        <v>945</v>
      </c>
      <c r="J112" s="55" t="s">
        <v>159</v>
      </c>
      <c r="K112" s="55" t="s">
        <v>40</v>
      </c>
      <c r="L112" s="77" t="n">
        <v>11000</v>
      </c>
      <c r="M112" s="77" t="n">
        <f aca="false">L112*J112</f>
        <v>22000</v>
      </c>
      <c r="N112" s="143" t="s">
        <v>912</v>
      </c>
    </row>
    <row r="113" s="1" customFormat="true" ht="27.75" hidden="false" customHeight="true" outlineLevel="0" collapsed="false">
      <c r="A113" s="4"/>
      <c r="B113" s="6"/>
      <c r="C113" s="6"/>
      <c r="D113" s="6"/>
      <c r="E113" s="6"/>
      <c r="F113" s="49" t="s">
        <v>946</v>
      </c>
      <c r="G113" s="52"/>
      <c r="H113" s="55" t="s">
        <v>258</v>
      </c>
      <c r="I113" s="145" t="s">
        <v>947</v>
      </c>
      <c r="J113" s="55" t="s">
        <v>224</v>
      </c>
      <c r="K113" s="55" t="s">
        <v>40</v>
      </c>
      <c r="L113" s="77" t="n">
        <v>600</v>
      </c>
      <c r="M113" s="77" t="n">
        <f aca="false">L113*J113</f>
        <v>2400</v>
      </c>
      <c r="N113" s="143" t="s">
        <v>912</v>
      </c>
    </row>
    <row r="114" s="1" customFormat="true" ht="42" hidden="false" customHeight="true" outlineLevel="0" collapsed="false">
      <c r="A114" s="4"/>
      <c r="B114" s="6"/>
      <c r="C114" s="6"/>
      <c r="D114" s="6"/>
      <c r="E114" s="6"/>
      <c r="F114" s="49" t="s">
        <v>948</v>
      </c>
      <c r="G114" s="52"/>
      <c r="H114" s="55" t="s">
        <v>261</v>
      </c>
      <c r="I114" s="145" t="s">
        <v>949</v>
      </c>
      <c r="J114" s="55" t="s">
        <v>159</v>
      </c>
      <c r="K114" s="55" t="s">
        <v>40</v>
      </c>
      <c r="L114" s="77" t="n">
        <v>3000</v>
      </c>
      <c r="M114" s="77" t="n">
        <f aca="false">L114*J114</f>
        <v>6000</v>
      </c>
      <c r="N114" s="143" t="s">
        <v>912</v>
      </c>
    </row>
    <row r="115" s="1" customFormat="true" ht="42" hidden="false" customHeight="true" outlineLevel="0" collapsed="false">
      <c r="A115" s="4"/>
      <c r="B115" s="6"/>
      <c r="C115" s="6"/>
      <c r="D115" s="6"/>
      <c r="E115" s="6"/>
      <c r="F115" s="49" t="s">
        <v>950</v>
      </c>
      <c r="G115" s="52"/>
      <c r="H115" s="55" t="s">
        <v>264</v>
      </c>
      <c r="I115" s="145" t="s">
        <v>951</v>
      </c>
      <c r="J115" s="55" t="s">
        <v>159</v>
      </c>
      <c r="K115" s="55" t="s">
        <v>40</v>
      </c>
      <c r="L115" s="77" t="n">
        <v>4500</v>
      </c>
      <c r="M115" s="77" t="n">
        <f aca="false">L115*J115</f>
        <v>9000</v>
      </c>
      <c r="N115" s="143" t="s">
        <v>912</v>
      </c>
    </row>
    <row r="116" s="1" customFormat="true" ht="27.75" hidden="false" customHeight="true" outlineLevel="0" collapsed="false">
      <c r="A116" s="4"/>
      <c r="B116" s="6"/>
      <c r="C116" s="6"/>
      <c r="D116" s="6"/>
      <c r="E116" s="6"/>
      <c r="F116" s="49" t="s">
        <v>744</v>
      </c>
      <c r="G116" s="52"/>
      <c r="H116" s="55" t="s">
        <v>109</v>
      </c>
      <c r="I116" s="145" t="s">
        <v>745</v>
      </c>
      <c r="J116" s="55" t="s">
        <v>229</v>
      </c>
      <c r="K116" s="55" t="s">
        <v>164</v>
      </c>
      <c r="L116" s="77" t="n">
        <v>588.23</v>
      </c>
      <c r="M116" s="77" t="n">
        <f aca="false">L116*J116</f>
        <v>3529.38</v>
      </c>
      <c r="N116" s="143" t="s">
        <v>912</v>
      </c>
    </row>
    <row r="117" s="1" customFormat="true" ht="27.75" hidden="false" customHeight="true" outlineLevel="0" collapsed="false">
      <c r="A117" s="4"/>
      <c r="B117" s="6"/>
      <c r="C117" s="6"/>
      <c r="D117" s="6"/>
      <c r="E117" s="6"/>
      <c r="F117" s="49" t="s">
        <v>952</v>
      </c>
      <c r="G117" s="52"/>
      <c r="H117" s="55" t="s">
        <v>268</v>
      </c>
      <c r="I117" s="145" t="s">
        <v>953</v>
      </c>
      <c r="J117" s="55" t="s">
        <v>307</v>
      </c>
      <c r="K117" s="55" t="s">
        <v>164</v>
      </c>
      <c r="L117" s="77" t="n">
        <v>2500</v>
      </c>
      <c r="M117" s="77" t="n">
        <f aca="false">L117*J117</f>
        <v>90000</v>
      </c>
      <c r="N117" s="143" t="s">
        <v>912</v>
      </c>
    </row>
    <row r="118" s="1" customFormat="true" ht="27.75" hidden="false" customHeight="true" outlineLevel="0" collapsed="false">
      <c r="A118" s="4"/>
      <c r="B118" s="6"/>
      <c r="C118" s="6"/>
      <c r="D118" s="6"/>
      <c r="E118" s="6"/>
      <c r="F118" s="49" t="s">
        <v>328</v>
      </c>
      <c r="G118" s="52"/>
      <c r="H118" s="55" t="s">
        <v>270</v>
      </c>
      <c r="I118" s="145" t="s">
        <v>329</v>
      </c>
      <c r="J118" s="55" t="s">
        <v>307</v>
      </c>
      <c r="K118" s="55" t="s">
        <v>164</v>
      </c>
      <c r="L118" s="77" t="n">
        <v>3000</v>
      </c>
      <c r="M118" s="77" t="n">
        <f aca="false">L118*J118</f>
        <v>108000</v>
      </c>
      <c r="N118" s="143" t="s">
        <v>912</v>
      </c>
    </row>
    <row r="119" s="1" customFormat="true" ht="27.75" hidden="false" customHeight="true" outlineLevel="0" collapsed="false">
      <c r="A119" s="4"/>
      <c r="B119" s="6"/>
      <c r="C119" s="6"/>
      <c r="D119" s="6"/>
      <c r="E119" s="6"/>
      <c r="F119" s="49" t="s">
        <v>954</v>
      </c>
      <c r="G119" s="52"/>
      <c r="H119" s="55" t="s">
        <v>274</v>
      </c>
      <c r="I119" s="145" t="s">
        <v>955</v>
      </c>
      <c r="J119" s="55" t="s">
        <v>229</v>
      </c>
      <c r="K119" s="55" t="s">
        <v>164</v>
      </c>
      <c r="L119" s="77" t="n">
        <v>5000</v>
      </c>
      <c r="M119" s="77" t="n">
        <f aca="false">L119*J119</f>
        <v>30000</v>
      </c>
      <c r="N119" s="143" t="s">
        <v>912</v>
      </c>
    </row>
    <row r="120" s="1" customFormat="true" ht="69.75" hidden="false" customHeight="true" outlineLevel="0" collapsed="false">
      <c r="A120" s="4"/>
      <c r="B120" s="6"/>
      <c r="C120" s="6"/>
      <c r="D120" s="6"/>
      <c r="E120" s="52"/>
      <c r="F120" s="49" t="s">
        <v>905</v>
      </c>
      <c r="G120" s="52"/>
      <c r="H120" s="55" t="s">
        <v>277</v>
      </c>
      <c r="I120" s="145" t="s">
        <v>906</v>
      </c>
      <c r="J120" s="52" t="n">
        <v>2</v>
      </c>
      <c r="K120" s="55" t="s">
        <v>40</v>
      </c>
      <c r="L120" s="77" t="n">
        <v>22000</v>
      </c>
      <c r="M120" s="77" t="n">
        <f aca="false">L120*J120</f>
        <v>44000</v>
      </c>
      <c r="N120" s="143" t="s">
        <v>912</v>
      </c>
    </row>
    <row r="121" s="1" customFormat="true" ht="69.75" hidden="false" customHeight="true" outlineLevel="0" collapsed="false">
      <c r="A121" s="4"/>
      <c r="B121" s="6"/>
      <c r="C121" s="6"/>
      <c r="D121" s="6"/>
      <c r="E121" s="6"/>
      <c r="F121" s="49" t="s">
        <v>907</v>
      </c>
      <c r="G121" s="52"/>
      <c r="H121" s="55" t="s">
        <v>280</v>
      </c>
      <c r="I121" s="145" t="s">
        <v>908</v>
      </c>
      <c r="J121" s="55" t="s">
        <v>159</v>
      </c>
      <c r="K121" s="55" t="s">
        <v>40</v>
      </c>
      <c r="L121" s="77" t="n">
        <v>29000</v>
      </c>
      <c r="M121" s="77" t="n">
        <f aca="false">L121*J121</f>
        <v>58000</v>
      </c>
      <c r="N121" s="143" t="s">
        <v>912</v>
      </c>
    </row>
    <row r="122" s="1" customFormat="true" ht="69.75" hidden="false" customHeight="true" outlineLevel="0" collapsed="false">
      <c r="A122" s="4"/>
      <c r="B122" s="6"/>
      <c r="C122" s="6"/>
      <c r="D122" s="6"/>
      <c r="E122" s="6"/>
      <c r="F122" s="49" t="s">
        <v>956</v>
      </c>
      <c r="G122" s="52"/>
      <c r="H122" s="55" t="s">
        <v>283</v>
      </c>
      <c r="I122" s="145" t="s">
        <v>957</v>
      </c>
      <c r="J122" s="55" t="s">
        <v>159</v>
      </c>
      <c r="K122" s="55" t="s">
        <v>40</v>
      </c>
      <c r="L122" s="77" t="n">
        <v>55000</v>
      </c>
      <c r="M122" s="77" t="n">
        <f aca="false">L122*J122</f>
        <v>110000</v>
      </c>
      <c r="N122" s="143" t="s">
        <v>912</v>
      </c>
    </row>
    <row r="123" s="1" customFormat="true" ht="153.75" hidden="false" customHeight="true" outlineLevel="0" collapsed="false">
      <c r="A123" s="4"/>
      <c r="B123" s="6"/>
      <c r="C123" s="6"/>
      <c r="D123" s="6"/>
      <c r="E123" s="6"/>
      <c r="F123" s="49" t="s">
        <v>958</v>
      </c>
      <c r="G123" s="52"/>
      <c r="H123" s="55" t="s">
        <v>286</v>
      </c>
      <c r="I123" s="145" t="s">
        <v>959</v>
      </c>
      <c r="J123" s="55" t="s">
        <v>159</v>
      </c>
      <c r="K123" s="55" t="s">
        <v>40</v>
      </c>
      <c r="L123" s="77" t="n">
        <v>400000</v>
      </c>
      <c r="M123" s="77" t="n">
        <f aca="false">L123*J123</f>
        <v>800000</v>
      </c>
      <c r="N123" s="143" t="s">
        <v>912</v>
      </c>
    </row>
    <row r="124" s="1" customFormat="true" ht="97.5" hidden="false" customHeight="true" outlineLevel="0" collapsed="false">
      <c r="A124" s="4"/>
      <c r="B124" s="6"/>
      <c r="C124" s="6"/>
      <c r="D124" s="6"/>
      <c r="E124" s="6"/>
      <c r="F124" s="49" t="s">
        <v>960</v>
      </c>
      <c r="G124" s="52"/>
      <c r="H124" s="55" t="s">
        <v>289</v>
      </c>
      <c r="I124" s="145" t="s">
        <v>961</v>
      </c>
      <c r="J124" s="55" t="s">
        <v>159</v>
      </c>
      <c r="K124" s="55" t="s">
        <v>40</v>
      </c>
      <c r="L124" s="77" t="n">
        <v>65000</v>
      </c>
      <c r="M124" s="77" t="n">
        <f aca="false">L124*J124</f>
        <v>130000</v>
      </c>
      <c r="N124" s="143" t="s">
        <v>912</v>
      </c>
      <c r="O124" s="25" t="n">
        <f aca="false">SUM(M97:M124)</f>
        <v>1496949.38</v>
      </c>
    </row>
    <row r="125" s="1" customFormat="true" ht="19.5" hidden="false" customHeight="true" outlineLevel="0" collapsed="false">
      <c r="A125" s="65" t="s">
        <v>0</v>
      </c>
      <c r="B125" s="65" t="s">
        <v>1</v>
      </c>
      <c r="C125" s="65" t="s">
        <v>2</v>
      </c>
      <c r="D125" s="65" t="s">
        <v>496</v>
      </c>
      <c r="E125" s="65" t="s">
        <v>325</v>
      </c>
      <c r="F125" s="66" t="s">
        <v>497</v>
      </c>
      <c r="G125" s="65" t="s">
        <v>5</v>
      </c>
      <c r="H125" s="65" t="s">
        <v>6</v>
      </c>
      <c r="I125" s="144" t="s">
        <v>7</v>
      </c>
      <c r="J125" s="65" t="s">
        <v>8</v>
      </c>
      <c r="K125" s="65" t="s">
        <v>9</v>
      </c>
      <c r="L125" s="65" t="s">
        <v>498</v>
      </c>
      <c r="M125" s="65" t="s">
        <v>499</v>
      </c>
      <c r="N125" s="65" t="s">
        <v>500</v>
      </c>
    </row>
    <row r="126" s="1" customFormat="true" ht="42" hidden="false" customHeight="true" outlineLevel="0" collapsed="false">
      <c r="A126" s="4" t="n">
        <v>46078</v>
      </c>
      <c r="B126" s="6" t="n">
        <v>176062</v>
      </c>
      <c r="C126" s="6" t="s">
        <v>962</v>
      </c>
      <c r="D126" s="6" t="s">
        <v>14</v>
      </c>
      <c r="E126" s="52"/>
      <c r="F126" s="49" t="s">
        <v>895</v>
      </c>
      <c r="G126" s="52"/>
      <c r="H126" s="55" t="s">
        <v>154</v>
      </c>
      <c r="I126" s="145" t="s">
        <v>896</v>
      </c>
      <c r="J126" s="52" t="n">
        <v>4</v>
      </c>
      <c r="K126" s="55" t="s">
        <v>40</v>
      </c>
      <c r="L126" s="77" t="n">
        <v>1800</v>
      </c>
      <c r="M126" s="77" t="n">
        <f aca="false">L126*J126</f>
        <v>7200</v>
      </c>
      <c r="N126" s="143" t="s">
        <v>912</v>
      </c>
    </row>
    <row r="127" s="1" customFormat="true" ht="42" hidden="false" customHeight="true" outlineLevel="0" collapsed="false">
      <c r="A127" s="4"/>
      <c r="B127" s="6"/>
      <c r="C127" s="6"/>
      <c r="D127" s="6"/>
      <c r="E127" s="6"/>
      <c r="F127" s="49" t="s">
        <v>891</v>
      </c>
      <c r="G127" s="52"/>
      <c r="H127" s="55" t="s">
        <v>159</v>
      </c>
      <c r="I127" s="145" t="s">
        <v>933</v>
      </c>
      <c r="J127" s="55" t="s">
        <v>224</v>
      </c>
      <c r="K127" s="55" t="s">
        <v>40</v>
      </c>
      <c r="L127" s="77" t="n">
        <v>2000</v>
      </c>
      <c r="M127" s="77" t="n">
        <f aca="false">L127*J127</f>
        <v>8000</v>
      </c>
      <c r="N127" s="143" t="s">
        <v>912</v>
      </c>
    </row>
    <row r="128" s="1" customFormat="true" ht="42" hidden="false" customHeight="true" outlineLevel="0" collapsed="false">
      <c r="A128" s="4"/>
      <c r="B128" s="6"/>
      <c r="C128" s="6"/>
      <c r="D128" s="6"/>
      <c r="E128" s="6"/>
      <c r="F128" s="49" t="s">
        <v>346</v>
      </c>
      <c r="G128" s="52"/>
      <c r="H128" s="55" t="s">
        <v>99</v>
      </c>
      <c r="I128" s="145" t="s">
        <v>347</v>
      </c>
      <c r="J128" s="55" t="s">
        <v>224</v>
      </c>
      <c r="K128" s="55" t="s">
        <v>40</v>
      </c>
      <c r="L128" s="77" t="n">
        <v>3000</v>
      </c>
      <c r="M128" s="77" t="n">
        <f aca="false">L128*J128</f>
        <v>12000</v>
      </c>
      <c r="N128" s="143" t="s">
        <v>912</v>
      </c>
    </row>
    <row r="129" s="1" customFormat="true" ht="27.75" hidden="false" customHeight="true" outlineLevel="0" collapsed="false">
      <c r="A129" s="4"/>
      <c r="B129" s="6"/>
      <c r="C129" s="6"/>
      <c r="D129" s="6"/>
      <c r="E129" s="6"/>
      <c r="F129" s="49" t="s">
        <v>872</v>
      </c>
      <c r="G129" s="52"/>
      <c r="H129" s="55" t="s">
        <v>224</v>
      </c>
      <c r="I129" s="145" t="s">
        <v>873</v>
      </c>
      <c r="J129" s="55" t="s">
        <v>224</v>
      </c>
      <c r="K129" s="55" t="s">
        <v>40</v>
      </c>
      <c r="L129" s="77" t="n">
        <v>1800</v>
      </c>
      <c r="M129" s="77" t="n">
        <f aca="false">L129*J129</f>
        <v>7200</v>
      </c>
      <c r="N129" s="143" t="s">
        <v>912</v>
      </c>
    </row>
    <row r="130" s="1" customFormat="true" ht="27.75" hidden="false" customHeight="true" outlineLevel="0" collapsed="false">
      <c r="A130" s="4"/>
      <c r="B130" s="6"/>
      <c r="C130" s="6"/>
      <c r="D130" s="6"/>
      <c r="E130" s="6"/>
      <c r="F130" s="49" t="s">
        <v>934</v>
      </c>
      <c r="G130" s="52"/>
      <c r="H130" s="55" t="s">
        <v>119</v>
      </c>
      <c r="I130" s="145" t="s">
        <v>935</v>
      </c>
      <c r="J130" s="55" t="s">
        <v>224</v>
      </c>
      <c r="K130" s="55" t="s">
        <v>40</v>
      </c>
      <c r="L130" s="77" t="n">
        <v>2000</v>
      </c>
      <c r="M130" s="77" t="n">
        <f aca="false">L130*J130</f>
        <v>8000</v>
      </c>
      <c r="N130" s="143" t="s">
        <v>912</v>
      </c>
    </row>
    <row r="131" s="1" customFormat="true" ht="27.75" hidden="false" customHeight="true" outlineLevel="0" collapsed="false">
      <c r="A131" s="4"/>
      <c r="B131" s="6"/>
      <c r="C131" s="6"/>
      <c r="D131" s="6"/>
      <c r="E131" s="6"/>
      <c r="F131" s="49" t="s">
        <v>936</v>
      </c>
      <c r="G131" s="52"/>
      <c r="H131" s="55" t="s">
        <v>229</v>
      </c>
      <c r="I131" s="145" t="s">
        <v>937</v>
      </c>
      <c r="J131" s="55" t="s">
        <v>224</v>
      </c>
      <c r="K131" s="55" t="s">
        <v>40</v>
      </c>
      <c r="L131" s="77" t="n">
        <v>250</v>
      </c>
      <c r="M131" s="77" t="n">
        <f aca="false">L131*J131</f>
        <v>1000</v>
      </c>
      <c r="N131" s="143" t="s">
        <v>912</v>
      </c>
    </row>
    <row r="132" s="1" customFormat="true" ht="27.75" hidden="false" customHeight="true" outlineLevel="0" collapsed="false">
      <c r="A132" s="4"/>
      <c r="B132" s="6"/>
      <c r="C132" s="6"/>
      <c r="D132" s="6"/>
      <c r="E132" s="6"/>
      <c r="F132" s="49" t="s">
        <v>874</v>
      </c>
      <c r="G132" s="52"/>
      <c r="H132" s="55" t="s">
        <v>232</v>
      </c>
      <c r="I132" s="145" t="s">
        <v>938</v>
      </c>
      <c r="J132" s="55" t="s">
        <v>224</v>
      </c>
      <c r="K132" s="55" t="s">
        <v>40</v>
      </c>
      <c r="L132" s="77" t="n">
        <v>1200</v>
      </c>
      <c r="M132" s="77" t="n">
        <f aca="false">L132*J132</f>
        <v>4800</v>
      </c>
      <c r="N132" s="143" t="s">
        <v>912</v>
      </c>
    </row>
    <row r="133" s="1" customFormat="true" ht="27.75" hidden="false" customHeight="true" outlineLevel="0" collapsed="false">
      <c r="A133" s="4"/>
      <c r="B133" s="6"/>
      <c r="C133" s="6"/>
      <c r="D133" s="6"/>
      <c r="E133" s="6"/>
      <c r="F133" s="49" t="s">
        <v>876</v>
      </c>
      <c r="G133" s="52"/>
      <c r="H133" s="55" t="s">
        <v>235</v>
      </c>
      <c r="I133" s="145" t="s">
        <v>877</v>
      </c>
      <c r="J133" s="55" t="s">
        <v>224</v>
      </c>
      <c r="K133" s="55" t="s">
        <v>40</v>
      </c>
      <c r="L133" s="77" t="n">
        <v>1400</v>
      </c>
      <c r="M133" s="77" t="n">
        <f aca="false">L133*J133</f>
        <v>5600</v>
      </c>
      <c r="N133" s="143" t="s">
        <v>912</v>
      </c>
    </row>
    <row r="134" s="1" customFormat="true" ht="69.75" hidden="false" customHeight="true" outlineLevel="0" collapsed="false">
      <c r="A134" s="4"/>
      <c r="B134" s="6"/>
      <c r="C134" s="6"/>
      <c r="D134" s="6"/>
      <c r="E134" s="52"/>
      <c r="F134" s="49" t="s">
        <v>897</v>
      </c>
      <c r="G134" s="52"/>
      <c r="H134" s="55" t="s">
        <v>239</v>
      </c>
      <c r="I134" s="145" t="s">
        <v>939</v>
      </c>
      <c r="J134" s="52" t="n">
        <v>4</v>
      </c>
      <c r="K134" s="55" t="s">
        <v>40</v>
      </c>
      <c r="L134" s="77" t="n">
        <v>350</v>
      </c>
      <c r="M134" s="77" t="n">
        <f aca="false">L134*J134</f>
        <v>1400</v>
      </c>
      <c r="N134" s="143" t="s">
        <v>912</v>
      </c>
    </row>
    <row r="135" s="1" customFormat="true" ht="69.75" hidden="false" customHeight="true" outlineLevel="0" collapsed="false">
      <c r="A135" s="4"/>
      <c r="B135" s="6"/>
      <c r="C135" s="6"/>
      <c r="D135" s="6"/>
      <c r="E135" s="6"/>
      <c r="F135" s="49" t="s">
        <v>354</v>
      </c>
      <c r="G135" s="52"/>
      <c r="H135" s="55" t="s">
        <v>141</v>
      </c>
      <c r="I135" s="145" t="s">
        <v>355</v>
      </c>
      <c r="J135" s="55" t="s">
        <v>224</v>
      </c>
      <c r="K135" s="55" t="s">
        <v>40</v>
      </c>
      <c r="L135" s="77" t="n">
        <v>800</v>
      </c>
      <c r="M135" s="77" t="n">
        <f aca="false">L135*J135</f>
        <v>3200</v>
      </c>
      <c r="N135" s="143" t="s">
        <v>912</v>
      </c>
    </row>
    <row r="136" s="1" customFormat="true" ht="69.75" hidden="false" customHeight="true" outlineLevel="0" collapsed="false">
      <c r="A136" s="4"/>
      <c r="B136" s="6"/>
      <c r="C136" s="6"/>
      <c r="D136" s="6"/>
      <c r="E136" s="6"/>
      <c r="F136" s="49" t="s">
        <v>348</v>
      </c>
      <c r="G136" s="52"/>
      <c r="H136" s="55" t="s">
        <v>244</v>
      </c>
      <c r="I136" s="145" t="s">
        <v>349</v>
      </c>
      <c r="J136" s="55" t="s">
        <v>224</v>
      </c>
      <c r="K136" s="55" t="s">
        <v>40</v>
      </c>
      <c r="L136" s="77" t="n">
        <v>800</v>
      </c>
      <c r="M136" s="77" t="n">
        <f aca="false">L136*J136</f>
        <v>3200</v>
      </c>
      <c r="N136" s="143" t="s">
        <v>912</v>
      </c>
    </row>
    <row r="137" s="1" customFormat="true" ht="42" hidden="false" customHeight="true" outlineLevel="0" collapsed="false">
      <c r="A137" s="4"/>
      <c r="B137" s="6"/>
      <c r="C137" s="6"/>
      <c r="D137" s="6"/>
      <c r="E137" s="6"/>
      <c r="F137" s="49" t="s">
        <v>940</v>
      </c>
      <c r="G137" s="52"/>
      <c r="H137" s="55" t="s">
        <v>246</v>
      </c>
      <c r="I137" s="145" t="s">
        <v>941</v>
      </c>
      <c r="J137" s="55" t="s">
        <v>942</v>
      </c>
      <c r="K137" s="55" t="s">
        <v>40</v>
      </c>
      <c r="L137" s="77" t="n">
        <v>130</v>
      </c>
      <c r="M137" s="77" t="n">
        <f aca="false">L137*J137</f>
        <v>8320</v>
      </c>
      <c r="N137" s="143" t="s">
        <v>912</v>
      </c>
    </row>
    <row r="138" s="1" customFormat="true" ht="42" hidden="false" customHeight="true" outlineLevel="0" collapsed="false">
      <c r="A138" s="4"/>
      <c r="B138" s="6"/>
      <c r="C138" s="6"/>
      <c r="D138" s="6"/>
      <c r="E138" s="52"/>
      <c r="F138" s="49" t="s">
        <v>903</v>
      </c>
      <c r="G138" s="52"/>
      <c r="H138" s="55" t="s">
        <v>248</v>
      </c>
      <c r="I138" s="145" t="s">
        <v>904</v>
      </c>
      <c r="J138" s="52" t="n">
        <v>48</v>
      </c>
      <c r="K138" s="55" t="s">
        <v>40</v>
      </c>
      <c r="L138" s="77" t="n">
        <v>100</v>
      </c>
      <c r="M138" s="77" t="n">
        <f aca="false">L138*J138</f>
        <v>4800</v>
      </c>
      <c r="N138" s="143" t="s">
        <v>912</v>
      </c>
    </row>
    <row r="139" s="1" customFormat="true" ht="42" hidden="false" customHeight="true" outlineLevel="0" collapsed="false">
      <c r="A139" s="4"/>
      <c r="B139" s="6"/>
      <c r="C139" s="6"/>
      <c r="D139" s="6"/>
      <c r="E139" s="6"/>
      <c r="F139" s="49" t="s">
        <v>893</v>
      </c>
      <c r="G139" s="52"/>
      <c r="H139" s="55" t="s">
        <v>181</v>
      </c>
      <c r="I139" s="145" t="s">
        <v>894</v>
      </c>
      <c r="J139" s="55" t="s">
        <v>215</v>
      </c>
      <c r="K139" s="55" t="s">
        <v>40</v>
      </c>
      <c r="L139" s="77" t="n">
        <v>100</v>
      </c>
      <c r="M139" s="77" t="n">
        <f aca="false">L139*J139</f>
        <v>4800</v>
      </c>
      <c r="N139" s="143" t="s">
        <v>912</v>
      </c>
    </row>
    <row r="140" s="1" customFormat="true" ht="42" hidden="false" customHeight="true" outlineLevel="0" collapsed="false">
      <c r="A140" s="4"/>
      <c r="B140" s="6"/>
      <c r="C140" s="6"/>
      <c r="D140" s="6"/>
      <c r="E140" s="6"/>
      <c r="F140" s="49" t="s">
        <v>943</v>
      </c>
      <c r="G140" s="52"/>
      <c r="H140" s="55" t="s">
        <v>183</v>
      </c>
      <c r="I140" s="145" t="s">
        <v>944</v>
      </c>
      <c r="J140" s="55" t="s">
        <v>154</v>
      </c>
      <c r="K140" s="55" t="s">
        <v>40</v>
      </c>
      <c r="L140" s="77" t="n">
        <v>4500</v>
      </c>
      <c r="M140" s="77" t="n">
        <f aca="false">L140*J140</f>
        <v>4500</v>
      </c>
      <c r="N140" s="143" t="s">
        <v>912</v>
      </c>
    </row>
    <row r="141" s="1" customFormat="true" ht="42" hidden="false" customHeight="true" outlineLevel="0" collapsed="false">
      <c r="A141" s="4"/>
      <c r="B141" s="6"/>
      <c r="C141" s="6"/>
      <c r="D141" s="6"/>
      <c r="E141" s="6"/>
      <c r="F141" s="49" t="s">
        <v>342</v>
      </c>
      <c r="G141" s="52"/>
      <c r="H141" s="55" t="s">
        <v>255</v>
      </c>
      <c r="I141" s="145" t="s">
        <v>945</v>
      </c>
      <c r="J141" s="55" t="s">
        <v>159</v>
      </c>
      <c r="K141" s="55" t="s">
        <v>40</v>
      </c>
      <c r="L141" s="77" t="n">
        <v>11000</v>
      </c>
      <c r="M141" s="77" t="n">
        <f aca="false">L141*J141</f>
        <v>22000</v>
      </c>
      <c r="N141" s="143" t="s">
        <v>912</v>
      </c>
    </row>
    <row r="142" s="1" customFormat="true" ht="27.75" hidden="false" customHeight="true" outlineLevel="0" collapsed="false">
      <c r="A142" s="4"/>
      <c r="B142" s="6"/>
      <c r="C142" s="6"/>
      <c r="D142" s="6"/>
      <c r="E142" s="6"/>
      <c r="F142" s="49" t="s">
        <v>946</v>
      </c>
      <c r="G142" s="52"/>
      <c r="H142" s="55" t="s">
        <v>258</v>
      </c>
      <c r="I142" s="145" t="s">
        <v>947</v>
      </c>
      <c r="J142" s="55" t="s">
        <v>224</v>
      </c>
      <c r="K142" s="55" t="s">
        <v>40</v>
      </c>
      <c r="L142" s="77" t="n">
        <v>600</v>
      </c>
      <c r="M142" s="77" t="n">
        <f aca="false">L142*J142</f>
        <v>2400</v>
      </c>
      <c r="N142" s="143" t="s">
        <v>912</v>
      </c>
    </row>
    <row r="143" s="1" customFormat="true" ht="42" hidden="false" customHeight="true" outlineLevel="0" collapsed="false">
      <c r="A143" s="4"/>
      <c r="B143" s="6"/>
      <c r="C143" s="6"/>
      <c r="D143" s="6"/>
      <c r="E143" s="6"/>
      <c r="F143" s="49" t="s">
        <v>948</v>
      </c>
      <c r="G143" s="52"/>
      <c r="H143" s="55" t="s">
        <v>261</v>
      </c>
      <c r="I143" s="145" t="s">
        <v>949</v>
      </c>
      <c r="J143" s="55" t="s">
        <v>159</v>
      </c>
      <c r="K143" s="55" t="s">
        <v>40</v>
      </c>
      <c r="L143" s="77" t="n">
        <v>3000</v>
      </c>
      <c r="M143" s="77" t="n">
        <f aca="false">L143*J143</f>
        <v>6000</v>
      </c>
      <c r="N143" s="143" t="s">
        <v>912</v>
      </c>
    </row>
    <row r="144" s="1" customFormat="true" ht="42" hidden="false" customHeight="true" outlineLevel="0" collapsed="false">
      <c r="A144" s="4"/>
      <c r="B144" s="6"/>
      <c r="C144" s="6"/>
      <c r="D144" s="6"/>
      <c r="E144" s="6"/>
      <c r="F144" s="49" t="s">
        <v>950</v>
      </c>
      <c r="G144" s="52"/>
      <c r="H144" s="55" t="s">
        <v>264</v>
      </c>
      <c r="I144" s="145" t="s">
        <v>951</v>
      </c>
      <c r="J144" s="55" t="s">
        <v>159</v>
      </c>
      <c r="K144" s="55" t="s">
        <v>40</v>
      </c>
      <c r="L144" s="77" t="n">
        <v>4500</v>
      </c>
      <c r="M144" s="77" t="n">
        <f aca="false">L144*J144</f>
        <v>9000</v>
      </c>
      <c r="N144" s="143" t="s">
        <v>912</v>
      </c>
    </row>
    <row r="145" s="1" customFormat="true" ht="27.75" hidden="false" customHeight="true" outlineLevel="0" collapsed="false">
      <c r="A145" s="4"/>
      <c r="B145" s="6"/>
      <c r="C145" s="6"/>
      <c r="D145" s="6"/>
      <c r="E145" s="6"/>
      <c r="F145" s="49" t="s">
        <v>744</v>
      </c>
      <c r="G145" s="52"/>
      <c r="H145" s="55" t="s">
        <v>109</v>
      </c>
      <c r="I145" s="145" t="s">
        <v>745</v>
      </c>
      <c r="J145" s="55" t="s">
        <v>229</v>
      </c>
      <c r="K145" s="55" t="s">
        <v>164</v>
      </c>
      <c r="L145" s="77" t="n">
        <v>588.23</v>
      </c>
      <c r="M145" s="77" t="n">
        <f aca="false">L145*J145</f>
        <v>3529.38</v>
      </c>
      <c r="N145" s="143" t="s">
        <v>912</v>
      </c>
    </row>
    <row r="146" s="1" customFormat="true" ht="27.75" hidden="false" customHeight="true" outlineLevel="0" collapsed="false">
      <c r="A146" s="4"/>
      <c r="B146" s="6"/>
      <c r="C146" s="6"/>
      <c r="D146" s="6"/>
      <c r="E146" s="6"/>
      <c r="F146" s="49" t="s">
        <v>952</v>
      </c>
      <c r="G146" s="52"/>
      <c r="H146" s="55" t="s">
        <v>268</v>
      </c>
      <c r="I146" s="145" t="s">
        <v>953</v>
      </c>
      <c r="J146" s="55" t="s">
        <v>307</v>
      </c>
      <c r="K146" s="55" t="s">
        <v>164</v>
      </c>
      <c r="L146" s="77" t="n">
        <v>2500</v>
      </c>
      <c r="M146" s="77" t="n">
        <f aca="false">L146*J146</f>
        <v>90000</v>
      </c>
      <c r="N146" s="143" t="s">
        <v>912</v>
      </c>
    </row>
    <row r="147" s="1" customFormat="true" ht="27.75" hidden="false" customHeight="true" outlineLevel="0" collapsed="false">
      <c r="A147" s="4"/>
      <c r="B147" s="6"/>
      <c r="C147" s="6"/>
      <c r="D147" s="6"/>
      <c r="E147" s="6"/>
      <c r="F147" s="49" t="s">
        <v>328</v>
      </c>
      <c r="G147" s="52"/>
      <c r="H147" s="55" t="s">
        <v>270</v>
      </c>
      <c r="I147" s="145" t="s">
        <v>329</v>
      </c>
      <c r="J147" s="55" t="s">
        <v>307</v>
      </c>
      <c r="K147" s="55" t="s">
        <v>164</v>
      </c>
      <c r="L147" s="77" t="n">
        <v>3000</v>
      </c>
      <c r="M147" s="77" t="n">
        <f aca="false">L147*J147</f>
        <v>108000</v>
      </c>
      <c r="N147" s="143" t="s">
        <v>912</v>
      </c>
    </row>
    <row r="148" s="1" customFormat="true" ht="27.75" hidden="false" customHeight="true" outlineLevel="0" collapsed="false">
      <c r="A148" s="4"/>
      <c r="B148" s="6"/>
      <c r="C148" s="6"/>
      <c r="D148" s="6"/>
      <c r="E148" s="6"/>
      <c r="F148" s="49" t="s">
        <v>954</v>
      </c>
      <c r="G148" s="52"/>
      <c r="H148" s="55" t="s">
        <v>274</v>
      </c>
      <c r="I148" s="145" t="s">
        <v>955</v>
      </c>
      <c r="J148" s="55" t="s">
        <v>229</v>
      </c>
      <c r="K148" s="55" t="s">
        <v>164</v>
      </c>
      <c r="L148" s="77" t="n">
        <v>5000</v>
      </c>
      <c r="M148" s="77" t="n">
        <f aca="false">L148*J148</f>
        <v>30000</v>
      </c>
      <c r="N148" s="143" t="s">
        <v>912</v>
      </c>
    </row>
    <row r="149" s="1" customFormat="true" ht="69.75" hidden="false" customHeight="true" outlineLevel="0" collapsed="false">
      <c r="A149" s="4"/>
      <c r="B149" s="6"/>
      <c r="C149" s="6"/>
      <c r="D149" s="6"/>
      <c r="E149" s="52"/>
      <c r="F149" s="49" t="s">
        <v>905</v>
      </c>
      <c r="G149" s="52"/>
      <c r="H149" s="55" t="s">
        <v>277</v>
      </c>
      <c r="I149" s="145" t="s">
        <v>906</v>
      </c>
      <c r="J149" s="52" t="n">
        <v>2</v>
      </c>
      <c r="K149" s="55" t="s">
        <v>40</v>
      </c>
      <c r="L149" s="77" t="n">
        <v>22000</v>
      </c>
      <c r="M149" s="77" t="n">
        <f aca="false">L149*J149</f>
        <v>44000</v>
      </c>
      <c r="N149" s="143" t="s">
        <v>912</v>
      </c>
    </row>
    <row r="150" s="1" customFormat="true" ht="69.75" hidden="false" customHeight="true" outlineLevel="0" collapsed="false">
      <c r="A150" s="4"/>
      <c r="B150" s="6"/>
      <c r="C150" s="6"/>
      <c r="D150" s="6"/>
      <c r="E150" s="6"/>
      <c r="F150" s="49" t="s">
        <v>907</v>
      </c>
      <c r="G150" s="52"/>
      <c r="H150" s="55" t="s">
        <v>280</v>
      </c>
      <c r="I150" s="145" t="s">
        <v>908</v>
      </c>
      <c r="J150" s="55" t="s">
        <v>159</v>
      </c>
      <c r="K150" s="55" t="s">
        <v>40</v>
      </c>
      <c r="L150" s="77" t="n">
        <v>29000</v>
      </c>
      <c r="M150" s="77" t="n">
        <f aca="false">L150*J150</f>
        <v>58000</v>
      </c>
      <c r="N150" s="143" t="s">
        <v>912</v>
      </c>
    </row>
    <row r="151" s="1" customFormat="true" ht="69.75" hidden="false" customHeight="true" outlineLevel="0" collapsed="false">
      <c r="A151" s="4"/>
      <c r="B151" s="6"/>
      <c r="C151" s="6"/>
      <c r="D151" s="6"/>
      <c r="E151" s="6"/>
      <c r="F151" s="49" t="s">
        <v>956</v>
      </c>
      <c r="G151" s="52"/>
      <c r="H151" s="55" t="s">
        <v>283</v>
      </c>
      <c r="I151" s="145" t="s">
        <v>957</v>
      </c>
      <c r="J151" s="55" t="s">
        <v>159</v>
      </c>
      <c r="K151" s="55" t="s">
        <v>40</v>
      </c>
      <c r="L151" s="77" t="n">
        <v>55000</v>
      </c>
      <c r="M151" s="77" t="n">
        <f aca="false">L151*J151</f>
        <v>110000</v>
      </c>
      <c r="N151" s="143" t="s">
        <v>912</v>
      </c>
    </row>
    <row r="152" s="1" customFormat="true" ht="153.75" hidden="false" customHeight="true" outlineLevel="0" collapsed="false">
      <c r="A152" s="4"/>
      <c r="B152" s="6"/>
      <c r="C152" s="6"/>
      <c r="D152" s="6"/>
      <c r="E152" s="6"/>
      <c r="F152" s="49" t="s">
        <v>958</v>
      </c>
      <c r="G152" s="52"/>
      <c r="H152" s="55" t="s">
        <v>286</v>
      </c>
      <c r="I152" s="145" t="s">
        <v>959</v>
      </c>
      <c r="J152" s="55" t="s">
        <v>159</v>
      </c>
      <c r="K152" s="55" t="s">
        <v>40</v>
      </c>
      <c r="L152" s="77" t="n">
        <v>400000</v>
      </c>
      <c r="M152" s="77" t="n">
        <f aca="false">L152*J152</f>
        <v>800000</v>
      </c>
      <c r="N152" s="143" t="s">
        <v>912</v>
      </c>
    </row>
    <row r="153" s="1" customFormat="true" ht="97.5" hidden="false" customHeight="true" outlineLevel="0" collapsed="false">
      <c r="A153" s="4"/>
      <c r="B153" s="6"/>
      <c r="C153" s="6"/>
      <c r="D153" s="6"/>
      <c r="E153" s="6"/>
      <c r="F153" s="49" t="s">
        <v>960</v>
      </c>
      <c r="G153" s="52"/>
      <c r="H153" s="55" t="s">
        <v>289</v>
      </c>
      <c r="I153" s="145" t="s">
        <v>961</v>
      </c>
      <c r="J153" s="55" t="s">
        <v>159</v>
      </c>
      <c r="K153" s="55" t="s">
        <v>40</v>
      </c>
      <c r="L153" s="77" t="n">
        <v>65000</v>
      </c>
      <c r="M153" s="77" t="n">
        <f aca="false">L153*J153</f>
        <v>130000</v>
      </c>
      <c r="N153" s="143" t="s">
        <v>912</v>
      </c>
      <c r="O153" s="25" t="n">
        <f aca="false">SUM(M126:M153)</f>
        <v>1496949.38</v>
      </c>
    </row>
    <row r="154" s="1" customFormat="true" ht="13.8" hidden="false" customHeight="false" outlineLevel="0" collapsed="false">
      <c r="A154" s="65" t="s">
        <v>0</v>
      </c>
      <c r="B154" s="65" t="s">
        <v>1</v>
      </c>
      <c r="C154" s="65" t="s">
        <v>2</v>
      </c>
      <c r="D154" s="65" t="s">
        <v>496</v>
      </c>
      <c r="E154" s="65" t="s">
        <v>325</v>
      </c>
      <c r="F154" s="66" t="s">
        <v>497</v>
      </c>
      <c r="G154" s="65" t="s">
        <v>5</v>
      </c>
      <c r="H154" s="65" t="s">
        <v>6</v>
      </c>
      <c r="I154" s="65" t="s">
        <v>7</v>
      </c>
      <c r="J154" s="65" t="s">
        <v>8</v>
      </c>
      <c r="K154" s="65" t="s">
        <v>9</v>
      </c>
      <c r="L154" s="65" t="s">
        <v>498</v>
      </c>
      <c r="M154" s="65" t="s">
        <v>499</v>
      </c>
      <c r="N154" s="65" t="s">
        <v>500</v>
      </c>
    </row>
    <row r="155" s="1" customFormat="true" ht="26.85" hidden="false" customHeight="true" outlineLevel="0" collapsed="false">
      <c r="A155" s="74" t="n">
        <v>46084</v>
      </c>
      <c r="B155" s="68" t="n">
        <v>176250</v>
      </c>
      <c r="C155" s="68" t="s">
        <v>963</v>
      </c>
      <c r="D155" s="68" t="s">
        <v>14</v>
      </c>
      <c r="E155" s="52"/>
      <c r="F155" s="86" t="s">
        <v>910</v>
      </c>
      <c r="G155" s="52"/>
      <c r="H155" s="55" t="s">
        <v>154</v>
      </c>
      <c r="I155" s="76" t="s">
        <v>911</v>
      </c>
      <c r="J155" s="55" t="s">
        <v>540</v>
      </c>
      <c r="K155" s="55" t="s">
        <v>164</v>
      </c>
      <c r="L155" s="77"/>
      <c r="M155" s="77" t="n">
        <f aca="false">L155*J155</f>
        <v>0</v>
      </c>
      <c r="N155" s="143" t="s">
        <v>912</v>
      </c>
    </row>
    <row r="156" s="1" customFormat="true" ht="26.85" hidden="false" customHeight="false" outlineLevel="0" collapsed="false">
      <c r="A156" s="74"/>
      <c r="B156" s="74"/>
      <c r="C156" s="74"/>
      <c r="D156" s="74"/>
      <c r="E156" s="52"/>
      <c r="F156" s="86" t="s">
        <v>913</v>
      </c>
      <c r="G156" s="52"/>
      <c r="H156" s="55" t="s">
        <v>159</v>
      </c>
      <c r="I156" s="76" t="s">
        <v>964</v>
      </c>
      <c r="J156" s="55" t="s">
        <v>295</v>
      </c>
      <c r="K156" s="55" t="s">
        <v>40</v>
      </c>
      <c r="L156" s="77"/>
      <c r="M156" s="77" t="n">
        <f aca="false">L156*J156</f>
        <v>0</v>
      </c>
      <c r="N156" s="143" t="s">
        <v>912</v>
      </c>
    </row>
    <row r="157" s="1" customFormat="true" ht="26.85" hidden="false" customHeight="false" outlineLevel="0" collapsed="false">
      <c r="A157" s="74"/>
      <c r="B157" s="74"/>
      <c r="C157" s="74"/>
      <c r="D157" s="74"/>
      <c r="E157" s="52"/>
      <c r="F157" s="86" t="s">
        <v>915</v>
      </c>
      <c r="G157" s="52"/>
      <c r="H157" s="55" t="s">
        <v>99</v>
      </c>
      <c r="I157" s="76" t="s">
        <v>965</v>
      </c>
      <c r="J157" s="55" t="s">
        <v>255</v>
      </c>
      <c r="K157" s="55" t="s">
        <v>40</v>
      </c>
      <c r="L157" s="77"/>
      <c r="M157" s="77" t="n">
        <f aca="false">L157*J157</f>
        <v>0</v>
      </c>
      <c r="N157" s="143" t="s">
        <v>912</v>
      </c>
    </row>
    <row r="158" s="1" customFormat="true" ht="39.55" hidden="false" customHeight="false" outlineLevel="0" collapsed="false">
      <c r="A158" s="74"/>
      <c r="B158" s="74"/>
      <c r="C158" s="74"/>
      <c r="D158" s="74"/>
      <c r="E158" s="52"/>
      <c r="F158" s="86" t="s">
        <v>917</v>
      </c>
      <c r="G158" s="52"/>
      <c r="H158" s="55" t="s">
        <v>224</v>
      </c>
      <c r="I158" s="76" t="s">
        <v>966</v>
      </c>
      <c r="J158" s="52" t="n">
        <v>60</v>
      </c>
      <c r="K158" s="55" t="s">
        <v>40</v>
      </c>
      <c r="L158" s="77" t="n">
        <v>1800</v>
      </c>
      <c r="M158" s="77" t="n">
        <f aca="false">L158*J158</f>
        <v>108000</v>
      </c>
      <c r="N158" s="143" t="s">
        <v>912</v>
      </c>
    </row>
    <row r="159" s="1" customFormat="true" ht="52.2" hidden="false" customHeight="false" outlineLevel="0" collapsed="false">
      <c r="A159" s="74"/>
      <c r="B159" s="74"/>
      <c r="C159" s="74"/>
      <c r="D159" s="74"/>
      <c r="E159" s="52"/>
      <c r="F159" s="86" t="s">
        <v>919</v>
      </c>
      <c r="G159" s="52"/>
      <c r="H159" s="55" t="s">
        <v>119</v>
      </c>
      <c r="I159" s="76" t="s">
        <v>967</v>
      </c>
      <c r="J159" s="52" t="n">
        <v>60</v>
      </c>
      <c r="K159" s="55" t="s">
        <v>40</v>
      </c>
      <c r="L159" s="77" t="n">
        <v>350</v>
      </c>
      <c r="M159" s="77" t="n">
        <f aca="false">L159*J159</f>
        <v>21000</v>
      </c>
      <c r="N159" s="143" t="s">
        <v>912</v>
      </c>
    </row>
    <row r="160" s="1" customFormat="true" ht="26.85" hidden="false" customHeight="false" outlineLevel="0" collapsed="false">
      <c r="A160" s="74"/>
      <c r="B160" s="74"/>
      <c r="C160" s="74"/>
      <c r="D160" s="74"/>
      <c r="E160" s="52"/>
      <c r="F160" s="86" t="s">
        <v>921</v>
      </c>
      <c r="G160" s="52"/>
      <c r="H160" s="55" t="s">
        <v>229</v>
      </c>
      <c r="I160" s="76" t="s">
        <v>968</v>
      </c>
      <c r="J160" s="55" t="s">
        <v>923</v>
      </c>
      <c r="K160" s="55" t="s">
        <v>40</v>
      </c>
      <c r="L160" s="77" t="n">
        <v>130</v>
      </c>
      <c r="M160" s="77" t="n">
        <f aca="false">L160*J160</f>
        <v>31200</v>
      </c>
      <c r="N160" s="143" t="s">
        <v>912</v>
      </c>
    </row>
    <row r="161" s="1" customFormat="true" ht="26.85" hidden="false" customHeight="false" outlineLevel="0" collapsed="false">
      <c r="A161" s="74"/>
      <c r="B161" s="74"/>
      <c r="C161" s="74"/>
      <c r="D161" s="74"/>
      <c r="E161" s="52"/>
      <c r="F161" s="86" t="s">
        <v>924</v>
      </c>
      <c r="G161" s="52"/>
      <c r="H161" s="55" t="s">
        <v>232</v>
      </c>
      <c r="I161" s="76" t="s">
        <v>969</v>
      </c>
      <c r="J161" s="55" t="s">
        <v>270</v>
      </c>
      <c r="K161" s="55" t="s">
        <v>40</v>
      </c>
      <c r="L161" s="77" t="n">
        <v>11000</v>
      </c>
      <c r="M161" s="77" t="n">
        <f aca="false">L161*J161</f>
        <v>242000</v>
      </c>
      <c r="N161" s="143" t="s">
        <v>912</v>
      </c>
    </row>
    <row r="162" s="1" customFormat="true" ht="64.9" hidden="false" customHeight="false" outlineLevel="0" collapsed="false">
      <c r="A162" s="74"/>
      <c r="B162" s="74"/>
      <c r="C162" s="74"/>
      <c r="D162" s="74"/>
      <c r="E162" s="52"/>
      <c r="F162" s="86" t="s">
        <v>926</v>
      </c>
      <c r="G162" s="52"/>
      <c r="H162" s="55" t="s">
        <v>235</v>
      </c>
      <c r="I162" s="76" t="s">
        <v>970</v>
      </c>
      <c r="J162" s="52" t="n">
        <v>12</v>
      </c>
      <c r="K162" s="55" t="s">
        <v>40</v>
      </c>
      <c r="L162" s="77" t="n">
        <v>22000</v>
      </c>
      <c r="M162" s="77" t="n">
        <f aca="false">L162*J162</f>
        <v>264000</v>
      </c>
      <c r="N162" s="143" t="s">
        <v>912</v>
      </c>
    </row>
    <row r="163" s="1" customFormat="true" ht="26.85" hidden="false" customHeight="false" outlineLevel="0" collapsed="false">
      <c r="A163" s="74"/>
      <c r="B163" s="74"/>
      <c r="C163" s="74"/>
      <c r="D163" s="74"/>
      <c r="E163" s="52"/>
      <c r="F163" s="86" t="s">
        <v>928</v>
      </c>
      <c r="G163" s="52"/>
      <c r="H163" s="55" t="s">
        <v>239</v>
      </c>
      <c r="I163" s="76" t="s">
        <v>971</v>
      </c>
      <c r="J163" s="52" t="n">
        <v>4</v>
      </c>
      <c r="K163" s="55" t="s">
        <v>40</v>
      </c>
      <c r="L163" s="77" t="n">
        <v>22000</v>
      </c>
      <c r="M163" s="77" t="n">
        <f aca="false">L163*J163</f>
        <v>88000</v>
      </c>
      <c r="N163" s="143" t="s">
        <v>912</v>
      </c>
    </row>
    <row r="164" s="1" customFormat="true" ht="77.6" hidden="false" customHeight="false" outlineLevel="0" collapsed="false">
      <c r="A164" s="74"/>
      <c r="B164" s="74"/>
      <c r="C164" s="74"/>
      <c r="D164" s="74"/>
      <c r="E164" s="52"/>
      <c r="F164" s="86" t="s">
        <v>930</v>
      </c>
      <c r="G164" s="52"/>
      <c r="H164" s="52" t="n">
        <v>10</v>
      </c>
      <c r="I164" s="50" t="s">
        <v>931</v>
      </c>
      <c r="J164" s="52" t="n">
        <v>4</v>
      </c>
      <c r="K164" s="55" t="s">
        <v>40</v>
      </c>
      <c r="L164" s="77"/>
      <c r="M164" s="77" t="n">
        <f aca="false">L164*J164</f>
        <v>0</v>
      </c>
      <c r="N164" s="143" t="s">
        <v>912</v>
      </c>
    </row>
    <row r="165" s="1" customFormat="true" ht="13.8" hidden="false" customHeight="false" outlineLevel="0" collapsed="false">
      <c r="A165" s="65" t="s">
        <v>0</v>
      </c>
      <c r="B165" s="65" t="s">
        <v>1</v>
      </c>
      <c r="C165" s="65" t="s">
        <v>2</v>
      </c>
      <c r="D165" s="65" t="s">
        <v>496</v>
      </c>
      <c r="E165" s="65" t="s">
        <v>325</v>
      </c>
      <c r="F165" s="66" t="s">
        <v>497</v>
      </c>
      <c r="G165" s="65" t="s">
        <v>5</v>
      </c>
      <c r="H165" s="65" t="s">
        <v>6</v>
      </c>
      <c r="I165" s="65" t="s">
        <v>7</v>
      </c>
      <c r="J165" s="65" t="s">
        <v>8</v>
      </c>
      <c r="K165" s="65" t="s">
        <v>9</v>
      </c>
      <c r="L165" s="65" t="s">
        <v>498</v>
      </c>
      <c r="M165" s="65" t="s">
        <v>499</v>
      </c>
      <c r="N165" s="65" t="s">
        <v>500</v>
      </c>
    </row>
    <row r="166" s="1" customFormat="true" ht="26.85" hidden="false" customHeight="true" outlineLevel="0" collapsed="false">
      <c r="A166" s="74" t="n">
        <v>46084</v>
      </c>
      <c r="B166" s="68" t="n">
        <v>176252</v>
      </c>
      <c r="C166" s="68" t="s">
        <v>972</v>
      </c>
      <c r="D166" s="68" t="s">
        <v>14</v>
      </c>
      <c r="E166" s="52"/>
      <c r="F166" s="86" t="s">
        <v>910</v>
      </c>
      <c r="G166" s="52"/>
      <c r="H166" s="55" t="s">
        <v>154</v>
      </c>
      <c r="I166" s="76" t="s">
        <v>911</v>
      </c>
      <c r="J166" s="55" t="s">
        <v>540</v>
      </c>
      <c r="K166" s="55" t="s">
        <v>164</v>
      </c>
      <c r="L166" s="77"/>
      <c r="M166" s="77" t="n">
        <f aca="false">L166*J166</f>
        <v>0</v>
      </c>
      <c r="N166" s="143" t="s">
        <v>912</v>
      </c>
    </row>
    <row r="167" s="1" customFormat="true" ht="26.85" hidden="false" customHeight="false" outlineLevel="0" collapsed="false">
      <c r="A167" s="74"/>
      <c r="B167" s="74"/>
      <c r="C167" s="74"/>
      <c r="D167" s="74"/>
      <c r="E167" s="52"/>
      <c r="F167" s="86" t="s">
        <v>913</v>
      </c>
      <c r="G167" s="52"/>
      <c r="H167" s="55" t="s">
        <v>159</v>
      </c>
      <c r="I167" s="76" t="s">
        <v>914</v>
      </c>
      <c r="J167" s="55" t="s">
        <v>295</v>
      </c>
      <c r="K167" s="55" t="s">
        <v>40</v>
      </c>
      <c r="L167" s="77"/>
      <c r="M167" s="77" t="n">
        <f aca="false">L167*J167</f>
        <v>0</v>
      </c>
      <c r="N167" s="143" t="s">
        <v>912</v>
      </c>
    </row>
    <row r="168" s="1" customFormat="true" ht="26.85" hidden="false" customHeight="false" outlineLevel="0" collapsed="false">
      <c r="A168" s="74"/>
      <c r="B168" s="74"/>
      <c r="C168" s="74"/>
      <c r="D168" s="74"/>
      <c r="E168" s="52"/>
      <c r="F168" s="86" t="s">
        <v>915</v>
      </c>
      <c r="G168" s="52"/>
      <c r="H168" s="55" t="s">
        <v>99</v>
      </c>
      <c r="I168" s="76" t="s">
        <v>916</v>
      </c>
      <c r="J168" s="55" t="s">
        <v>255</v>
      </c>
      <c r="K168" s="55" t="s">
        <v>40</v>
      </c>
      <c r="L168" s="77"/>
      <c r="M168" s="77" t="n">
        <f aca="false">L168*J168</f>
        <v>0</v>
      </c>
      <c r="N168" s="143" t="s">
        <v>912</v>
      </c>
    </row>
    <row r="169" s="1" customFormat="true" ht="26.85" hidden="false" customHeight="false" outlineLevel="0" collapsed="false">
      <c r="A169" s="74"/>
      <c r="B169" s="74"/>
      <c r="C169" s="74"/>
      <c r="D169" s="74"/>
      <c r="E169" s="52"/>
      <c r="F169" s="86" t="s">
        <v>917</v>
      </c>
      <c r="G169" s="52"/>
      <c r="H169" s="55" t="s">
        <v>224</v>
      </c>
      <c r="I169" s="76" t="s">
        <v>918</v>
      </c>
      <c r="J169" s="52" t="n">
        <v>60</v>
      </c>
      <c r="K169" s="55" t="s">
        <v>40</v>
      </c>
      <c r="L169" s="77" t="n">
        <v>1800</v>
      </c>
      <c r="M169" s="77" t="n">
        <f aca="false">L169*J169</f>
        <v>108000</v>
      </c>
      <c r="N169" s="143" t="s">
        <v>912</v>
      </c>
    </row>
    <row r="170" s="1" customFormat="true" ht="52.2" hidden="false" customHeight="false" outlineLevel="0" collapsed="false">
      <c r="A170" s="74"/>
      <c r="B170" s="74"/>
      <c r="C170" s="74"/>
      <c r="D170" s="74"/>
      <c r="E170" s="52"/>
      <c r="F170" s="86" t="s">
        <v>919</v>
      </c>
      <c r="G170" s="52"/>
      <c r="H170" s="55" t="s">
        <v>119</v>
      </c>
      <c r="I170" s="76" t="s">
        <v>920</v>
      </c>
      <c r="J170" s="52" t="n">
        <v>60</v>
      </c>
      <c r="K170" s="55" t="s">
        <v>40</v>
      </c>
      <c r="L170" s="77" t="n">
        <v>350</v>
      </c>
      <c r="M170" s="77" t="n">
        <f aca="false">L170*J170</f>
        <v>21000</v>
      </c>
      <c r="N170" s="143" t="s">
        <v>912</v>
      </c>
    </row>
    <row r="171" s="1" customFormat="true" ht="26.85" hidden="false" customHeight="false" outlineLevel="0" collapsed="false">
      <c r="A171" s="74"/>
      <c r="B171" s="74"/>
      <c r="C171" s="74"/>
      <c r="D171" s="74"/>
      <c r="E171" s="52"/>
      <c r="F171" s="86" t="s">
        <v>921</v>
      </c>
      <c r="G171" s="52"/>
      <c r="H171" s="55" t="s">
        <v>229</v>
      </c>
      <c r="I171" s="76" t="s">
        <v>922</v>
      </c>
      <c r="J171" s="55" t="s">
        <v>923</v>
      </c>
      <c r="K171" s="55" t="s">
        <v>40</v>
      </c>
      <c r="L171" s="77" t="n">
        <v>130</v>
      </c>
      <c r="M171" s="77" t="n">
        <f aca="false">L171*J171</f>
        <v>31200</v>
      </c>
      <c r="N171" s="143" t="s">
        <v>912</v>
      </c>
    </row>
    <row r="172" s="1" customFormat="true" ht="26.85" hidden="false" customHeight="false" outlineLevel="0" collapsed="false">
      <c r="A172" s="74"/>
      <c r="B172" s="74"/>
      <c r="C172" s="74"/>
      <c r="D172" s="74"/>
      <c r="E172" s="52"/>
      <c r="F172" s="86" t="s">
        <v>924</v>
      </c>
      <c r="G172" s="52"/>
      <c r="H172" s="55" t="s">
        <v>232</v>
      </c>
      <c r="I172" s="76" t="s">
        <v>925</v>
      </c>
      <c r="J172" s="55" t="s">
        <v>270</v>
      </c>
      <c r="K172" s="55" t="s">
        <v>40</v>
      </c>
      <c r="L172" s="77" t="n">
        <v>11000</v>
      </c>
      <c r="M172" s="77" t="n">
        <f aca="false">L172*J172</f>
        <v>242000</v>
      </c>
      <c r="N172" s="143" t="s">
        <v>912</v>
      </c>
    </row>
    <row r="173" s="1" customFormat="true" ht="52.2" hidden="false" customHeight="false" outlineLevel="0" collapsed="false">
      <c r="A173" s="74"/>
      <c r="B173" s="74"/>
      <c r="C173" s="74"/>
      <c r="D173" s="74"/>
      <c r="E173" s="52"/>
      <c r="F173" s="86" t="s">
        <v>926</v>
      </c>
      <c r="G173" s="52"/>
      <c r="H173" s="55" t="s">
        <v>235</v>
      </c>
      <c r="I173" s="76" t="s">
        <v>927</v>
      </c>
      <c r="J173" s="52" t="n">
        <v>12</v>
      </c>
      <c r="K173" s="55" t="s">
        <v>40</v>
      </c>
      <c r="L173" s="77" t="n">
        <v>22000</v>
      </c>
      <c r="M173" s="77" t="n">
        <f aca="false">L173*J173</f>
        <v>264000</v>
      </c>
      <c r="N173" s="143" t="s">
        <v>912</v>
      </c>
    </row>
    <row r="174" s="1" customFormat="true" ht="26.85" hidden="false" customHeight="false" outlineLevel="0" collapsed="false">
      <c r="A174" s="74"/>
      <c r="B174" s="74"/>
      <c r="C174" s="74"/>
      <c r="D174" s="74"/>
      <c r="E174" s="52"/>
      <c r="F174" s="86" t="s">
        <v>928</v>
      </c>
      <c r="G174" s="52"/>
      <c r="H174" s="55" t="s">
        <v>239</v>
      </c>
      <c r="I174" s="76" t="s">
        <v>929</v>
      </c>
      <c r="J174" s="52" t="n">
        <v>4</v>
      </c>
      <c r="K174" s="55" t="s">
        <v>40</v>
      </c>
      <c r="L174" s="77" t="n">
        <v>22000</v>
      </c>
      <c r="M174" s="77" t="n">
        <f aca="false">L174*J174</f>
        <v>88000</v>
      </c>
      <c r="N174" s="143" t="s">
        <v>912</v>
      </c>
    </row>
    <row r="175" s="1" customFormat="true" ht="77.6" hidden="false" customHeight="false" outlineLevel="0" collapsed="false">
      <c r="A175" s="74"/>
      <c r="B175" s="74"/>
      <c r="C175" s="74"/>
      <c r="D175" s="74"/>
      <c r="E175" s="52"/>
      <c r="F175" s="86" t="s">
        <v>930</v>
      </c>
      <c r="G175" s="52"/>
      <c r="H175" s="52" t="n">
        <v>10</v>
      </c>
      <c r="I175" s="50" t="s">
        <v>931</v>
      </c>
      <c r="J175" s="52" t="n">
        <v>4</v>
      </c>
      <c r="K175" s="55" t="s">
        <v>40</v>
      </c>
      <c r="L175" s="77"/>
      <c r="M175" s="77" t="n">
        <f aca="false">L175*J175</f>
        <v>0</v>
      </c>
      <c r="N175" s="143" t="s">
        <v>912</v>
      </c>
    </row>
    <row r="176" s="1" customFormat="true" ht="18" hidden="false" customHeight="true" outlineLevel="0" collapsed="false">
      <c r="A176" s="3" t="s">
        <v>0</v>
      </c>
      <c r="B176" s="3" t="s">
        <v>1</v>
      </c>
      <c r="C176" s="3" t="s">
        <v>2</v>
      </c>
      <c r="D176" s="3" t="s">
        <v>3</v>
      </c>
      <c r="E176" s="3"/>
      <c r="F176" s="146" t="s">
        <v>4</v>
      </c>
      <c r="G176" s="3" t="s">
        <v>5</v>
      </c>
      <c r="H176" s="3" t="s">
        <v>6</v>
      </c>
      <c r="I176" s="147" t="s">
        <v>7</v>
      </c>
      <c r="J176" s="3" t="s">
        <v>8</v>
      </c>
      <c r="K176" s="3" t="s">
        <v>9</v>
      </c>
      <c r="L176" s="3" t="s">
        <v>10</v>
      </c>
      <c r="M176" s="3" t="s">
        <v>11</v>
      </c>
      <c r="N176" s="3" t="s">
        <v>12</v>
      </c>
    </row>
    <row r="177" s="1" customFormat="true" ht="14.25" hidden="false" customHeight="true" outlineLevel="0" collapsed="false">
      <c r="A177" s="36" t="n">
        <v>46084</v>
      </c>
      <c r="B177" s="37" t="n">
        <v>176019</v>
      </c>
      <c r="C177" s="30" t="s">
        <v>973</v>
      </c>
      <c r="D177" s="30" t="s">
        <v>14</v>
      </c>
      <c r="E177" s="6" t="s">
        <v>319</v>
      </c>
      <c r="F177" s="86" t="s">
        <v>132</v>
      </c>
      <c r="G177" s="52"/>
      <c r="H177" s="55" t="n">
        <v>1</v>
      </c>
      <c r="I177" s="76" t="s">
        <v>974</v>
      </c>
      <c r="J177" s="55" t="s">
        <v>975</v>
      </c>
      <c r="K177" s="55" t="s">
        <v>21</v>
      </c>
      <c r="L177" s="77" t="n">
        <v>90</v>
      </c>
      <c r="M177" s="77" t="n">
        <f aca="false">L177*J177</f>
        <v>45000</v>
      </c>
      <c r="N177" s="143" t="s">
        <v>912</v>
      </c>
    </row>
    <row r="178" s="1" customFormat="true" ht="14.25" hidden="false" customHeight="true" outlineLevel="0" collapsed="false">
      <c r="A178" s="36"/>
      <c r="B178" s="37"/>
      <c r="C178" s="30"/>
      <c r="D178" s="30"/>
      <c r="E178" s="6" t="s">
        <v>319</v>
      </c>
      <c r="F178" s="86" t="s">
        <v>187</v>
      </c>
      <c r="G178" s="52"/>
      <c r="H178" s="55" t="n">
        <v>2</v>
      </c>
      <c r="I178" s="76" t="s">
        <v>188</v>
      </c>
      <c r="J178" s="55" t="s">
        <v>975</v>
      </c>
      <c r="K178" s="55" t="s">
        <v>21</v>
      </c>
      <c r="L178" s="77" t="n">
        <v>90</v>
      </c>
      <c r="M178" s="77" t="n">
        <f aca="false">L178*J178</f>
        <v>45000</v>
      </c>
      <c r="N178" s="143" t="s">
        <v>912</v>
      </c>
    </row>
    <row r="179" s="1" customFormat="true" ht="14.25" hidden="false" customHeight="true" outlineLevel="0" collapsed="false">
      <c r="A179" s="36"/>
      <c r="B179" s="37"/>
      <c r="C179" s="30"/>
      <c r="D179" s="30"/>
      <c r="E179" s="6" t="s">
        <v>319</v>
      </c>
      <c r="F179" s="86" t="s">
        <v>189</v>
      </c>
      <c r="G179" s="52"/>
      <c r="H179" s="55" t="n">
        <v>3</v>
      </c>
      <c r="I179" s="76" t="s">
        <v>976</v>
      </c>
      <c r="J179" s="55" t="s">
        <v>439</v>
      </c>
      <c r="K179" s="55" t="s">
        <v>21</v>
      </c>
      <c r="L179" s="77" t="n">
        <v>100</v>
      </c>
      <c r="M179" s="77" t="n">
        <f aca="false">L179*J179</f>
        <v>20000</v>
      </c>
      <c r="N179" s="143" t="s">
        <v>912</v>
      </c>
    </row>
    <row r="180" s="1" customFormat="true" ht="14.25" hidden="false" customHeight="true" outlineLevel="0" collapsed="false">
      <c r="A180" s="36"/>
      <c r="B180" s="37"/>
      <c r="C180" s="30"/>
      <c r="D180" s="30"/>
      <c r="E180" s="6" t="s">
        <v>319</v>
      </c>
      <c r="F180" s="86" t="n">
        <v>1204045</v>
      </c>
      <c r="G180" s="52"/>
      <c r="H180" s="55" t="n">
        <v>4</v>
      </c>
      <c r="I180" s="76" t="s">
        <v>977</v>
      </c>
      <c r="J180" s="55" t="s">
        <v>439</v>
      </c>
      <c r="K180" s="55" t="s">
        <v>21</v>
      </c>
      <c r="L180" s="77" t="n">
        <v>120</v>
      </c>
      <c r="M180" s="77" t="n">
        <f aca="false">L180*J180</f>
        <v>24000</v>
      </c>
      <c r="N180" s="143" t="s">
        <v>912</v>
      </c>
    </row>
    <row r="181" s="1" customFormat="true" ht="14.25" hidden="false" customHeight="true" outlineLevel="0" collapsed="false">
      <c r="A181" s="36"/>
      <c r="B181" s="37"/>
      <c r="C181" s="30"/>
      <c r="D181" s="30"/>
      <c r="E181" s="6" t="s">
        <v>319</v>
      </c>
      <c r="F181" s="86" t="n">
        <v>1204012</v>
      </c>
      <c r="G181" s="52"/>
      <c r="H181" s="55" t="n">
        <v>5</v>
      </c>
      <c r="I181" s="76" t="s">
        <v>193</v>
      </c>
      <c r="J181" s="55" t="s">
        <v>439</v>
      </c>
      <c r="K181" s="55" t="s">
        <v>21</v>
      </c>
      <c r="L181" s="77" t="n">
        <v>120</v>
      </c>
      <c r="M181" s="77" t="n">
        <f aca="false">L181*J181</f>
        <v>24000</v>
      </c>
      <c r="N181" s="143" t="s">
        <v>912</v>
      </c>
    </row>
    <row r="182" s="1" customFormat="true" ht="28.5" hidden="false" customHeight="true" outlineLevel="0" collapsed="false">
      <c r="A182" s="36"/>
      <c r="B182" s="37"/>
      <c r="C182" s="30"/>
      <c r="D182" s="30"/>
      <c r="E182" s="6" t="s">
        <v>319</v>
      </c>
      <c r="F182" s="86" t="n">
        <v>1204049</v>
      </c>
      <c r="G182" s="52"/>
      <c r="H182" s="55" t="n">
        <v>6</v>
      </c>
      <c r="I182" s="76" t="s">
        <v>195</v>
      </c>
      <c r="J182" s="55" t="s">
        <v>975</v>
      </c>
      <c r="K182" s="55" t="s">
        <v>21</v>
      </c>
      <c r="L182" s="77" t="n">
        <v>25</v>
      </c>
      <c r="M182" s="77" t="n">
        <f aca="false">L182*J182</f>
        <v>12500</v>
      </c>
      <c r="N182" s="143" t="s">
        <v>912</v>
      </c>
    </row>
    <row r="183" s="1" customFormat="true" ht="28.5" hidden="false" customHeight="true" outlineLevel="0" collapsed="false">
      <c r="A183" s="36"/>
      <c r="B183" s="37"/>
      <c r="C183" s="30"/>
      <c r="D183" s="30"/>
      <c r="E183" s="6" t="s">
        <v>319</v>
      </c>
      <c r="F183" s="86" t="n">
        <v>1204056</v>
      </c>
      <c r="G183" s="52"/>
      <c r="H183" s="55" t="n">
        <v>7</v>
      </c>
      <c r="I183" s="76" t="s">
        <v>198</v>
      </c>
      <c r="J183" s="55" t="s">
        <v>978</v>
      </c>
      <c r="K183" s="55" t="s">
        <v>21</v>
      </c>
      <c r="L183" s="77" t="n">
        <v>25</v>
      </c>
      <c r="M183" s="77" t="n">
        <f aca="false">L183*J183</f>
        <v>6250</v>
      </c>
      <c r="N183" s="143" t="s">
        <v>912</v>
      </c>
    </row>
    <row r="184" s="1" customFormat="true" ht="28.5" hidden="false" customHeight="true" outlineLevel="0" collapsed="false">
      <c r="A184" s="36"/>
      <c r="B184" s="37"/>
      <c r="C184" s="30"/>
      <c r="D184" s="30"/>
      <c r="E184" s="6" t="s">
        <v>319</v>
      </c>
      <c r="F184" s="86" t="n">
        <v>1204050</v>
      </c>
      <c r="G184" s="52"/>
      <c r="H184" s="55" t="n">
        <v>8</v>
      </c>
      <c r="I184" s="76" t="s">
        <v>196</v>
      </c>
      <c r="J184" s="55" t="s">
        <v>978</v>
      </c>
      <c r="K184" s="55" t="s">
        <v>21</v>
      </c>
      <c r="L184" s="77" t="n">
        <v>25</v>
      </c>
      <c r="M184" s="77" t="n">
        <f aca="false">L184*J184</f>
        <v>6250</v>
      </c>
      <c r="N184" s="143" t="s">
        <v>912</v>
      </c>
    </row>
    <row r="185" s="1" customFormat="true" ht="28.5" hidden="false" customHeight="true" outlineLevel="0" collapsed="false">
      <c r="A185" s="36"/>
      <c r="B185" s="37"/>
      <c r="C185" s="30"/>
      <c r="D185" s="30"/>
      <c r="E185" s="6" t="s">
        <v>319</v>
      </c>
      <c r="F185" s="86" t="n">
        <v>1204057</v>
      </c>
      <c r="G185" s="52"/>
      <c r="H185" s="55" t="n">
        <v>9</v>
      </c>
      <c r="I185" s="76" t="s">
        <v>197</v>
      </c>
      <c r="J185" s="55" t="s">
        <v>978</v>
      </c>
      <c r="K185" s="55" t="s">
        <v>21</v>
      </c>
      <c r="L185" s="77" t="n">
        <v>25</v>
      </c>
      <c r="M185" s="77" t="n">
        <f aca="false">L185*J185</f>
        <v>6250</v>
      </c>
      <c r="N185" s="143" t="s">
        <v>912</v>
      </c>
    </row>
    <row r="186" s="1" customFormat="true" ht="14.25" hidden="false" customHeight="true" outlineLevel="0" collapsed="false">
      <c r="A186" s="36"/>
      <c r="B186" s="37"/>
      <c r="C186" s="30"/>
      <c r="D186" s="30"/>
      <c r="E186" s="6" t="s">
        <v>319</v>
      </c>
      <c r="F186" s="86" t="n">
        <v>1206016</v>
      </c>
      <c r="G186" s="52"/>
      <c r="H186" s="55" t="n">
        <v>10</v>
      </c>
      <c r="I186" s="76" t="s">
        <v>200</v>
      </c>
      <c r="J186" s="55" t="n">
        <v>20</v>
      </c>
      <c r="K186" s="55" t="s">
        <v>21</v>
      </c>
      <c r="L186" s="77" t="n">
        <v>200</v>
      </c>
      <c r="M186" s="77" t="n">
        <f aca="false">L186*J186</f>
        <v>4000</v>
      </c>
      <c r="N186" s="143" t="s">
        <v>912</v>
      </c>
    </row>
    <row r="187" s="1" customFormat="true" ht="14.25" hidden="false" customHeight="true" outlineLevel="0" collapsed="false">
      <c r="A187" s="36"/>
      <c r="B187" s="37"/>
      <c r="C187" s="30"/>
      <c r="D187" s="30"/>
      <c r="E187" s="6" t="s">
        <v>319</v>
      </c>
      <c r="F187" s="86" t="n">
        <v>1206017</v>
      </c>
      <c r="G187" s="52"/>
      <c r="H187" s="55" t="n">
        <v>11</v>
      </c>
      <c r="I187" s="76" t="s">
        <v>201</v>
      </c>
      <c r="J187" s="55" t="n">
        <v>20</v>
      </c>
      <c r="K187" s="55" t="s">
        <v>21</v>
      </c>
      <c r="L187" s="77" t="n">
        <v>200</v>
      </c>
      <c r="M187" s="77" t="n">
        <f aca="false">L187*J187</f>
        <v>4000</v>
      </c>
      <c r="N187" s="143" t="s">
        <v>912</v>
      </c>
    </row>
    <row r="188" s="1" customFormat="true" ht="14.25" hidden="false" customHeight="true" outlineLevel="0" collapsed="false">
      <c r="A188" s="36"/>
      <c r="B188" s="37"/>
      <c r="C188" s="30"/>
      <c r="D188" s="30"/>
      <c r="E188" s="6" t="s">
        <v>319</v>
      </c>
      <c r="F188" s="86" t="n">
        <v>4009296</v>
      </c>
      <c r="G188" s="52"/>
      <c r="H188" s="55" t="n">
        <v>12</v>
      </c>
      <c r="I188" s="76" t="s">
        <v>116</v>
      </c>
      <c r="J188" s="55" t="n">
        <v>40</v>
      </c>
      <c r="K188" s="55" t="s">
        <v>21</v>
      </c>
      <c r="L188" s="77" t="n">
        <v>32.25</v>
      </c>
      <c r="M188" s="77" t="n">
        <f aca="false">L188*J188</f>
        <v>1290</v>
      </c>
      <c r="N188" s="143" t="s">
        <v>912</v>
      </c>
    </row>
    <row r="189" s="1" customFormat="true" ht="28.5" hidden="false" customHeight="true" outlineLevel="0" collapsed="false">
      <c r="A189" s="36"/>
      <c r="B189" s="37"/>
      <c r="C189" s="30"/>
      <c r="D189" s="30"/>
      <c r="E189" s="6" t="s">
        <v>319</v>
      </c>
      <c r="F189" s="86" t="n">
        <v>1204005</v>
      </c>
      <c r="G189" s="52"/>
      <c r="H189" s="55" t="n">
        <v>13</v>
      </c>
      <c r="I189" s="76" t="s">
        <v>442</v>
      </c>
      <c r="J189" s="55" t="s">
        <v>975</v>
      </c>
      <c r="K189" s="55" t="s">
        <v>443</v>
      </c>
      <c r="L189" s="77" t="n">
        <v>4.37</v>
      </c>
      <c r="M189" s="77" t="n">
        <f aca="false">L189*J189</f>
        <v>2185</v>
      </c>
      <c r="N189" s="143" t="s">
        <v>912</v>
      </c>
    </row>
    <row r="190" s="1" customFormat="true" ht="14.25" hidden="false" customHeight="true" outlineLevel="0" collapsed="false">
      <c r="A190" s="36"/>
      <c r="B190" s="37"/>
      <c r="C190" s="30"/>
      <c r="D190" s="30"/>
      <c r="E190" s="6" t="s">
        <v>319</v>
      </c>
      <c r="F190" s="86" t="n">
        <v>4009096</v>
      </c>
      <c r="G190" s="55"/>
      <c r="H190" s="55" t="n">
        <v>14</v>
      </c>
      <c r="I190" s="50" t="s">
        <v>112</v>
      </c>
      <c r="J190" s="55" t="s">
        <v>191</v>
      </c>
      <c r="K190" s="55" t="s">
        <v>40</v>
      </c>
      <c r="L190" s="77" t="n">
        <v>185.34</v>
      </c>
      <c r="M190" s="77" t="n">
        <f aca="false">L190*J190</f>
        <v>11120.4</v>
      </c>
      <c r="N190" s="143" t="s">
        <v>912</v>
      </c>
    </row>
    <row r="191" s="1" customFormat="true" ht="14.25" hidden="false" customHeight="true" outlineLevel="0" collapsed="false">
      <c r="A191" s="36"/>
      <c r="B191" s="37"/>
      <c r="C191" s="30"/>
      <c r="D191" s="30"/>
      <c r="E191" s="6" t="s">
        <v>319</v>
      </c>
      <c r="F191" s="86" t="n">
        <v>4009362</v>
      </c>
      <c r="G191" s="55"/>
      <c r="H191" s="55" t="n">
        <v>15</v>
      </c>
      <c r="I191" s="50" t="s">
        <v>114</v>
      </c>
      <c r="J191" s="55" t="s">
        <v>191</v>
      </c>
      <c r="K191" s="55" t="s">
        <v>40</v>
      </c>
      <c r="L191" s="77" t="n">
        <v>49.69</v>
      </c>
      <c r="M191" s="77" t="n">
        <f aca="false">L191*J191</f>
        <v>2981.4</v>
      </c>
      <c r="N191" s="143" t="s">
        <v>912</v>
      </c>
    </row>
    <row r="192" s="1" customFormat="true" ht="14.25" hidden="false" customHeight="true" outlineLevel="0" collapsed="false">
      <c r="A192" s="36"/>
      <c r="B192" s="37"/>
      <c r="C192" s="30"/>
      <c r="D192" s="30"/>
      <c r="E192" s="6" t="s">
        <v>319</v>
      </c>
      <c r="F192" s="86" t="s">
        <v>117</v>
      </c>
      <c r="G192" s="52"/>
      <c r="H192" s="55" t="n">
        <v>16</v>
      </c>
      <c r="I192" s="50" t="s">
        <v>118</v>
      </c>
      <c r="J192" s="55" t="s">
        <v>295</v>
      </c>
      <c r="K192" s="55" t="s">
        <v>40</v>
      </c>
      <c r="L192" s="77" t="n">
        <v>65</v>
      </c>
      <c r="M192" s="77" t="n">
        <f aca="false">L192*J192</f>
        <v>1950</v>
      </c>
      <c r="N192" s="143" t="s">
        <v>912</v>
      </c>
    </row>
    <row r="193" s="1" customFormat="true" ht="14.25" hidden="false" customHeight="true" outlineLevel="0" collapsed="false">
      <c r="A193" s="36"/>
      <c r="B193" s="37"/>
      <c r="C193" s="30"/>
      <c r="D193" s="30"/>
      <c r="E193" s="6" t="s">
        <v>319</v>
      </c>
      <c r="F193" s="86" t="s">
        <v>120</v>
      </c>
      <c r="G193" s="52"/>
      <c r="H193" s="55" t="n">
        <v>17</v>
      </c>
      <c r="I193" s="50" t="s">
        <v>121</v>
      </c>
      <c r="J193" s="55" t="s">
        <v>295</v>
      </c>
      <c r="K193" s="55" t="s">
        <v>40</v>
      </c>
      <c r="L193" s="77" t="n">
        <v>65</v>
      </c>
      <c r="M193" s="77" t="n">
        <f aca="false">L193*J193</f>
        <v>1950</v>
      </c>
      <c r="N193" s="143" t="s">
        <v>912</v>
      </c>
    </row>
    <row r="194" s="1" customFormat="true" ht="14.25" hidden="false" customHeight="true" outlineLevel="0" collapsed="false">
      <c r="A194" s="36"/>
      <c r="B194" s="37"/>
      <c r="C194" s="30"/>
      <c r="D194" s="30"/>
      <c r="E194" s="6" t="s">
        <v>319</v>
      </c>
      <c r="F194" s="86" t="s">
        <v>136</v>
      </c>
      <c r="G194" s="52"/>
      <c r="H194" s="55" t="n">
        <v>18</v>
      </c>
      <c r="I194" s="50" t="s">
        <v>138</v>
      </c>
      <c r="J194" s="55" t="s">
        <v>516</v>
      </c>
      <c r="K194" s="55" t="s">
        <v>40</v>
      </c>
      <c r="L194" s="77" t="n">
        <v>15</v>
      </c>
      <c r="M194" s="77" t="n">
        <f aca="false">L194*J194</f>
        <v>600</v>
      </c>
      <c r="N194" s="143" t="s">
        <v>912</v>
      </c>
    </row>
    <row r="195" s="1" customFormat="true" ht="14.25" hidden="false" customHeight="true" outlineLevel="0" collapsed="false">
      <c r="A195" s="36"/>
      <c r="B195" s="37"/>
      <c r="C195" s="30"/>
      <c r="D195" s="30"/>
      <c r="E195" s="6" t="s">
        <v>319</v>
      </c>
      <c r="F195" s="86" t="s">
        <v>139</v>
      </c>
      <c r="G195" s="52"/>
      <c r="H195" s="55" t="n">
        <v>19</v>
      </c>
      <c r="I195" s="50" t="s">
        <v>140</v>
      </c>
      <c r="J195" s="55" t="s">
        <v>516</v>
      </c>
      <c r="K195" s="55" t="s">
        <v>40</v>
      </c>
      <c r="L195" s="77" t="n">
        <v>15</v>
      </c>
      <c r="M195" s="77" t="n">
        <f aca="false">L195*J195</f>
        <v>600</v>
      </c>
      <c r="N195" s="143" t="s">
        <v>912</v>
      </c>
    </row>
    <row r="196" s="1" customFormat="true" ht="14.25" hidden="false" customHeight="true" outlineLevel="0" collapsed="false">
      <c r="A196" s="36"/>
      <c r="B196" s="37"/>
      <c r="C196" s="30"/>
      <c r="D196" s="30"/>
      <c r="E196" s="6" t="s">
        <v>319</v>
      </c>
      <c r="F196" s="86" t="s">
        <v>450</v>
      </c>
      <c r="G196" s="52"/>
      <c r="H196" s="55" t="n">
        <v>20</v>
      </c>
      <c r="I196" s="76" t="s">
        <v>451</v>
      </c>
      <c r="J196" s="55" t="s">
        <v>516</v>
      </c>
      <c r="K196" s="55" t="s">
        <v>452</v>
      </c>
      <c r="L196" s="77" t="n">
        <v>282</v>
      </c>
      <c r="M196" s="77" t="n">
        <f aca="false">L196*J196</f>
        <v>11280</v>
      </c>
      <c r="N196" s="143" t="s">
        <v>912</v>
      </c>
    </row>
    <row r="197" s="1" customFormat="true" ht="14.25" hidden="false" customHeight="true" outlineLevel="0" collapsed="false">
      <c r="A197" s="36"/>
      <c r="B197" s="37"/>
      <c r="C197" s="30"/>
      <c r="D197" s="30"/>
      <c r="E197" s="6" t="s">
        <v>319</v>
      </c>
      <c r="F197" s="86" t="s">
        <v>453</v>
      </c>
      <c r="G197" s="52"/>
      <c r="H197" s="55" t="n">
        <v>21</v>
      </c>
      <c r="I197" s="76" t="s">
        <v>454</v>
      </c>
      <c r="J197" s="55" t="s">
        <v>295</v>
      </c>
      <c r="K197" s="55" t="s">
        <v>40</v>
      </c>
      <c r="L197" s="77" t="n">
        <v>112.33</v>
      </c>
      <c r="M197" s="77" t="n">
        <f aca="false">L197*J197</f>
        <v>3369.9</v>
      </c>
      <c r="N197" s="143" t="s">
        <v>912</v>
      </c>
    </row>
    <row r="198" s="1" customFormat="true" ht="14.25" hidden="false" customHeight="true" outlineLevel="0" collapsed="false">
      <c r="A198" s="36"/>
      <c r="B198" s="37"/>
      <c r="C198" s="30"/>
      <c r="D198" s="30"/>
      <c r="E198" s="6" t="s">
        <v>319</v>
      </c>
      <c r="F198" s="86" t="s">
        <v>455</v>
      </c>
      <c r="G198" s="52"/>
      <c r="H198" s="55" t="n">
        <v>22</v>
      </c>
      <c r="I198" s="76" t="s">
        <v>456</v>
      </c>
      <c r="J198" s="55" t="s">
        <v>295</v>
      </c>
      <c r="K198" s="55" t="s">
        <v>452</v>
      </c>
      <c r="L198" s="77" t="n">
        <v>111.03</v>
      </c>
      <c r="M198" s="77" t="n">
        <f aca="false">L198*J198</f>
        <v>3330.9</v>
      </c>
      <c r="N198" s="143" t="s">
        <v>912</v>
      </c>
    </row>
    <row r="199" s="1" customFormat="true" ht="14.25" hidden="false" customHeight="true" outlineLevel="0" collapsed="false">
      <c r="A199" s="36"/>
      <c r="B199" s="37"/>
      <c r="C199" s="30"/>
      <c r="D199" s="30"/>
      <c r="E199" s="6" t="s">
        <v>319</v>
      </c>
      <c r="F199" s="86" t="s">
        <v>457</v>
      </c>
      <c r="G199" s="52"/>
      <c r="H199" s="55" t="n">
        <v>23</v>
      </c>
      <c r="I199" s="76" t="s">
        <v>458</v>
      </c>
      <c r="J199" s="55" t="s">
        <v>119</v>
      </c>
      <c r="K199" s="55" t="s">
        <v>21</v>
      </c>
      <c r="L199" s="77" t="n">
        <v>370.28</v>
      </c>
      <c r="M199" s="77" t="n">
        <f aca="false">L199*J199</f>
        <v>1851.4</v>
      </c>
      <c r="N199" s="143" t="s">
        <v>912</v>
      </c>
    </row>
    <row r="200" s="1" customFormat="true" ht="14.25" hidden="false" customHeight="true" outlineLevel="0" collapsed="false">
      <c r="A200" s="36"/>
      <c r="B200" s="37"/>
      <c r="C200" s="30"/>
      <c r="D200" s="30"/>
      <c r="E200" s="6" t="s">
        <v>319</v>
      </c>
      <c r="F200" s="86" t="s">
        <v>459</v>
      </c>
      <c r="G200" s="52"/>
      <c r="H200" s="55" t="n">
        <v>24</v>
      </c>
      <c r="I200" s="76" t="s">
        <v>460</v>
      </c>
      <c r="J200" s="55" t="s">
        <v>280</v>
      </c>
      <c r="K200" s="55" t="s">
        <v>21</v>
      </c>
      <c r="L200" s="77" t="n">
        <v>193.13</v>
      </c>
      <c r="M200" s="77" t="n">
        <f aca="false">L200*J200</f>
        <v>4828.25</v>
      </c>
      <c r="N200" s="143" t="s">
        <v>912</v>
      </c>
    </row>
    <row r="201" s="1" customFormat="true" ht="28.5" hidden="false" customHeight="true" outlineLevel="0" collapsed="false">
      <c r="A201" s="36"/>
      <c r="B201" s="37"/>
      <c r="C201" s="30"/>
      <c r="D201" s="30"/>
      <c r="E201" s="6" t="s">
        <v>319</v>
      </c>
      <c r="F201" s="86" t="s">
        <v>461</v>
      </c>
      <c r="G201" s="52"/>
      <c r="H201" s="55" t="n">
        <v>25</v>
      </c>
      <c r="I201" s="76" t="s">
        <v>462</v>
      </c>
      <c r="J201" s="55" t="s">
        <v>280</v>
      </c>
      <c r="K201" s="55" t="s">
        <v>21</v>
      </c>
      <c r="L201" s="77" t="n">
        <v>179.71</v>
      </c>
      <c r="M201" s="77" t="n">
        <f aca="false">L201*J201</f>
        <v>4492.75</v>
      </c>
      <c r="N201" s="143" t="s">
        <v>912</v>
      </c>
    </row>
    <row r="202" s="1" customFormat="true" ht="14.25" hidden="false" customHeight="true" outlineLevel="0" collapsed="false">
      <c r="A202" s="36"/>
      <c r="B202" s="37"/>
      <c r="C202" s="30"/>
      <c r="D202" s="30"/>
      <c r="E202" s="6" t="s">
        <v>319</v>
      </c>
      <c r="F202" s="86" t="s">
        <v>463</v>
      </c>
      <c r="G202" s="52"/>
      <c r="H202" s="55" t="n">
        <v>26</v>
      </c>
      <c r="I202" s="76" t="s">
        <v>464</v>
      </c>
      <c r="J202" s="55" t="n">
        <v>10</v>
      </c>
      <c r="K202" s="55" t="s">
        <v>21</v>
      </c>
      <c r="L202" s="77" t="n">
        <v>208.19</v>
      </c>
      <c r="M202" s="77" t="n">
        <f aca="false">L202*J202</f>
        <v>2081.9</v>
      </c>
      <c r="N202" s="143" t="s">
        <v>912</v>
      </c>
    </row>
    <row r="203" s="1" customFormat="true" ht="14.25" hidden="false" customHeight="true" outlineLevel="0" collapsed="false">
      <c r="A203" s="36"/>
      <c r="B203" s="37"/>
      <c r="C203" s="30"/>
      <c r="D203" s="30"/>
      <c r="E203" s="6" t="s">
        <v>319</v>
      </c>
      <c r="F203" s="86" t="s">
        <v>465</v>
      </c>
      <c r="G203" s="52"/>
      <c r="H203" s="55" t="n">
        <v>27</v>
      </c>
      <c r="I203" s="76" t="s">
        <v>466</v>
      </c>
      <c r="J203" s="55" t="n">
        <v>10</v>
      </c>
      <c r="K203" s="55" t="s">
        <v>21</v>
      </c>
      <c r="L203" s="77" t="n">
        <v>39.36</v>
      </c>
      <c r="M203" s="77" t="n">
        <f aca="false">L203*J203</f>
        <v>393.6</v>
      </c>
      <c r="N203" s="143" t="s">
        <v>912</v>
      </c>
    </row>
    <row r="204" s="1" customFormat="true" ht="28.5" hidden="false" customHeight="true" outlineLevel="0" collapsed="false">
      <c r="A204" s="36"/>
      <c r="B204" s="37"/>
      <c r="C204" s="30"/>
      <c r="D204" s="30"/>
      <c r="E204" s="6" t="s">
        <v>319</v>
      </c>
      <c r="F204" s="86" t="s">
        <v>468</v>
      </c>
      <c r="G204" s="52"/>
      <c r="H204" s="55" t="n">
        <v>28</v>
      </c>
      <c r="I204" s="76" t="s">
        <v>469</v>
      </c>
      <c r="J204" s="55" t="s">
        <v>130</v>
      </c>
      <c r="K204" s="55" t="s">
        <v>21</v>
      </c>
      <c r="L204" s="77" t="n">
        <v>12</v>
      </c>
      <c r="M204" s="77" t="n">
        <f aca="false">L204*J204</f>
        <v>1200</v>
      </c>
      <c r="N204" s="143" t="s">
        <v>912</v>
      </c>
    </row>
    <row r="205" s="1" customFormat="true" ht="14.25" hidden="false" customHeight="true" outlineLevel="0" collapsed="false">
      <c r="A205" s="36"/>
      <c r="B205" s="37"/>
      <c r="C205" s="30"/>
      <c r="D205" s="30"/>
      <c r="E205" s="6" t="s">
        <v>319</v>
      </c>
      <c r="F205" s="86" t="s">
        <v>411</v>
      </c>
      <c r="G205" s="52"/>
      <c r="H205" s="55" t="n">
        <v>29</v>
      </c>
      <c r="I205" s="76" t="s">
        <v>413</v>
      </c>
      <c r="J205" s="55" t="s">
        <v>183</v>
      </c>
      <c r="K205" s="55" t="s">
        <v>414</v>
      </c>
      <c r="L205" s="52" t="n">
        <v>900</v>
      </c>
      <c r="M205" s="77" t="n">
        <f aca="false">L205*J205</f>
        <v>13500</v>
      </c>
      <c r="N205" s="143" t="s">
        <v>912</v>
      </c>
    </row>
    <row r="206" s="1" customFormat="true" ht="14.25" hidden="false" customHeight="true" outlineLevel="0" collapsed="false">
      <c r="A206" s="36"/>
      <c r="B206" s="37"/>
      <c r="C206" s="30"/>
      <c r="D206" s="30"/>
      <c r="E206" s="6" t="s">
        <v>319</v>
      </c>
      <c r="F206" s="114" t="s">
        <v>979</v>
      </c>
      <c r="G206" s="68"/>
      <c r="H206" s="55" t="n">
        <v>30</v>
      </c>
      <c r="I206" s="50" t="s">
        <v>641</v>
      </c>
      <c r="J206" s="6" t="n">
        <v>8</v>
      </c>
      <c r="K206" s="68" t="s">
        <v>21</v>
      </c>
      <c r="L206" s="77" t="n">
        <v>673</v>
      </c>
      <c r="M206" s="77" t="n">
        <f aca="false">L206*J206</f>
        <v>5384</v>
      </c>
      <c r="N206" s="143" t="s">
        <v>912</v>
      </c>
    </row>
    <row r="207" s="1" customFormat="true" ht="14.25" hidden="false" customHeight="true" outlineLevel="0" collapsed="false">
      <c r="A207" s="36"/>
      <c r="B207" s="37"/>
      <c r="C207" s="30"/>
      <c r="D207" s="30"/>
      <c r="E207" s="6" t="s">
        <v>319</v>
      </c>
      <c r="F207" s="114" t="s">
        <v>980</v>
      </c>
      <c r="G207" s="68"/>
      <c r="H207" s="55" t="n">
        <v>31</v>
      </c>
      <c r="I207" s="50" t="s">
        <v>640</v>
      </c>
      <c r="J207" s="6" t="n">
        <v>4</v>
      </c>
      <c r="K207" s="68" t="s">
        <v>21</v>
      </c>
      <c r="L207" s="77" t="n">
        <v>1826.5</v>
      </c>
      <c r="M207" s="77" t="n">
        <f aca="false">L207*J207</f>
        <v>7306</v>
      </c>
      <c r="N207" s="143" t="s">
        <v>912</v>
      </c>
    </row>
    <row r="208" s="1" customFormat="true" ht="14.25" hidden="false" customHeight="true" outlineLevel="0" collapsed="false">
      <c r="A208" s="36"/>
      <c r="B208" s="37"/>
      <c r="C208" s="30"/>
      <c r="D208" s="30"/>
      <c r="E208" s="6" t="s">
        <v>319</v>
      </c>
      <c r="F208" s="114" t="s">
        <v>981</v>
      </c>
      <c r="G208" s="68"/>
      <c r="H208" s="55" t="n">
        <v>32</v>
      </c>
      <c r="I208" s="50" t="s">
        <v>982</v>
      </c>
      <c r="J208" s="6" t="n">
        <v>10</v>
      </c>
      <c r="K208" s="68" t="s">
        <v>21</v>
      </c>
      <c r="L208" s="77" t="n">
        <v>136.5</v>
      </c>
      <c r="M208" s="77" t="n">
        <f aca="false">L208*J208</f>
        <v>1365</v>
      </c>
      <c r="N208" s="143" t="s">
        <v>912</v>
      </c>
      <c r="O208" s="25" t="n">
        <f aca="false">SUM(M177:M208)</f>
        <v>280310.5</v>
      </c>
    </row>
    <row r="209" s="1" customFormat="true" ht="14.25" hidden="false" customHeight="false" outlineLevel="0" collapsed="false">
      <c r="A209" s="65" t="s">
        <v>0</v>
      </c>
      <c r="B209" s="65" t="s">
        <v>1</v>
      </c>
      <c r="C209" s="65" t="s">
        <v>2</v>
      </c>
      <c r="D209" s="65" t="s">
        <v>496</v>
      </c>
      <c r="E209" s="65" t="s">
        <v>325</v>
      </c>
      <c r="F209" s="66" t="s">
        <v>497</v>
      </c>
      <c r="G209" s="65" t="s">
        <v>5</v>
      </c>
      <c r="H209" s="65" t="s">
        <v>6</v>
      </c>
      <c r="I209" s="65" t="s">
        <v>7</v>
      </c>
      <c r="J209" s="65" t="s">
        <v>8</v>
      </c>
      <c r="K209" s="65" t="s">
        <v>9</v>
      </c>
      <c r="L209" s="65" t="s">
        <v>498</v>
      </c>
      <c r="M209" s="65" t="s">
        <v>499</v>
      </c>
      <c r="N209" s="65" t="s">
        <v>500</v>
      </c>
    </row>
    <row r="210" s="1" customFormat="true" ht="39.55" hidden="false" customHeight="true" outlineLevel="0" collapsed="false">
      <c r="A210" s="4" t="n">
        <v>46078</v>
      </c>
      <c r="B210" s="6" t="n">
        <v>175490</v>
      </c>
      <c r="C210" s="6" t="s">
        <v>983</v>
      </c>
      <c r="D210" s="6" t="s">
        <v>14</v>
      </c>
      <c r="E210" s="73"/>
      <c r="F210" s="31" t="s">
        <v>895</v>
      </c>
      <c r="G210" s="53" t="n">
        <v>146140</v>
      </c>
      <c r="H210" s="31" t="s">
        <v>154</v>
      </c>
      <c r="I210" s="64" t="s">
        <v>896</v>
      </c>
      <c r="J210" s="9" t="n">
        <v>4</v>
      </c>
      <c r="K210" s="31" t="s">
        <v>40</v>
      </c>
      <c r="L210" s="39" t="n">
        <v>1000</v>
      </c>
      <c r="M210" s="39" t="n">
        <v>4000</v>
      </c>
      <c r="N210" s="9" t="s">
        <v>18</v>
      </c>
    </row>
    <row r="211" s="1" customFormat="true" ht="39.55" hidden="false" customHeight="false" outlineLevel="0" collapsed="false">
      <c r="A211" s="4"/>
      <c r="B211" s="6"/>
      <c r="C211" s="6"/>
      <c r="D211" s="6"/>
      <c r="E211" s="73"/>
      <c r="F211" s="31" t="s">
        <v>984</v>
      </c>
      <c r="G211" s="53" t="n">
        <v>146140</v>
      </c>
      <c r="H211" s="31" t="s">
        <v>159</v>
      </c>
      <c r="I211" s="64" t="s">
        <v>985</v>
      </c>
      <c r="J211" s="9" t="s">
        <v>235</v>
      </c>
      <c r="K211" s="31" t="s">
        <v>40</v>
      </c>
      <c r="L211" s="39" t="n">
        <v>1650</v>
      </c>
      <c r="M211" s="39" t="n">
        <v>13200</v>
      </c>
      <c r="N211" s="9" t="s">
        <v>18</v>
      </c>
    </row>
    <row r="212" s="1" customFormat="true" ht="39.55" hidden="false" customHeight="false" outlineLevel="0" collapsed="false">
      <c r="A212" s="4"/>
      <c r="B212" s="6"/>
      <c r="C212" s="6"/>
      <c r="D212" s="6"/>
      <c r="E212" s="73"/>
      <c r="F212" s="31" t="s">
        <v>346</v>
      </c>
      <c r="G212" s="53" t="n">
        <v>146140</v>
      </c>
      <c r="H212" s="31" t="s">
        <v>99</v>
      </c>
      <c r="I212" s="64" t="s">
        <v>347</v>
      </c>
      <c r="J212" s="9" t="s">
        <v>224</v>
      </c>
      <c r="K212" s="31" t="s">
        <v>40</v>
      </c>
      <c r="L212" s="39" t="n">
        <v>3675</v>
      </c>
      <c r="M212" s="39" t="n">
        <v>14700</v>
      </c>
      <c r="N212" s="9" t="s">
        <v>18</v>
      </c>
    </row>
    <row r="213" s="1" customFormat="true" ht="26.85" hidden="false" customHeight="false" outlineLevel="0" collapsed="false">
      <c r="A213" s="4"/>
      <c r="B213" s="6"/>
      <c r="C213" s="6"/>
      <c r="D213" s="6"/>
      <c r="E213" s="73"/>
      <c r="F213" s="31" t="s">
        <v>872</v>
      </c>
      <c r="G213" s="53" t="n">
        <v>146140</v>
      </c>
      <c r="H213" s="31" t="s">
        <v>224</v>
      </c>
      <c r="I213" s="64" t="s">
        <v>873</v>
      </c>
      <c r="J213" s="9" t="s">
        <v>258</v>
      </c>
      <c r="K213" s="31" t="s">
        <v>40</v>
      </c>
      <c r="L213" s="39" t="n">
        <v>1890</v>
      </c>
      <c r="M213" s="39" t="n">
        <v>32130</v>
      </c>
      <c r="N213" s="9" t="s">
        <v>18</v>
      </c>
    </row>
    <row r="214" s="1" customFormat="true" ht="26.85" hidden="false" customHeight="false" outlineLevel="0" collapsed="false">
      <c r="A214" s="4"/>
      <c r="B214" s="6"/>
      <c r="C214" s="6"/>
      <c r="D214" s="6"/>
      <c r="E214" s="73"/>
      <c r="F214" s="31" t="s">
        <v>934</v>
      </c>
      <c r="G214" s="53" t="n">
        <v>146140</v>
      </c>
      <c r="H214" s="31" t="s">
        <v>119</v>
      </c>
      <c r="I214" s="64" t="s">
        <v>935</v>
      </c>
      <c r="J214" s="9" t="s">
        <v>159</v>
      </c>
      <c r="K214" s="31" t="s">
        <v>40</v>
      </c>
      <c r="L214" s="39" t="n">
        <v>3100</v>
      </c>
      <c r="M214" s="39" t="n">
        <v>6200</v>
      </c>
      <c r="N214" s="9" t="s">
        <v>18</v>
      </c>
    </row>
    <row r="215" s="1" customFormat="true" ht="26.85" hidden="false" customHeight="false" outlineLevel="0" collapsed="false">
      <c r="A215" s="4"/>
      <c r="B215" s="6"/>
      <c r="C215" s="6"/>
      <c r="D215" s="6"/>
      <c r="E215" s="73"/>
      <c r="F215" s="31" t="s">
        <v>936</v>
      </c>
      <c r="G215" s="53" t="n">
        <v>146140</v>
      </c>
      <c r="H215" s="31" t="s">
        <v>229</v>
      </c>
      <c r="I215" s="64" t="s">
        <v>937</v>
      </c>
      <c r="J215" s="9" t="s">
        <v>229</v>
      </c>
      <c r="K215" s="31" t="s">
        <v>40</v>
      </c>
      <c r="L215" s="39" t="n">
        <v>60</v>
      </c>
      <c r="M215" s="39" t="n">
        <v>360</v>
      </c>
      <c r="N215" s="9" t="s">
        <v>18</v>
      </c>
    </row>
    <row r="216" s="1" customFormat="true" ht="26.85" hidden="false" customHeight="false" outlineLevel="0" collapsed="false">
      <c r="A216" s="4"/>
      <c r="B216" s="6"/>
      <c r="C216" s="6"/>
      <c r="D216" s="6"/>
      <c r="E216" s="73"/>
      <c r="F216" s="31" t="s">
        <v>874</v>
      </c>
      <c r="G216" s="53" t="n">
        <v>146140</v>
      </c>
      <c r="H216" s="31" t="s">
        <v>232</v>
      </c>
      <c r="I216" s="64" t="s">
        <v>875</v>
      </c>
      <c r="J216" s="9" t="s">
        <v>141</v>
      </c>
      <c r="K216" s="31" t="s">
        <v>40</v>
      </c>
      <c r="L216" s="39" t="n">
        <v>4700</v>
      </c>
      <c r="M216" s="39" t="n">
        <v>14100</v>
      </c>
      <c r="N216" s="9" t="s">
        <v>18</v>
      </c>
    </row>
    <row r="217" s="1" customFormat="true" ht="26.85" hidden="false" customHeight="false" outlineLevel="0" collapsed="false">
      <c r="A217" s="4"/>
      <c r="B217" s="6"/>
      <c r="C217" s="6"/>
      <c r="D217" s="6"/>
      <c r="E217" s="73"/>
      <c r="F217" s="31" t="s">
        <v>876</v>
      </c>
      <c r="G217" s="53" t="n">
        <v>146140</v>
      </c>
      <c r="H217" s="31" t="s">
        <v>235</v>
      </c>
      <c r="I217" s="64" t="s">
        <v>877</v>
      </c>
      <c r="J217" s="9" t="s">
        <v>99</v>
      </c>
      <c r="K217" s="31" t="s">
        <v>40</v>
      </c>
      <c r="L217" s="39" t="n">
        <v>2710</v>
      </c>
      <c r="M217" s="39" t="n">
        <v>27100</v>
      </c>
      <c r="N217" s="9" t="s">
        <v>18</v>
      </c>
    </row>
    <row r="218" s="1" customFormat="true" ht="52.2" hidden="false" customHeight="false" outlineLevel="0" collapsed="false">
      <c r="A218" s="4"/>
      <c r="B218" s="6"/>
      <c r="C218" s="6"/>
      <c r="D218" s="6"/>
      <c r="E218" s="73"/>
      <c r="F218" s="55" t="s">
        <v>897</v>
      </c>
      <c r="G218" s="5" t="n">
        <v>146141</v>
      </c>
      <c r="H218" s="55" t="s">
        <v>239</v>
      </c>
      <c r="I218" s="113" t="s">
        <v>939</v>
      </c>
      <c r="J218" s="52" t="n">
        <v>4</v>
      </c>
      <c r="K218" s="55" t="s">
        <v>40</v>
      </c>
      <c r="L218" s="51" t="n">
        <v>300</v>
      </c>
      <c r="M218" s="51" t="n">
        <v>1200</v>
      </c>
      <c r="N218" s="52" t="s">
        <v>194</v>
      </c>
    </row>
    <row r="219" s="1" customFormat="true" ht="52.2" hidden="false" customHeight="false" outlineLevel="0" collapsed="false">
      <c r="A219" s="4"/>
      <c r="B219" s="6"/>
      <c r="C219" s="6"/>
      <c r="D219" s="6"/>
      <c r="E219" s="73"/>
      <c r="F219" s="55" t="s">
        <v>354</v>
      </c>
      <c r="G219" s="5" t="n">
        <v>146141</v>
      </c>
      <c r="H219" s="55" t="s">
        <v>141</v>
      </c>
      <c r="I219" s="113" t="s">
        <v>355</v>
      </c>
      <c r="J219" s="52" t="s">
        <v>235</v>
      </c>
      <c r="K219" s="55" t="s">
        <v>40</v>
      </c>
      <c r="L219" s="51" t="n">
        <v>500</v>
      </c>
      <c r="M219" s="51" t="n">
        <v>4000</v>
      </c>
      <c r="N219" s="52" t="s">
        <v>194</v>
      </c>
    </row>
    <row r="220" s="1" customFormat="true" ht="52.2" hidden="false" customHeight="false" outlineLevel="0" collapsed="false">
      <c r="A220" s="4"/>
      <c r="B220" s="6"/>
      <c r="C220" s="6"/>
      <c r="D220" s="6"/>
      <c r="E220" s="73"/>
      <c r="F220" s="55" t="s">
        <v>348</v>
      </c>
      <c r="G220" s="5" t="n">
        <v>146141</v>
      </c>
      <c r="H220" s="55" t="s">
        <v>244</v>
      </c>
      <c r="I220" s="113" t="s">
        <v>349</v>
      </c>
      <c r="J220" s="52" t="s">
        <v>224</v>
      </c>
      <c r="K220" s="55" t="s">
        <v>40</v>
      </c>
      <c r="L220" s="51" t="n">
        <v>700</v>
      </c>
      <c r="M220" s="51" t="n">
        <v>2800</v>
      </c>
      <c r="N220" s="52" t="s">
        <v>194</v>
      </c>
    </row>
    <row r="221" s="1" customFormat="true" ht="26.85" hidden="false" customHeight="false" outlineLevel="0" collapsed="false">
      <c r="A221" s="4"/>
      <c r="B221" s="6"/>
      <c r="C221" s="6"/>
      <c r="D221" s="6"/>
      <c r="E221" s="73"/>
      <c r="F221" s="55" t="s">
        <v>940</v>
      </c>
      <c r="G221" s="5" t="n">
        <v>146141</v>
      </c>
      <c r="H221" s="55" t="s">
        <v>246</v>
      </c>
      <c r="I221" s="113" t="s">
        <v>941</v>
      </c>
      <c r="J221" s="52" t="s">
        <v>942</v>
      </c>
      <c r="K221" s="55" t="s">
        <v>40</v>
      </c>
      <c r="L221" s="51" t="n">
        <v>150</v>
      </c>
      <c r="M221" s="51" t="n">
        <v>9600</v>
      </c>
      <c r="N221" s="52" t="s">
        <v>194</v>
      </c>
    </row>
    <row r="222" s="1" customFormat="true" ht="26.85" hidden="false" customHeight="false" outlineLevel="0" collapsed="false">
      <c r="A222" s="4"/>
      <c r="B222" s="6"/>
      <c r="C222" s="6"/>
      <c r="D222" s="6"/>
      <c r="E222" s="73"/>
      <c r="F222" s="55" t="s">
        <v>903</v>
      </c>
      <c r="G222" s="5" t="n">
        <v>146141</v>
      </c>
      <c r="H222" s="55" t="s">
        <v>248</v>
      </c>
      <c r="I222" s="113" t="s">
        <v>904</v>
      </c>
      <c r="J222" s="52" t="n">
        <v>48</v>
      </c>
      <c r="K222" s="55" t="s">
        <v>40</v>
      </c>
      <c r="L222" s="51" t="n">
        <v>90</v>
      </c>
      <c r="M222" s="51" t="n">
        <v>4320</v>
      </c>
      <c r="N222" s="52" t="s">
        <v>194</v>
      </c>
    </row>
    <row r="223" s="1" customFormat="true" ht="26.85" hidden="false" customHeight="false" outlineLevel="0" collapsed="false">
      <c r="A223" s="4"/>
      <c r="B223" s="6"/>
      <c r="C223" s="6"/>
      <c r="D223" s="6"/>
      <c r="E223" s="73"/>
      <c r="F223" s="55" t="s">
        <v>893</v>
      </c>
      <c r="G223" s="5" t="n">
        <v>146141</v>
      </c>
      <c r="H223" s="55" t="s">
        <v>181</v>
      </c>
      <c r="I223" s="113" t="s">
        <v>894</v>
      </c>
      <c r="J223" s="52" t="s">
        <v>986</v>
      </c>
      <c r="K223" s="55" t="s">
        <v>40</v>
      </c>
      <c r="L223" s="51" t="n">
        <v>100</v>
      </c>
      <c r="M223" s="51" t="n">
        <v>9600</v>
      </c>
      <c r="N223" s="52" t="s">
        <v>194</v>
      </c>
    </row>
    <row r="224" s="1" customFormat="true" ht="26.85" hidden="false" customHeight="false" outlineLevel="0" collapsed="false">
      <c r="A224" s="4"/>
      <c r="B224" s="6"/>
      <c r="C224" s="6"/>
      <c r="D224" s="6"/>
      <c r="E224" s="73"/>
      <c r="F224" s="31" t="s">
        <v>943</v>
      </c>
      <c r="G224" s="53" t="n">
        <v>146140</v>
      </c>
      <c r="H224" s="31" t="s">
        <v>183</v>
      </c>
      <c r="I224" s="64" t="s">
        <v>944</v>
      </c>
      <c r="J224" s="9" t="s">
        <v>154</v>
      </c>
      <c r="K224" s="31" t="s">
        <v>40</v>
      </c>
      <c r="L224" s="39" t="n">
        <v>1700</v>
      </c>
      <c r="M224" s="39" t="n">
        <v>1700</v>
      </c>
      <c r="N224" s="9" t="s">
        <v>18</v>
      </c>
    </row>
    <row r="225" s="1" customFormat="true" ht="26.85" hidden="false" customHeight="false" outlineLevel="0" collapsed="false">
      <c r="A225" s="4"/>
      <c r="B225" s="6"/>
      <c r="C225" s="6"/>
      <c r="D225" s="6"/>
      <c r="E225" s="73"/>
      <c r="F225" s="31" t="s">
        <v>342</v>
      </c>
      <c r="G225" s="53" t="n">
        <v>146140</v>
      </c>
      <c r="H225" s="31" t="s">
        <v>255</v>
      </c>
      <c r="I225" s="64" t="s">
        <v>945</v>
      </c>
      <c r="J225" s="9" t="s">
        <v>159</v>
      </c>
      <c r="K225" s="31" t="s">
        <v>40</v>
      </c>
      <c r="L225" s="39" t="n">
        <v>6961</v>
      </c>
      <c r="M225" s="39" t="n">
        <v>13922</v>
      </c>
      <c r="N225" s="9" t="s">
        <v>18</v>
      </c>
    </row>
    <row r="226" s="1" customFormat="true" ht="26.85" hidden="false" customHeight="false" outlineLevel="0" collapsed="false">
      <c r="A226" s="4"/>
      <c r="B226" s="6"/>
      <c r="C226" s="6"/>
      <c r="D226" s="6"/>
      <c r="E226" s="73"/>
      <c r="F226" s="31" t="s">
        <v>946</v>
      </c>
      <c r="G226" s="53" t="n">
        <v>146140</v>
      </c>
      <c r="H226" s="31" t="s">
        <v>258</v>
      </c>
      <c r="I226" s="64" t="s">
        <v>947</v>
      </c>
      <c r="J226" s="9" t="s">
        <v>224</v>
      </c>
      <c r="K226" s="31" t="s">
        <v>40</v>
      </c>
      <c r="L226" s="39" t="n">
        <v>160</v>
      </c>
      <c r="M226" s="39" t="n">
        <v>640</v>
      </c>
      <c r="N226" s="9" t="s">
        <v>18</v>
      </c>
    </row>
    <row r="227" s="1" customFormat="true" ht="26.85" hidden="false" customHeight="false" outlineLevel="0" collapsed="false">
      <c r="A227" s="4"/>
      <c r="B227" s="6"/>
      <c r="C227" s="6"/>
      <c r="D227" s="6"/>
      <c r="E227" s="73"/>
      <c r="F227" s="31" t="s">
        <v>948</v>
      </c>
      <c r="G227" s="53" t="n">
        <v>146140</v>
      </c>
      <c r="H227" s="31" t="s">
        <v>261</v>
      </c>
      <c r="I227" s="64" t="s">
        <v>949</v>
      </c>
      <c r="J227" s="9" t="s">
        <v>159</v>
      </c>
      <c r="K227" s="31" t="s">
        <v>40</v>
      </c>
      <c r="L227" s="39" t="n">
        <v>4150</v>
      </c>
      <c r="M227" s="39" t="n">
        <v>8300</v>
      </c>
      <c r="N227" s="9" t="s">
        <v>18</v>
      </c>
    </row>
    <row r="228" s="1" customFormat="true" ht="26.85" hidden="false" customHeight="false" outlineLevel="0" collapsed="false">
      <c r="A228" s="4"/>
      <c r="B228" s="6"/>
      <c r="C228" s="6"/>
      <c r="D228" s="6"/>
      <c r="E228" s="73"/>
      <c r="F228" s="31" t="s">
        <v>950</v>
      </c>
      <c r="G228" s="53" t="n">
        <v>146140</v>
      </c>
      <c r="H228" s="31" t="s">
        <v>264</v>
      </c>
      <c r="I228" s="64" t="s">
        <v>951</v>
      </c>
      <c r="J228" s="9" t="s">
        <v>159</v>
      </c>
      <c r="K228" s="31" t="s">
        <v>40</v>
      </c>
      <c r="L228" s="39" t="n">
        <v>7745</v>
      </c>
      <c r="M228" s="39" t="n">
        <v>15490</v>
      </c>
      <c r="N228" s="9" t="s">
        <v>18</v>
      </c>
    </row>
    <row r="229" s="1" customFormat="true" ht="26.85" hidden="false" customHeight="false" outlineLevel="0" collapsed="false">
      <c r="A229" s="4"/>
      <c r="B229" s="6"/>
      <c r="C229" s="6"/>
      <c r="D229" s="6"/>
      <c r="E229" s="73"/>
      <c r="F229" s="31" t="s">
        <v>744</v>
      </c>
      <c r="G229" s="53" t="n">
        <v>146142</v>
      </c>
      <c r="H229" s="31" t="s">
        <v>109</v>
      </c>
      <c r="I229" s="64" t="s">
        <v>745</v>
      </c>
      <c r="J229" s="9" t="s">
        <v>229</v>
      </c>
      <c r="K229" s="31" t="s">
        <v>164</v>
      </c>
      <c r="L229" s="39" t="n">
        <v>121.0108</v>
      </c>
      <c r="M229" s="39" t="n">
        <v>726.06</v>
      </c>
      <c r="N229" s="9" t="s">
        <v>18</v>
      </c>
    </row>
    <row r="230" s="1" customFormat="true" ht="26.85" hidden="false" customHeight="false" outlineLevel="0" collapsed="false">
      <c r="A230" s="4"/>
      <c r="B230" s="6"/>
      <c r="C230" s="6"/>
      <c r="D230" s="6"/>
      <c r="E230" s="73"/>
      <c r="F230" s="31" t="s">
        <v>952</v>
      </c>
      <c r="G230" s="53" t="n">
        <v>146142</v>
      </c>
      <c r="H230" s="31" t="s">
        <v>268</v>
      </c>
      <c r="I230" s="64" t="s">
        <v>953</v>
      </c>
      <c r="J230" s="9" t="s">
        <v>987</v>
      </c>
      <c r="K230" s="31" t="s">
        <v>164</v>
      </c>
      <c r="L230" s="39" t="n">
        <v>2253.8254</v>
      </c>
      <c r="M230" s="39" t="n">
        <v>757285.33</v>
      </c>
      <c r="N230" s="9" t="s">
        <v>18</v>
      </c>
    </row>
    <row r="231" s="1" customFormat="true" ht="26.85" hidden="false" customHeight="false" outlineLevel="0" collapsed="false">
      <c r="A231" s="4"/>
      <c r="B231" s="6"/>
      <c r="C231" s="6"/>
      <c r="D231" s="6"/>
      <c r="E231" s="73"/>
      <c r="F231" s="31" t="s">
        <v>328</v>
      </c>
      <c r="G231" s="53" t="n">
        <v>146142</v>
      </c>
      <c r="H231" s="31" t="s">
        <v>270</v>
      </c>
      <c r="I231" s="64" t="s">
        <v>329</v>
      </c>
      <c r="J231" s="9" t="s">
        <v>988</v>
      </c>
      <c r="K231" s="31" t="s">
        <v>164</v>
      </c>
      <c r="L231" s="39" t="n">
        <v>2979.5341</v>
      </c>
      <c r="M231" s="39" t="n">
        <v>214526.46</v>
      </c>
      <c r="N231" s="9" t="s">
        <v>18</v>
      </c>
    </row>
    <row r="232" s="1" customFormat="true" ht="26.85" hidden="false" customHeight="false" outlineLevel="0" collapsed="false">
      <c r="A232" s="4"/>
      <c r="B232" s="6"/>
      <c r="C232" s="6"/>
      <c r="D232" s="6"/>
      <c r="E232" s="73"/>
      <c r="F232" s="31" t="s">
        <v>954</v>
      </c>
      <c r="G232" s="53" t="n">
        <v>146142</v>
      </c>
      <c r="H232" s="31" t="s">
        <v>274</v>
      </c>
      <c r="I232" s="64" t="s">
        <v>955</v>
      </c>
      <c r="J232" s="9" t="n">
        <v>6.15</v>
      </c>
      <c r="K232" s="31" t="s">
        <v>164</v>
      </c>
      <c r="L232" s="39" t="n">
        <v>4607.8406</v>
      </c>
      <c r="M232" s="39" t="n">
        <v>27647.04</v>
      </c>
      <c r="N232" s="9" t="s">
        <v>18</v>
      </c>
    </row>
    <row r="233" s="1" customFormat="true" ht="64.9" hidden="false" customHeight="false" outlineLevel="0" collapsed="false">
      <c r="A233" s="4"/>
      <c r="B233" s="6"/>
      <c r="C233" s="6"/>
      <c r="D233" s="6"/>
      <c r="E233" s="73"/>
      <c r="F233" s="31" t="s">
        <v>905</v>
      </c>
      <c r="G233" s="53" t="n">
        <v>147126</v>
      </c>
      <c r="H233" s="31" t="s">
        <v>277</v>
      </c>
      <c r="I233" s="64" t="s">
        <v>906</v>
      </c>
      <c r="J233" s="9" t="n">
        <v>2</v>
      </c>
      <c r="K233" s="31" t="s">
        <v>40</v>
      </c>
      <c r="L233" s="39" t="n">
        <v>58826</v>
      </c>
      <c r="M233" s="39" t="n">
        <v>117652</v>
      </c>
      <c r="N233" s="9" t="s">
        <v>18</v>
      </c>
    </row>
    <row r="234" s="1" customFormat="true" ht="64.9" hidden="false" customHeight="false" outlineLevel="0" collapsed="false">
      <c r="A234" s="4"/>
      <c r="B234" s="6"/>
      <c r="C234" s="6"/>
      <c r="D234" s="6"/>
      <c r="E234" s="73"/>
      <c r="F234" s="31" t="s">
        <v>907</v>
      </c>
      <c r="G234" s="53" t="n">
        <v>147126</v>
      </c>
      <c r="H234" s="31" t="s">
        <v>280</v>
      </c>
      <c r="I234" s="64" t="s">
        <v>908</v>
      </c>
      <c r="J234" s="9" t="s">
        <v>159</v>
      </c>
      <c r="K234" s="31" t="s">
        <v>40</v>
      </c>
      <c r="L234" s="39" t="n">
        <v>81187.2</v>
      </c>
      <c r="M234" s="39" t="n">
        <v>162374.4</v>
      </c>
      <c r="N234" s="9" t="s">
        <v>18</v>
      </c>
    </row>
    <row r="235" s="1" customFormat="true" ht="64.9" hidden="false" customHeight="false" outlineLevel="0" collapsed="false">
      <c r="A235" s="4"/>
      <c r="B235" s="6"/>
      <c r="C235" s="6"/>
      <c r="D235" s="6"/>
      <c r="E235" s="73"/>
      <c r="F235" s="31" t="s">
        <v>956</v>
      </c>
      <c r="G235" s="53" t="n">
        <v>147127</v>
      </c>
      <c r="H235" s="31" t="s">
        <v>283</v>
      </c>
      <c r="I235" s="64" t="s">
        <v>957</v>
      </c>
      <c r="J235" s="9" t="s">
        <v>159</v>
      </c>
      <c r="K235" s="31" t="s">
        <v>40</v>
      </c>
      <c r="L235" s="39" t="n">
        <v>95621</v>
      </c>
      <c r="M235" s="39" t="n">
        <v>191242</v>
      </c>
      <c r="N235" s="9" t="s">
        <v>18</v>
      </c>
    </row>
    <row r="236" s="1" customFormat="true" ht="102.95" hidden="false" customHeight="false" outlineLevel="0" collapsed="false">
      <c r="A236" s="4"/>
      <c r="B236" s="6"/>
      <c r="C236" s="6"/>
      <c r="D236" s="6"/>
      <c r="E236" s="73"/>
      <c r="F236" s="31" t="s">
        <v>958</v>
      </c>
      <c r="G236" s="53" t="n">
        <v>147126</v>
      </c>
      <c r="H236" s="31" t="s">
        <v>286</v>
      </c>
      <c r="I236" s="64" t="s">
        <v>959</v>
      </c>
      <c r="J236" s="9" t="s">
        <v>159</v>
      </c>
      <c r="K236" s="31" t="s">
        <v>40</v>
      </c>
      <c r="L236" s="39" t="n">
        <v>55316.8</v>
      </c>
      <c r="M236" s="39" t="n">
        <v>110633.6</v>
      </c>
      <c r="N236" s="9" t="s">
        <v>18</v>
      </c>
    </row>
    <row r="237" s="1" customFormat="true" ht="90.25" hidden="false" customHeight="false" outlineLevel="0" collapsed="false">
      <c r="A237" s="4"/>
      <c r="B237" s="6"/>
      <c r="C237" s="6"/>
      <c r="D237" s="6"/>
      <c r="E237" s="73"/>
      <c r="F237" s="32" t="s">
        <v>960</v>
      </c>
      <c r="G237" s="32"/>
      <c r="H237" s="32" t="s">
        <v>289</v>
      </c>
      <c r="I237" s="148" t="s">
        <v>961</v>
      </c>
      <c r="J237" s="20" t="s">
        <v>159</v>
      </c>
      <c r="K237" s="32" t="s">
        <v>40</v>
      </c>
      <c r="L237" s="20"/>
      <c r="M237" s="20"/>
      <c r="N237" s="20" t="s">
        <v>366</v>
      </c>
    </row>
  </sheetData>
  <autoFilter ref="A1:N237"/>
  <mergeCells count="48">
    <mergeCell ref="A6:A48"/>
    <mergeCell ref="B6:B48"/>
    <mergeCell ref="C6:C48"/>
    <mergeCell ref="D6:D48"/>
    <mergeCell ref="A50:A51"/>
    <mergeCell ref="B50:B51"/>
    <mergeCell ref="C50:C51"/>
    <mergeCell ref="D50:D51"/>
    <mergeCell ref="A53:A54"/>
    <mergeCell ref="B53:B54"/>
    <mergeCell ref="C53:C54"/>
    <mergeCell ref="D53:D54"/>
    <mergeCell ref="A56:A59"/>
    <mergeCell ref="B56:B59"/>
    <mergeCell ref="C56:C59"/>
    <mergeCell ref="D56:D59"/>
    <mergeCell ref="A61:A84"/>
    <mergeCell ref="B61:B84"/>
    <mergeCell ref="C61:C84"/>
    <mergeCell ref="D61:D84"/>
    <mergeCell ref="A86:A95"/>
    <mergeCell ref="B86:B95"/>
    <mergeCell ref="C86:C95"/>
    <mergeCell ref="D86:D95"/>
    <mergeCell ref="A97:A124"/>
    <mergeCell ref="B97:B124"/>
    <mergeCell ref="C97:C124"/>
    <mergeCell ref="D97:D124"/>
    <mergeCell ref="A126:A153"/>
    <mergeCell ref="B126:B153"/>
    <mergeCell ref="C126:C153"/>
    <mergeCell ref="D126:D153"/>
    <mergeCell ref="A155:A164"/>
    <mergeCell ref="B155:B164"/>
    <mergeCell ref="C155:C164"/>
    <mergeCell ref="D155:D164"/>
    <mergeCell ref="A166:A175"/>
    <mergeCell ref="B166:B175"/>
    <mergeCell ref="C166:C175"/>
    <mergeCell ref="D166:D175"/>
    <mergeCell ref="A177:A208"/>
    <mergeCell ref="B177:B208"/>
    <mergeCell ref="C177:C208"/>
    <mergeCell ref="D177:D208"/>
    <mergeCell ref="A210:A237"/>
    <mergeCell ref="B210:B237"/>
    <mergeCell ref="C210:C237"/>
    <mergeCell ref="D210:D23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
  <sheetViews>
    <sheetView showFormulas="false" showGridLines="true" showRowColHeaders="true" showZeros="true" rightToLeft="false" tabSelected="false" showOutlineSymbols="true" defaultGridColor="true" view="normal" topLeftCell="A12" colorId="64" zoomScale="70" zoomScaleNormal="70" zoomScalePageLayoutView="100" workbookViewId="0">
      <selection pane="topLeft" activeCell="I22" activeCellId="0" sqref="I22"/>
    </sheetView>
  </sheetViews>
  <sheetFormatPr defaultColWidth="10.59765625" defaultRowHeight="12.8" zeroHeight="false" outlineLevelRow="0" outlineLevelCol="0"/>
  <cols>
    <col collapsed="false" customWidth="true" hidden="false" outlineLevel="0" max="1" min="1" style="0" width="11"/>
    <col collapsed="false" customWidth="true" hidden="false" outlineLevel="0" max="2" min="2" style="0" width="7.67"/>
    <col collapsed="false" customWidth="true" hidden="false" outlineLevel="0" max="3" min="3" style="0" width="22.22"/>
    <col collapsed="false" customWidth="true" hidden="false" outlineLevel="0" max="4" min="4" style="0" width="23.78"/>
    <col collapsed="false" customWidth="true" hidden="false" outlineLevel="0" max="6" min="6" style="0" width="10.34"/>
    <col collapsed="false" customWidth="true" hidden="false" outlineLevel="0" max="7" min="7" style="0" width="4"/>
    <col collapsed="false" customWidth="true" hidden="false" outlineLevel="0" max="8" min="8" style="0" width="4.55"/>
    <col collapsed="false" customWidth="true" hidden="false" outlineLevel="0" max="9" min="9" style="0" width="117.33"/>
    <col collapsed="false" customWidth="true" hidden="false" outlineLevel="0" max="14" min="14" style="0" width="13.56"/>
  </cols>
  <sheetData>
    <row r="1" customFormat="false" ht="13.8" hidden="false" customHeight="false" outlineLevel="0" collapsed="false">
      <c r="A1" s="65" t="s">
        <v>0</v>
      </c>
      <c r="B1" s="65" t="s">
        <v>1</v>
      </c>
      <c r="C1" s="65" t="s">
        <v>2</v>
      </c>
      <c r="D1" s="65" t="s">
        <v>496</v>
      </c>
      <c r="E1" s="65" t="s">
        <v>325</v>
      </c>
      <c r="F1" s="66" t="s">
        <v>497</v>
      </c>
      <c r="G1" s="65" t="s">
        <v>5</v>
      </c>
      <c r="H1" s="65" t="s">
        <v>6</v>
      </c>
      <c r="I1" s="65" t="s">
        <v>7</v>
      </c>
      <c r="J1" s="65" t="s">
        <v>8</v>
      </c>
      <c r="K1" s="65" t="s">
        <v>9</v>
      </c>
      <c r="L1" s="65" t="s">
        <v>498</v>
      </c>
      <c r="M1" s="65" t="s">
        <v>499</v>
      </c>
      <c r="N1" s="65" t="s">
        <v>500</v>
      </c>
    </row>
    <row r="2" customFormat="false" ht="26.85" hidden="false" customHeight="false" outlineLevel="0" collapsed="false">
      <c r="A2" s="149" t="n">
        <v>46108</v>
      </c>
      <c r="B2" s="52" t="n">
        <v>178647</v>
      </c>
      <c r="C2" s="68" t="s">
        <v>989</v>
      </c>
      <c r="D2" s="68" t="s">
        <v>506</v>
      </c>
      <c r="E2" s="52"/>
      <c r="F2" s="26" t="s">
        <v>990</v>
      </c>
      <c r="G2" s="20"/>
      <c r="H2" s="20" t="n">
        <v>1</v>
      </c>
      <c r="I2" s="21" t="s">
        <v>991</v>
      </c>
      <c r="J2" s="20" t="n">
        <v>8</v>
      </c>
      <c r="K2" s="20" t="s">
        <v>21</v>
      </c>
      <c r="L2" s="20"/>
      <c r="M2" s="20"/>
      <c r="N2" s="20" t="s">
        <v>366</v>
      </c>
    </row>
    <row r="3" customFormat="false" ht="13.8" hidden="false" customHeight="false" outlineLevel="0" collapsed="false">
      <c r="A3" s="65" t="s">
        <v>0</v>
      </c>
      <c r="B3" s="65" t="s">
        <v>1</v>
      </c>
      <c r="C3" s="65" t="s">
        <v>2</v>
      </c>
      <c r="D3" s="65" t="s">
        <v>496</v>
      </c>
      <c r="E3" s="65" t="s">
        <v>325</v>
      </c>
      <c r="F3" s="66" t="s">
        <v>497</v>
      </c>
      <c r="G3" s="65" t="s">
        <v>5</v>
      </c>
      <c r="H3" s="65" t="s">
        <v>6</v>
      </c>
      <c r="I3" s="65" t="s">
        <v>7</v>
      </c>
      <c r="J3" s="65" t="s">
        <v>8</v>
      </c>
      <c r="K3" s="65" t="s">
        <v>9</v>
      </c>
      <c r="L3" s="65" t="s">
        <v>498</v>
      </c>
      <c r="M3" s="65" t="s">
        <v>499</v>
      </c>
      <c r="N3" s="65" t="s">
        <v>500</v>
      </c>
    </row>
    <row r="4" customFormat="false" ht="39.55" hidden="false" customHeight="true" outlineLevel="0" collapsed="false">
      <c r="A4" s="67" t="n">
        <v>46109</v>
      </c>
      <c r="B4" s="52" t="n">
        <v>178731</v>
      </c>
      <c r="C4" s="68" t="s">
        <v>992</v>
      </c>
      <c r="D4" s="68" t="s">
        <v>506</v>
      </c>
      <c r="E4" s="52"/>
      <c r="F4" s="26" t="s">
        <v>668</v>
      </c>
      <c r="G4" s="20"/>
      <c r="H4" s="32" t="n">
        <v>1</v>
      </c>
      <c r="I4" s="21" t="s">
        <v>669</v>
      </c>
      <c r="J4" s="32" t="s">
        <v>154</v>
      </c>
      <c r="K4" s="32" t="s">
        <v>21</v>
      </c>
      <c r="L4" s="20"/>
      <c r="M4" s="20"/>
      <c r="N4" s="20" t="s">
        <v>366</v>
      </c>
    </row>
    <row r="5" customFormat="false" ht="26.85" hidden="false" customHeight="false" outlineLevel="0" collapsed="false">
      <c r="A5" s="67"/>
      <c r="B5" s="52"/>
      <c r="C5" s="68"/>
      <c r="D5" s="68"/>
      <c r="E5" s="52"/>
      <c r="F5" s="26" t="s">
        <v>993</v>
      </c>
      <c r="G5" s="20"/>
      <c r="H5" s="32" t="n">
        <v>2</v>
      </c>
      <c r="I5" s="21" t="s">
        <v>994</v>
      </c>
      <c r="J5" s="32" t="s">
        <v>154</v>
      </c>
      <c r="K5" s="32" t="s">
        <v>21</v>
      </c>
      <c r="L5" s="20"/>
      <c r="M5" s="20"/>
      <c r="N5" s="20" t="s">
        <v>366</v>
      </c>
    </row>
    <row r="6" customFormat="false" ht="26.85" hidden="false" customHeight="false" outlineLevel="0" collapsed="false">
      <c r="A6" s="67"/>
      <c r="B6" s="52"/>
      <c r="C6" s="68"/>
      <c r="D6" s="68"/>
      <c r="E6" s="52"/>
      <c r="F6" s="26" t="s">
        <v>995</v>
      </c>
      <c r="G6" s="20"/>
      <c r="H6" s="32" t="n">
        <v>3</v>
      </c>
      <c r="I6" s="21" t="s">
        <v>996</v>
      </c>
      <c r="J6" s="32" t="s">
        <v>154</v>
      </c>
      <c r="K6" s="32" t="s">
        <v>21</v>
      </c>
      <c r="L6" s="20"/>
      <c r="M6" s="20"/>
      <c r="N6" s="20" t="s">
        <v>366</v>
      </c>
    </row>
    <row r="7" customFormat="false" ht="26.85" hidden="false" customHeight="false" outlineLevel="0" collapsed="false">
      <c r="A7" s="67"/>
      <c r="B7" s="52"/>
      <c r="C7" s="68"/>
      <c r="D7" s="68"/>
      <c r="E7" s="52"/>
      <c r="F7" s="26" t="s">
        <v>997</v>
      </c>
      <c r="G7" s="26"/>
      <c r="H7" s="32" t="n">
        <v>4</v>
      </c>
      <c r="I7" s="21" t="s">
        <v>998</v>
      </c>
      <c r="J7" s="32" t="s">
        <v>224</v>
      </c>
      <c r="K7" s="32" t="s">
        <v>21</v>
      </c>
      <c r="L7" s="20"/>
      <c r="M7" s="20"/>
      <c r="N7" s="20" t="s">
        <v>366</v>
      </c>
    </row>
    <row r="8" customFormat="false" ht="26.85" hidden="false" customHeight="false" outlineLevel="0" collapsed="false">
      <c r="A8" s="67"/>
      <c r="B8" s="52"/>
      <c r="C8" s="68"/>
      <c r="D8" s="68"/>
      <c r="E8" s="52"/>
      <c r="F8" s="26" t="s">
        <v>999</v>
      </c>
      <c r="G8" s="20"/>
      <c r="H8" s="32" t="n">
        <v>5</v>
      </c>
      <c r="I8" s="21" t="s">
        <v>1000</v>
      </c>
      <c r="J8" s="32" t="s">
        <v>99</v>
      </c>
      <c r="K8" s="32" t="s">
        <v>21</v>
      </c>
      <c r="L8" s="20"/>
      <c r="M8" s="20"/>
      <c r="N8" s="20" t="s">
        <v>366</v>
      </c>
    </row>
    <row r="9" customFormat="false" ht="26.85" hidden="false" customHeight="false" outlineLevel="0" collapsed="false">
      <c r="A9" s="67"/>
      <c r="B9" s="52"/>
      <c r="C9" s="68"/>
      <c r="D9" s="68"/>
      <c r="E9" s="52"/>
      <c r="F9" s="20" t="s">
        <v>1001</v>
      </c>
      <c r="G9" s="20"/>
      <c r="H9" s="32" t="n">
        <v>6</v>
      </c>
      <c r="I9" s="21" t="s">
        <v>267</v>
      </c>
      <c r="J9" s="32" t="s">
        <v>154</v>
      </c>
      <c r="K9" s="32" t="s">
        <v>21</v>
      </c>
      <c r="L9" s="20"/>
      <c r="M9" s="20"/>
      <c r="N9" s="20" t="s">
        <v>366</v>
      </c>
    </row>
    <row r="10" customFormat="false" ht="26.85" hidden="false" customHeight="false" outlineLevel="0" collapsed="false">
      <c r="A10" s="67"/>
      <c r="B10" s="52"/>
      <c r="C10" s="68"/>
      <c r="D10" s="68"/>
      <c r="E10" s="52"/>
      <c r="F10" s="26" t="s">
        <v>373</v>
      </c>
      <c r="G10" s="20"/>
      <c r="H10" s="32" t="n">
        <v>7</v>
      </c>
      <c r="I10" s="21" t="s">
        <v>374</v>
      </c>
      <c r="J10" s="32" t="s">
        <v>246</v>
      </c>
      <c r="K10" s="32" t="s">
        <v>21</v>
      </c>
      <c r="L10" s="20"/>
      <c r="M10" s="20"/>
      <c r="N10" s="20" t="s">
        <v>366</v>
      </c>
    </row>
    <row r="11" customFormat="false" ht="26.85" hidden="false" customHeight="false" outlineLevel="0" collapsed="false">
      <c r="A11" s="67"/>
      <c r="B11" s="52"/>
      <c r="C11" s="68"/>
      <c r="D11" s="68"/>
      <c r="E11" s="52"/>
      <c r="F11" s="26" t="s">
        <v>1002</v>
      </c>
      <c r="G11" s="20"/>
      <c r="H11" s="32" t="n">
        <v>8</v>
      </c>
      <c r="I11" s="21" t="s">
        <v>1003</v>
      </c>
      <c r="J11" s="32" t="s">
        <v>141</v>
      </c>
      <c r="K11" s="32" t="s">
        <v>21</v>
      </c>
      <c r="L11" s="20"/>
      <c r="M11" s="20"/>
      <c r="N11" s="20" t="s">
        <v>366</v>
      </c>
    </row>
    <row r="12" customFormat="false" ht="39.55" hidden="false" customHeight="false" outlineLevel="0" collapsed="false">
      <c r="A12" s="67"/>
      <c r="B12" s="52"/>
      <c r="C12" s="68"/>
      <c r="D12" s="68"/>
      <c r="E12" s="52"/>
      <c r="F12" s="26" t="s">
        <v>679</v>
      </c>
      <c r="G12" s="20"/>
      <c r="H12" s="32" t="n">
        <v>9</v>
      </c>
      <c r="I12" s="21" t="s">
        <v>1004</v>
      </c>
      <c r="J12" s="32" t="s">
        <v>224</v>
      </c>
      <c r="K12" s="32" t="s">
        <v>21</v>
      </c>
      <c r="L12" s="20"/>
      <c r="M12" s="20"/>
      <c r="N12" s="20" t="s">
        <v>366</v>
      </c>
    </row>
    <row r="13" customFormat="false" ht="26.85" hidden="false" customHeight="false" outlineLevel="0" collapsed="false">
      <c r="A13" s="67"/>
      <c r="B13" s="52"/>
      <c r="C13" s="68"/>
      <c r="D13" s="68"/>
      <c r="E13" s="52"/>
      <c r="F13" s="26" t="s">
        <v>657</v>
      </c>
      <c r="G13" s="20"/>
      <c r="H13" s="32" t="n">
        <v>10</v>
      </c>
      <c r="I13" s="21" t="s">
        <v>681</v>
      </c>
      <c r="J13" s="32" t="s">
        <v>154</v>
      </c>
      <c r="K13" s="32" t="s">
        <v>21</v>
      </c>
      <c r="L13" s="20"/>
      <c r="M13" s="20"/>
      <c r="N13" s="20" t="s">
        <v>366</v>
      </c>
    </row>
    <row r="14" customFormat="false" ht="26.85" hidden="false" customHeight="false" outlineLevel="0" collapsed="false">
      <c r="A14" s="67"/>
      <c r="B14" s="52"/>
      <c r="C14" s="68"/>
      <c r="D14" s="68"/>
      <c r="E14" s="52"/>
      <c r="F14" s="26" t="s">
        <v>682</v>
      </c>
      <c r="G14" s="20"/>
      <c r="H14" s="32" t="n">
        <v>11</v>
      </c>
      <c r="I14" s="21" t="s">
        <v>1005</v>
      </c>
      <c r="J14" s="32" t="s">
        <v>154</v>
      </c>
      <c r="K14" s="32" t="s">
        <v>21</v>
      </c>
      <c r="L14" s="20"/>
      <c r="M14" s="20"/>
      <c r="N14" s="20" t="s">
        <v>366</v>
      </c>
    </row>
    <row r="15" customFormat="false" ht="13.8" hidden="false" customHeight="false" outlineLevel="0" collapsed="false">
      <c r="A15" s="65" t="s">
        <v>0</v>
      </c>
      <c r="B15" s="65" t="s">
        <v>1</v>
      </c>
      <c r="C15" s="65" t="s">
        <v>2</v>
      </c>
      <c r="D15" s="65" t="s">
        <v>496</v>
      </c>
      <c r="E15" s="65" t="s">
        <v>325</v>
      </c>
      <c r="F15" s="66" t="s">
        <v>497</v>
      </c>
      <c r="G15" s="65" t="s">
        <v>5</v>
      </c>
      <c r="H15" s="65" t="s">
        <v>6</v>
      </c>
      <c r="I15" s="65" t="s">
        <v>7</v>
      </c>
      <c r="J15" s="65" t="s">
        <v>8</v>
      </c>
      <c r="K15" s="65" t="s">
        <v>9</v>
      </c>
      <c r="L15" s="65" t="s">
        <v>498</v>
      </c>
      <c r="M15" s="65" t="s">
        <v>499</v>
      </c>
      <c r="N15" s="65" t="s">
        <v>500</v>
      </c>
    </row>
    <row r="16" customFormat="false" ht="69" hidden="false" customHeight="true" outlineLevel="0" collapsed="false">
      <c r="A16" s="67" t="n">
        <v>46111</v>
      </c>
      <c r="B16" s="52" t="n">
        <v>178925</v>
      </c>
      <c r="C16" s="68" t="s">
        <v>1006</v>
      </c>
      <c r="D16" s="68" t="s">
        <v>506</v>
      </c>
      <c r="E16" s="6" t="s">
        <v>327</v>
      </c>
      <c r="F16" s="32" t="s">
        <v>406</v>
      </c>
      <c r="G16" s="60"/>
      <c r="H16" s="32" t="s">
        <v>154</v>
      </c>
      <c r="I16" s="61" t="s">
        <v>407</v>
      </c>
      <c r="J16" s="20" t="n">
        <v>1</v>
      </c>
      <c r="K16" s="32" t="s">
        <v>40</v>
      </c>
      <c r="L16" s="20"/>
      <c r="M16" s="20"/>
      <c r="N16" s="20" t="s">
        <v>366</v>
      </c>
    </row>
    <row r="17" customFormat="false" ht="13.8" hidden="false" customHeight="false" outlineLevel="0" collapsed="false">
      <c r="A17" s="65" t="s">
        <v>0</v>
      </c>
      <c r="B17" s="65" t="s">
        <v>1</v>
      </c>
      <c r="C17" s="65" t="s">
        <v>2</v>
      </c>
      <c r="D17" s="65" t="s">
        <v>496</v>
      </c>
      <c r="E17" s="65" t="s">
        <v>325</v>
      </c>
      <c r="F17" s="66" t="s">
        <v>497</v>
      </c>
      <c r="G17" s="65" t="s">
        <v>5</v>
      </c>
      <c r="H17" s="65" t="s">
        <v>6</v>
      </c>
      <c r="I17" s="65" t="s">
        <v>7</v>
      </c>
      <c r="J17" s="65" t="s">
        <v>8</v>
      </c>
      <c r="K17" s="65" t="s">
        <v>9</v>
      </c>
      <c r="L17" s="65" t="s">
        <v>498</v>
      </c>
      <c r="M17" s="65" t="s">
        <v>499</v>
      </c>
      <c r="N17" s="65" t="s">
        <v>500</v>
      </c>
    </row>
    <row r="18" customFormat="false" ht="28.5" hidden="false" customHeight="true" outlineLevel="0" collapsed="false">
      <c r="A18" s="67" t="n">
        <v>46104</v>
      </c>
      <c r="B18" s="52" t="n">
        <v>178085</v>
      </c>
      <c r="C18" s="52" t="s">
        <v>1007</v>
      </c>
      <c r="D18" s="68" t="s">
        <v>506</v>
      </c>
      <c r="E18" s="52"/>
      <c r="F18" s="18" t="s">
        <v>645</v>
      </c>
      <c r="G18" s="22"/>
      <c r="H18" s="60"/>
      <c r="I18" s="148" t="s">
        <v>646</v>
      </c>
      <c r="J18" s="20" t="n">
        <v>20</v>
      </c>
      <c r="K18" s="20"/>
      <c r="L18" s="20"/>
      <c r="M18" s="20"/>
      <c r="N18" s="20" t="s">
        <v>366</v>
      </c>
    </row>
    <row r="19" customFormat="false" ht="14.15" hidden="false" customHeight="false" outlineLevel="0" collapsed="false">
      <c r="A19" s="67"/>
      <c r="B19" s="52"/>
      <c r="C19" s="52"/>
      <c r="D19" s="68"/>
      <c r="E19" s="52"/>
      <c r="F19" s="19" t="s">
        <v>649</v>
      </c>
      <c r="G19" s="20"/>
      <c r="H19" s="20"/>
      <c r="I19" s="21" t="s">
        <v>651</v>
      </c>
      <c r="J19" s="20" t="n">
        <v>1</v>
      </c>
      <c r="K19" s="20"/>
      <c r="L19" s="20"/>
      <c r="M19" s="20"/>
      <c r="N19" s="20" t="s">
        <v>366</v>
      </c>
    </row>
    <row r="20" customFormat="false" ht="15" hidden="false" customHeight="true" outlineLevel="0" collapsed="false">
      <c r="A20" s="67"/>
      <c r="B20" s="52"/>
      <c r="C20" s="52"/>
      <c r="D20" s="68"/>
      <c r="E20" s="52"/>
      <c r="F20" s="19" t="s">
        <v>1008</v>
      </c>
      <c r="G20" s="20"/>
      <c r="H20" s="20"/>
      <c r="I20" s="21" t="s">
        <v>652</v>
      </c>
      <c r="J20" s="20" t="n">
        <v>1</v>
      </c>
      <c r="K20" s="20"/>
      <c r="L20" s="20"/>
      <c r="M20" s="20"/>
      <c r="N20" s="20" t="s">
        <v>366</v>
      </c>
    </row>
    <row r="21" customFormat="false" ht="13.8" hidden="false" customHeight="false" outlineLevel="0" collapsed="false">
      <c r="A21" s="65" t="s">
        <v>0</v>
      </c>
      <c r="B21" s="65" t="s">
        <v>1</v>
      </c>
      <c r="C21" s="65" t="s">
        <v>2</v>
      </c>
      <c r="D21" s="65" t="s">
        <v>496</v>
      </c>
      <c r="E21" s="65" t="s">
        <v>325</v>
      </c>
      <c r="F21" s="66" t="s">
        <v>497</v>
      </c>
      <c r="G21" s="65" t="s">
        <v>5</v>
      </c>
      <c r="H21" s="65" t="s">
        <v>6</v>
      </c>
      <c r="I21" s="65" t="s">
        <v>7</v>
      </c>
      <c r="J21" s="65" t="s">
        <v>8</v>
      </c>
      <c r="K21" s="65" t="s">
        <v>9</v>
      </c>
      <c r="L21" s="65" t="s">
        <v>498</v>
      </c>
      <c r="M21" s="65" t="s">
        <v>499</v>
      </c>
      <c r="N21" s="65" t="s">
        <v>500</v>
      </c>
    </row>
    <row r="22" customFormat="false" ht="28.5" hidden="false" customHeight="true" outlineLevel="0" collapsed="false">
      <c r="A22" s="67" t="n">
        <v>46094</v>
      </c>
      <c r="B22" s="52" t="n">
        <v>177265</v>
      </c>
      <c r="C22" s="52" t="s">
        <v>1009</v>
      </c>
      <c r="D22" s="68" t="s">
        <v>506</v>
      </c>
      <c r="E22" s="52"/>
      <c r="F22" s="26" t="s">
        <v>1010</v>
      </c>
      <c r="G22" s="20"/>
      <c r="H22" s="20" t="n">
        <v>1</v>
      </c>
      <c r="I22" s="33" t="s">
        <v>1011</v>
      </c>
      <c r="J22" s="20" t="n">
        <v>200</v>
      </c>
      <c r="K22" s="20"/>
      <c r="L22" s="20"/>
      <c r="M22" s="20"/>
      <c r="N22" s="20" t="s">
        <v>37</v>
      </c>
    </row>
    <row r="23" customFormat="false" ht="13.8" hidden="false" customHeight="false" outlineLevel="0" collapsed="false">
      <c r="A23" s="67"/>
      <c r="B23" s="52"/>
      <c r="C23" s="52"/>
      <c r="D23" s="68"/>
      <c r="E23" s="52"/>
      <c r="F23" s="26" t="s">
        <v>57</v>
      </c>
      <c r="G23" s="20"/>
      <c r="H23" s="20" t="n">
        <v>2</v>
      </c>
      <c r="I23" s="33" t="s">
        <v>58</v>
      </c>
      <c r="J23" s="20" t="n">
        <v>15</v>
      </c>
      <c r="K23" s="20"/>
      <c r="L23" s="20"/>
      <c r="M23" s="20"/>
      <c r="N23" s="20" t="s">
        <v>37</v>
      </c>
    </row>
    <row r="24" customFormat="false" ht="13.8" hidden="false" customHeight="false" outlineLevel="0" collapsed="false">
      <c r="A24" s="67"/>
      <c r="B24" s="52"/>
      <c r="C24" s="52"/>
      <c r="D24" s="68"/>
      <c r="E24" s="52"/>
      <c r="F24" s="26" t="s">
        <v>1012</v>
      </c>
      <c r="G24" s="20"/>
      <c r="H24" s="20" t="n">
        <v>3</v>
      </c>
      <c r="I24" s="33" t="s">
        <v>1013</v>
      </c>
      <c r="J24" s="20" t="n">
        <v>2</v>
      </c>
      <c r="K24" s="20"/>
      <c r="L24" s="20"/>
      <c r="M24" s="20"/>
      <c r="N24" s="20" t="s">
        <v>37</v>
      </c>
    </row>
    <row r="25" customFormat="false" ht="39.55" hidden="false" customHeight="false" outlineLevel="0" collapsed="false">
      <c r="A25" s="67"/>
      <c r="B25" s="52"/>
      <c r="C25" s="52"/>
      <c r="D25" s="68"/>
      <c r="E25" s="52"/>
      <c r="F25" s="26" t="s">
        <v>1014</v>
      </c>
      <c r="G25" s="20"/>
      <c r="H25" s="20" t="n">
        <v>4</v>
      </c>
      <c r="I25" s="21" t="s">
        <v>1015</v>
      </c>
      <c r="J25" s="20" t="n">
        <v>2</v>
      </c>
      <c r="K25" s="20"/>
      <c r="L25" s="20"/>
      <c r="M25" s="20"/>
      <c r="N25" s="20" t="s">
        <v>37</v>
      </c>
    </row>
    <row r="26" customFormat="false" ht="26.85" hidden="false" customHeight="false" outlineLevel="0" collapsed="false">
      <c r="A26" s="67"/>
      <c r="B26" s="52"/>
      <c r="C26" s="52"/>
      <c r="D26" s="68"/>
      <c r="E26" s="52"/>
      <c r="F26" s="26" t="s">
        <v>1016</v>
      </c>
      <c r="G26" s="20"/>
      <c r="H26" s="20" t="n">
        <v>5</v>
      </c>
      <c r="I26" s="21" t="s">
        <v>1017</v>
      </c>
      <c r="J26" s="20" t="n">
        <v>20</v>
      </c>
      <c r="K26" s="20"/>
      <c r="L26" s="20"/>
      <c r="M26" s="20"/>
      <c r="N26" s="20" t="s">
        <v>37</v>
      </c>
    </row>
    <row r="27" customFormat="false" ht="39" hidden="false" customHeight="true" outlineLevel="0" collapsed="false">
      <c r="A27" s="67"/>
      <c r="B27" s="52"/>
      <c r="C27" s="52"/>
      <c r="D27" s="68"/>
      <c r="E27" s="52"/>
      <c r="F27" s="26" t="s">
        <v>1018</v>
      </c>
      <c r="G27" s="20"/>
      <c r="H27" s="20" t="n">
        <v>6</v>
      </c>
      <c r="I27" s="21" t="s">
        <v>1019</v>
      </c>
      <c r="J27" s="20" t="n">
        <v>24</v>
      </c>
      <c r="K27" s="20"/>
      <c r="L27" s="20"/>
      <c r="M27" s="20"/>
      <c r="N27" s="20" t="s">
        <v>37</v>
      </c>
    </row>
    <row r="28" customFormat="false" ht="13.8" hidden="false" customHeight="false" outlineLevel="0" collapsed="false">
      <c r="A28" s="67"/>
      <c r="B28" s="52"/>
      <c r="C28" s="52"/>
      <c r="D28" s="68"/>
      <c r="E28" s="52"/>
      <c r="F28" s="26" t="s">
        <v>234</v>
      </c>
      <c r="G28" s="20"/>
      <c r="H28" s="20" t="n">
        <v>7</v>
      </c>
      <c r="I28" s="33" t="s">
        <v>236</v>
      </c>
      <c r="J28" s="20" t="n">
        <v>4</v>
      </c>
      <c r="K28" s="20"/>
      <c r="L28" s="20"/>
      <c r="M28" s="20"/>
      <c r="N28" s="20" t="s">
        <v>37</v>
      </c>
    </row>
    <row r="29" customFormat="false" ht="13.8" hidden="false" customHeight="false" outlineLevel="0" collapsed="false">
      <c r="A29" s="65" t="s">
        <v>0</v>
      </c>
      <c r="B29" s="65" t="s">
        <v>1</v>
      </c>
      <c r="C29" s="65" t="s">
        <v>2</v>
      </c>
      <c r="D29" s="65" t="s">
        <v>496</v>
      </c>
      <c r="E29" s="65" t="s">
        <v>325</v>
      </c>
      <c r="F29" s="66" t="s">
        <v>497</v>
      </c>
      <c r="G29" s="65" t="s">
        <v>5</v>
      </c>
      <c r="H29" s="65" t="s">
        <v>6</v>
      </c>
      <c r="I29" s="65" t="s">
        <v>7</v>
      </c>
      <c r="J29" s="65" t="s">
        <v>8</v>
      </c>
      <c r="K29" s="65" t="s">
        <v>9</v>
      </c>
      <c r="L29" s="65" t="s">
        <v>498</v>
      </c>
      <c r="M29" s="65" t="s">
        <v>499</v>
      </c>
      <c r="N29" s="65" t="s">
        <v>500</v>
      </c>
    </row>
    <row r="30" customFormat="false" ht="26.85" hidden="false" customHeight="false" outlineLevel="0" collapsed="false">
      <c r="A30" s="67" t="n">
        <v>46090</v>
      </c>
      <c r="B30" s="52" t="n">
        <v>176621</v>
      </c>
      <c r="C30" s="52" t="s">
        <v>1020</v>
      </c>
      <c r="D30" s="52" t="s">
        <v>506</v>
      </c>
      <c r="E30" s="52"/>
      <c r="F30" s="26" t="s">
        <v>1021</v>
      </c>
      <c r="G30" s="32" t="n">
        <v>148664</v>
      </c>
      <c r="H30" s="20" t="n">
        <v>1</v>
      </c>
      <c r="I30" s="21" t="s">
        <v>1022</v>
      </c>
      <c r="J30" s="20" t="n">
        <v>20</v>
      </c>
      <c r="K30" s="20" t="s">
        <v>40</v>
      </c>
      <c r="L30" s="23" t="n">
        <v>974.2725</v>
      </c>
      <c r="M30" s="23" t="n">
        <v>19485.45</v>
      </c>
      <c r="N30" s="20" t="s">
        <v>37</v>
      </c>
    </row>
    <row r="31" customFormat="false" ht="26.85" hidden="false" customHeight="false" outlineLevel="0" collapsed="false">
      <c r="A31" s="67"/>
      <c r="B31" s="52"/>
      <c r="C31" s="52"/>
      <c r="D31" s="52"/>
      <c r="E31" s="52"/>
      <c r="F31" s="26" t="n">
        <v>1404001</v>
      </c>
      <c r="G31" s="32" t="n">
        <v>148664</v>
      </c>
      <c r="H31" s="20" t="n">
        <v>2</v>
      </c>
      <c r="I31" s="33" t="s">
        <v>552</v>
      </c>
      <c r="J31" s="20" t="n">
        <v>15</v>
      </c>
      <c r="K31" s="20" t="s">
        <v>40</v>
      </c>
      <c r="L31" s="23" t="n">
        <v>708.694</v>
      </c>
      <c r="M31" s="23" t="n">
        <v>10630.41</v>
      </c>
      <c r="N31" s="20" t="s">
        <v>37</v>
      </c>
    </row>
    <row r="32" customFormat="false" ht="26.85" hidden="false" customHeight="false" outlineLevel="0" collapsed="false">
      <c r="A32" s="67"/>
      <c r="B32" s="52"/>
      <c r="C32" s="52"/>
      <c r="D32" s="52"/>
      <c r="E32" s="52"/>
      <c r="F32" s="26" t="n">
        <v>1403050</v>
      </c>
      <c r="G32" s="32" t="n">
        <v>148664</v>
      </c>
      <c r="H32" s="20" t="n">
        <v>3</v>
      </c>
      <c r="I32" s="33" t="s">
        <v>1023</v>
      </c>
      <c r="J32" s="20" t="n">
        <v>2</v>
      </c>
      <c r="K32" s="20" t="s">
        <v>40</v>
      </c>
      <c r="L32" s="23" t="n">
        <v>4951.31</v>
      </c>
      <c r="M32" s="23" t="n">
        <v>9902.62</v>
      </c>
      <c r="N32" s="20" t="s">
        <v>37</v>
      </c>
    </row>
    <row r="33" customFormat="false" ht="26.85" hidden="false" customHeight="false" outlineLevel="0" collapsed="false">
      <c r="A33" s="67"/>
      <c r="B33" s="52"/>
      <c r="C33" s="52"/>
      <c r="D33" s="52"/>
      <c r="E33" s="52"/>
      <c r="F33" s="26" t="n">
        <v>1208970</v>
      </c>
      <c r="G33" s="32" t="n">
        <v>148664</v>
      </c>
      <c r="H33" s="20" t="n">
        <v>4</v>
      </c>
      <c r="I33" s="33" t="s">
        <v>1024</v>
      </c>
      <c r="J33" s="20" t="n">
        <v>10</v>
      </c>
      <c r="K33" s="20" t="s">
        <v>40</v>
      </c>
      <c r="L33" s="23" t="n">
        <v>728.303</v>
      </c>
      <c r="M33" s="23" t="n">
        <v>7283.03</v>
      </c>
      <c r="N33" s="20" t="s">
        <v>37</v>
      </c>
    </row>
    <row r="34" customFormat="false" ht="13.8" hidden="false" customHeight="false" outlineLevel="0" collapsed="false">
      <c r="A34" s="67"/>
      <c r="B34" s="52"/>
      <c r="C34" s="52"/>
      <c r="D34" s="52"/>
      <c r="E34" s="52"/>
      <c r="F34" s="26" t="s">
        <v>300</v>
      </c>
      <c r="G34" s="20" t="n">
        <v>148767</v>
      </c>
      <c r="H34" s="20" t="n">
        <v>8</v>
      </c>
      <c r="I34" s="33" t="s">
        <v>302</v>
      </c>
      <c r="J34" s="20" t="n">
        <v>4</v>
      </c>
      <c r="K34" s="20"/>
      <c r="L34" s="20"/>
      <c r="M34" s="20"/>
      <c r="N34" s="20" t="s">
        <v>37</v>
      </c>
    </row>
    <row r="35" customFormat="false" ht="13.8" hidden="false" customHeight="false" outlineLevel="0" collapsed="false">
      <c r="A35" s="67"/>
      <c r="B35" s="52"/>
      <c r="C35" s="52"/>
      <c r="D35" s="52"/>
      <c r="E35" s="52"/>
      <c r="F35" s="26" t="s">
        <v>392</v>
      </c>
      <c r="G35" s="20" t="n">
        <v>148768</v>
      </c>
      <c r="H35" s="20" t="n">
        <v>9</v>
      </c>
      <c r="I35" s="33" t="s">
        <v>393</v>
      </c>
      <c r="J35" s="20" t="n">
        <v>5</v>
      </c>
      <c r="K35" s="20"/>
      <c r="L35" s="20"/>
      <c r="M35" s="20"/>
      <c r="N35" s="20" t="s">
        <v>37</v>
      </c>
    </row>
    <row r="36" customFormat="false" ht="13.8" hidden="false" customHeight="false" outlineLevel="0" collapsed="false">
      <c r="A36" s="67"/>
      <c r="B36" s="52"/>
      <c r="C36" s="52"/>
      <c r="D36" s="52"/>
      <c r="E36" s="52"/>
      <c r="F36" s="26" t="s">
        <v>1025</v>
      </c>
      <c r="G36" s="20" t="n">
        <v>148767</v>
      </c>
      <c r="H36" s="20" t="n">
        <v>10</v>
      </c>
      <c r="I36" s="33" t="s">
        <v>1026</v>
      </c>
      <c r="J36" s="20" t="n">
        <v>40</v>
      </c>
      <c r="K36" s="20"/>
      <c r="L36" s="20"/>
      <c r="M36" s="20"/>
      <c r="N36" s="20" t="s">
        <v>37</v>
      </c>
    </row>
  </sheetData>
  <mergeCells count="17">
    <mergeCell ref="A4:A14"/>
    <mergeCell ref="B4:B14"/>
    <mergeCell ref="C4:C14"/>
    <mergeCell ref="D4:D14"/>
    <mergeCell ref="A18:A20"/>
    <mergeCell ref="B18:B20"/>
    <mergeCell ref="C18:C20"/>
    <mergeCell ref="D18:D20"/>
    <mergeCell ref="E18:E20"/>
    <mergeCell ref="A22:A28"/>
    <mergeCell ref="B22:B28"/>
    <mergeCell ref="C22:C28"/>
    <mergeCell ref="D22:D28"/>
    <mergeCell ref="A30:A36"/>
    <mergeCell ref="B30:B36"/>
    <mergeCell ref="C30:C36"/>
    <mergeCell ref="D30:D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350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2026-04-16T16:11:13Z</dcterms:created>
  <dc:creator>Construccion Geolis</dc:creator>
  <dc:description/>
  <dc:language>es-ES</dc:language>
  <cp:lastModifiedBy/>
  <dcterms:modified xsi:type="dcterms:W3CDTF">2026-07-06T00:18:53Z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