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salcazart\Desktop\VERACRUZ\05.-PRESUPUESTOS\PRESUPUESTOS POR UN\"/>
    </mc:Choice>
  </mc:AlternateContent>
  <xr:revisionPtr revIDLastSave="0" documentId="13_ncr:1_{65B2DACD-CAF7-4DC5-B878-30451B9572F1}" xr6:coauthVersionLast="47" xr6:coauthVersionMax="47" xr10:uidLastSave="{00000000-0000-0000-0000-000000000000}"/>
  <bookViews>
    <workbookView xWindow="-110" yWindow="-110" windowWidth="19420" windowHeight="11620" tabRatio="757" firstSheet="14" activeTab="17" xr2:uid="{00000000-000D-0000-FFFF-FFFF00000000}"/>
  </bookViews>
  <sheets>
    <sheet name="SERVICIO" sheetId="34" r:id="rId1"/>
    <sheet name="Comparativa Anexo C" sheetId="35" r:id="rId2"/>
    <sheet name="GRÁFICA" sheetId="24" r:id="rId3"/>
    <sheet name="GRÁFICA II" sheetId="27" r:id="rId4"/>
    <sheet name="PREMISAS" sheetId="21" r:id="rId5"/>
    <sheet name="FLUJO" sheetId="23" r:id="rId6"/>
    <sheet name="EGRESOS" sheetId="18" r:id="rId7"/>
    <sheet name="F08 INGRESOS" sheetId="11" r:id="rId8"/>
    <sheet name="F00 INVERSIÓN" sheetId="22" r:id="rId9"/>
    <sheet name="F01 NÓMINA" sheetId="4" r:id="rId10"/>
    <sheet name="F01 EPP" sheetId="33" r:id="rId11"/>
    <sheet name="F01 UNIFORMES" sheetId="32" r:id="rId12"/>
    <sheet name="F02 INMUEBLES Y S" sheetId="5" r:id="rId13"/>
    <sheet name="F03 COM Y EQ COM" sheetId="6" r:id="rId14"/>
    <sheet name="F04 VEHÍCULOS Y COMB. " sheetId="7" r:id="rId15"/>
    <sheet name="F05 VIÁTICOS" sheetId="8" r:id="rId16"/>
    <sheet name="F06 (MAT,SERV &amp; EQUIPO)" sheetId="20" r:id="rId17"/>
    <sheet name="F07 OPERAC. (MAT,SERV &amp; EQUIPO)" sheetId="10" r:id="rId18"/>
  </sheets>
  <externalReferences>
    <externalReference r:id="rId19"/>
    <externalReference r:id="rId20"/>
    <externalReference r:id="rId21"/>
  </externalReferences>
  <definedNames>
    <definedName name="_xlnm.Print_Area" localSheetId="8">'F00 INVERSIÓN'!#REF!</definedName>
    <definedName name="_xlnm.Print_Area" localSheetId="10">'F01 EPP'!$C$2:$C$3</definedName>
    <definedName name="_xlnm.Print_Area" localSheetId="9">'F01 NÓMINA'!$L$2:$L$3</definedName>
    <definedName name="_xlnm.Print_Area" localSheetId="11">'F01 UNIFORMES'!#REF!</definedName>
    <definedName name="Departamentos" localSheetId="1">'[1]BD Competencias'!$F$14:$F$41</definedName>
    <definedName name="Departamentos">'[2]BD Competencias'!$F$14:$F$41</definedName>
    <definedName name="Display_Week">[3]ProjectSchedule!$I$3</definedName>
    <definedName name="Project_Start">[3]ProjectSchedule!$I$2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5" i="6" l="1"/>
  <c r="M105" i="10"/>
  <c r="E58" i="22"/>
  <c r="E57" i="22"/>
  <c r="H8" i="21"/>
  <c r="H9" i="21"/>
  <c r="H7" i="21"/>
  <c r="C8" i="21"/>
  <c r="C9" i="21"/>
  <c r="C7" i="21"/>
  <c r="E12" i="35"/>
  <c r="E6" i="35"/>
  <c r="E5" i="35"/>
  <c r="E4" i="35"/>
  <c r="I14" i="4" l="1"/>
  <c r="M86" i="10"/>
  <c r="L86" i="10"/>
  <c r="H10" i="21" l="1"/>
  <c r="E13" i="35" l="1"/>
  <c r="E14" i="35"/>
  <c r="E15" i="35"/>
  <c r="E16" i="35"/>
  <c r="D17" i="35"/>
  <c r="E17" i="35" l="1"/>
  <c r="H12" i="21"/>
  <c r="D8" i="35"/>
  <c r="E8" i="35" s="1"/>
  <c r="X18" i="4" l="1"/>
  <c r="D129" i="21" l="1"/>
  <c r="B129" i="21" s="1"/>
  <c r="E147" i="21"/>
  <c r="F147" i="21"/>
  <c r="G147" i="21"/>
  <c r="H147" i="21"/>
  <c r="H146" i="21"/>
  <c r="I147" i="21"/>
  <c r="J147" i="21"/>
  <c r="K147" i="21"/>
  <c r="L147" i="21"/>
  <c r="M147" i="21"/>
  <c r="N147" i="21"/>
  <c r="O147" i="21"/>
  <c r="P147" i="21"/>
  <c r="G141" i="21"/>
  <c r="B141" i="21" s="1"/>
  <c r="F146" i="21"/>
  <c r="B146" i="21"/>
  <c r="B145" i="21"/>
  <c r="B144" i="21"/>
  <c r="B143" i="21"/>
  <c r="B142" i="21"/>
  <c r="B140" i="21"/>
  <c r="B139" i="21"/>
  <c r="B138" i="21"/>
  <c r="B137" i="21"/>
  <c r="B136" i="21"/>
  <c r="B135" i="21"/>
  <c r="B134" i="21"/>
  <c r="B133" i="21"/>
  <c r="B132" i="21"/>
  <c r="B131" i="21"/>
  <c r="B130" i="21"/>
  <c r="B149" i="21"/>
  <c r="D133" i="21"/>
  <c r="D130" i="21"/>
  <c r="AA20" i="7"/>
  <c r="V176" i="10"/>
  <c r="F9" i="11" l="1"/>
  <c r="F10" i="11"/>
  <c r="F11" i="11"/>
  <c r="F12" i="11"/>
  <c r="F13" i="11"/>
  <c r="F8" i="11"/>
  <c r="I9" i="21"/>
  <c r="K9" i="21" s="1"/>
  <c r="M9" i="21" s="1"/>
  <c r="I10" i="21"/>
  <c r="K10" i="21" s="1"/>
  <c r="M10" i="21" s="1"/>
  <c r="I11" i="21"/>
  <c r="K11" i="21" s="1"/>
  <c r="I12" i="21"/>
  <c r="K12" i="21" s="1"/>
  <c r="N12" i="21" s="1"/>
  <c r="G33" i="22" l="1"/>
  <c r="H16" i="33"/>
  <c r="Y12" i="7" l="1"/>
  <c r="Z12" i="7" s="1"/>
  <c r="AB12" i="7"/>
  <c r="AC12" i="7" s="1"/>
  <c r="AD12" i="7" s="1"/>
  <c r="AF12" i="7" s="1"/>
  <c r="AG12" i="7" s="1"/>
  <c r="AH12" i="7" s="1"/>
  <c r="AI12" i="7" s="1"/>
  <c r="L12" i="7"/>
  <c r="H24" i="20"/>
  <c r="F21" i="8"/>
  <c r="F20" i="8"/>
  <c r="M174" i="10"/>
  <c r="N174" i="10" s="1"/>
  <c r="O174" i="10" s="1"/>
  <c r="P174" i="10" s="1"/>
  <c r="Q174" i="10" s="1"/>
  <c r="R174" i="10" s="1"/>
  <c r="S174" i="10" s="1"/>
  <c r="T174" i="10" s="1"/>
  <c r="U174" i="10" s="1"/>
  <c r="V174" i="10" s="1"/>
  <c r="Y174" i="10" s="1"/>
  <c r="G174" i="10"/>
  <c r="L10" i="7" l="1"/>
  <c r="L11" i="7"/>
  <c r="Y10" i="7" l="1"/>
  <c r="Z10" i="7" s="1"/>
  <c r="AB10" i="7" s="1"/>
  <c r="AC10" i="7" s="1"/>
  <c r="AD10" i="7" s="1"/>
  <c r="AF10" i="7" s="1"/>
  <c r="AG10" i="7" s="1"/>
  <c r="AH10" i="7" s="1"/>
  <c r="AI10" i="7" s="1"/>
  <c r="Y11" i="7"/>
  <c r="Z11" i="7" s="1"/>
  <c r="AB11" i="7" s="1"/>
  <c r="AC11" i="7" s="1"/>
  <c r="AD11" i="7" s="1"/>
  <c r="AF11" i="7" s="1"/>
  <c r="AG11" i="7" s="1"/>
  <c r="AH11" i="7" s="1"/>
  <c r="AI11" i="7" s="1"/>
  <c r="A11" i="23" l="1"/>
  <c r="N13" i="11"/>
  <c r="M13" i="11"/>
  <c r="G13" i="11" l="1"/>
  <c r="H13" i="11" s="1"/>
  <c r="I13" i="11"/>
  <c r="J13" i="11" s="1"/>
  <c r="K13" i="11" s="1"/>
  <c r="J12" i="21"/>
  <c r="L9" i="7"/>
  <c r="C83" i="34"/>
  <c r="M187" i="10"/>
  <c r="N187" i="10" s="1"/>
  <c r="O187" i="10" s="1"/>
  <c r="P187" i="10" s="1"/>
  <c r="Q187" i="10" s="1"/>
  <c r="R187" i="10" s="1"/>
  <c r="S187" i="10" s="1"/>
  <c r="T187" i="10" s="1"/>
  <c r="U187" i="10" s="1"/>
  <c r="V187" i="10" s="1"/>
  <c r="W187" i="10" s="1"/>
  <c r="X187" i="10" s="1"/>
  <c r="Y187" i="10" s="1"/>
  <c r="O186" i="10"/>
  <c r="P186" i="10" s="1"/>
  <c r="Q186" i="10" s="1"/>
  <c r="R186" i="10" s="1"/>
  <c r="S186" i="10" s="1"/>
  <c r="P185" i="10"/>
  <c r="S185" i="10" s="1"/>
  <c r="M173" i="10"/>
  <c r="N173" i="10" s="1"/>
  <c r="O173" i="10" s="1"/>
  <c r="P173" i="10" s="1"/>
  <c r="Q173" i="10" s="1"/>
  <c r="R173" i="10" s="1"/>
  <c r="U173" i="10" s="1"/>
  <c r="W173" i="10" s="1"/>
  <c r="X173" i="10" s="1"/>
  <c r="Y173" i="10" s="1"/>
  <c r="M172" i="10"/>
  <c r="N172" i="10" s="1"/>
  <c r="O172" i="10" s="1"/>
  <c r="R172" i="10" s="1"/>
  <c r="S172" i="10" s="1"/>
  <c r="U172" i="10" s="1"/>
  <c r="V172" i="10" s="1"/>
  <c r="W172" i="10" s="1"/>
  <c r="X172" i="10" s="1"/>
  <c r="Y172" i="10" s="1"/>
  <c r="M160" i="10"/>
  <c r="M159" i="10"/>
  <c r="M158" i="10"/>
  <c r="M157" i="10"/>
  <c r="M156" i="10"/>
  <c r="M141" i="10"/>
  <c r="N141" i="10" s="1"/>
  <c r="O141" i="10" s="1"/>
  <c r="P141" i="10" s="1"/>
  <c r="Q141" i="10" s="1"/>
  <c r="R141" i="10" s="1"/>
  <c r="S141" i="10" s="1"/>
  <c r="T141" i="10" s="1"/>
  <c r="U141" i="10" s="1"/>
  <c r="V141" i="10" s="1"/>
  <c r="W141" i="10" s="1"/>
  <c r="X141" i="10" s="1"/>
  <c r="Y141" i="10" s="1"/>
  <c r="M140" i="10"/>
  <c r="M115" i="10"/>
  <c r="N115" i="10" s="1"/>
  <c r="O115" i="10" s="1"/>
  <c r="P115" i="10" s="1"/>
  <c r="M114" i="10"/>
  <c r="N114" i="10" s="1"/>
  <c r="O114" i="10" s="1"/>
  <c r="P114" i="10" s="1"/>
  <c r="M113" i="10"/>
  <c r="N113" i="10" s="1"/>
  <c r="O113" i="10" s="1"/>
  <c r="P113" i="10" s="1"/>
  <c r="M112" i="10"/>
  <c r="N112" i="10" s="1"/>
  <c r="O112" i="10" s="1"/>
  <c r="P112" i="10" s="1"/>
  <c r="M111" i="10"/>
  <c r="P111" i="10" s="1"/>
  <c r="M110" i="10"/>
  <c r="M108" i="10"/>
  <c r="N108" i="10" s="1"/>
  <c r="O108" i="10" s="1"/>
  <c r="P108" i="10" s="1"/>
  <c r="M107" i="10"/>
  <c r="N107" i="10" s="1"/>
  <c r="O107" i="10" s="1"/>
  <c r="P107" i="10" s="1"/>
  <c r="M106" i="10"/>
  <c r="N106" i="10" s="1"/>
  <c r="O106" i="10" s="1"/>
  <c r="P106" i="10" s="1"/>
  <c r="M104" i="10"/>
  <c r="N104" i="10" s="1"/>
  <c r="O104" i="10" s="1"/>
  <c r="P104" i="10" s="1"/>
  <c r="N103" i="10"/>
  <c r="O103" i="10" s="1"/>
  <c r="P103" i="10" s="1"/>
  <c r="M103" i="10"/>
  <c r="M102" i="10"/>
  <c r="N102" i="10" s="1"/>
  <c r="O102" i="10" s="1"/>
  <c r="P102" i="10" s="1"/>
  <c r="M101" i="10"/>
  <c r="N101" i="10" s="1"/>
  <c r="O101" i="10" s="1"/>
  <c r="P101" i="10" s="1"/>
  <c r="P100" i="10"/>
  <c r="O100" i="10"/>
  <c r="N100" i="10"/>
  <c r="M100" i="10"/>
  <c r="M99" i="10"/>
  <c r="M97" i="10"/>
  <c r="N97" i="10" s="1"/>
  <c r="O97" i="10" s="1"/>
  <c r="P97" i="10" s="1"/>
  <c r="M96" i="10"/>
  <c r="N96" i="10" s="1"/>
  <c r="O96" i="10" s="1"/>
  <c r="P96" i="10" s="1"/>
  <c r="M95" i="10"/>
  <c r="M94" i="10"/>
  <c r="N94" i="10" s="1"/>
  <c r="O94" i="10" s="1"/>
  <c r="P94" i="10" s="1"/>
  <c r="N93" i="10"/>
  <c r="O93" i="10" s="1"/>
  <c r="P93" i="10" s="1"/>
  <c r="M93" i="10"/>
  <c r="P92" i="10"/>
  <c r="M92" i="10"/>
  <c r="M91" i="10"/>
  <c r="P90" i="10"/>
  <c r="M90" i="10"/>
  <c r="N90" i="10" s="1"/>
  <c r="O90" i="10" s="1"/>
  <c r="N89" i="10"/>
  <c r="O89" i="10" s="1"/>
  <c r="P89" i="10" s="1"/>
  <c r="M89" i="10"/>
  <c r="M85" i="10"/>
  <c r="M84" i="10"/>
  <c r="N84" i="10" s="1"/>
  <c r="O84" i="10" s="1"/>
  <c r="P84" i="10" s="1"/>
  <c r="M83" i="10"/>
  <c r="N83" i="10" s="1"/>
  <c r="O83" i="10" s="1"/>
  <c r="P83" i="10" s="1"/>
  <c r="M82" i="10"/>
  <c r="N82" i="10" s="1"/>
  <c r="O82" i="10" s="1"/>
  <c r="P82" i="10" s="1"/>
  <c r="M80" i="10"/>
  <c r="N80" i="10" s="1"/>
  <c r="O80" i="10" s="1"/>
  <c r="P80" i="10" s="1"/>
  <c r="M79" i="10"/>
  <c r="N79" i="10" s="1"/>
  <c r="O79" i="10" s="1"/>
  <c r="P79" i="10" s="1"/>
  <c r="M78" i="10"/>
  <c r="M77" i="10"/>
  <c r="N74" i="10"/>
  <c r="O74" i="10" s="1"/>
  <c r="P74" i="10" s="1"/>
  <c r="M73" i="10"/>
  <c r="N73" i="10" s="1"/>
  <c r="O73" i="10" s="1"/>
  <c r="P73" i="10" s="1"/>
  <c r="N71" i="10"/>
  <c r="O71" i="10" s="1"/>
  <c r="P71" i="10" s="1"/>
  <c r="N70" i="10"/>
  <c r="O70" i="10" s="1"/>
  <c r="P70" i="10" s="1"/>
  <c r="P69" i="10"/>
  <c r="P68" i="10"/>
  <c r="M67" i="10"/>
  <c r="N67" i="10" s="1"/>
  <c r="O67" i="10" s="1"/>
  <c r="P67" i="10" s="1"/>
  <c r="M66" i="10"/>
  <c r="N66" i="10" s="1"/>
  <c r="O66" i="10" s="1"/>
  <c r="P66" i="10" s="1"/>
  <c r="N65" i="10"/>
  <c r="O65" i="10" s="1"/>
  <c r="P65" i="10" s="1"/>
  <c r="O64" i="10"/>
  <c r="P64" i="10" s="1"/>
  <c r="N64" i="10"/>
  <c r="M64" i="10"/>
  <c r="M62" i="10"/>
  <c r="P62" i="10" s="1"/>
  <c r="M60" i="10"/>
  <c r="M59" i="10"/>
  <c r="N59" i="10" s="1"/>
  <c r="O59" i="10" s="1"/>
  <c r="P59" i="10" s="1"/>
  <c r="O58" i="10"/>
  <c r="P58" i="10" s="1"/>
  <c r="M58" i="10"/>
  <c r="M56" i="10"/>
  <c r="P55" i="10"/>
  <c r="M54" i="10"/>
  <c r="N54" i="10" s="1"/>
  <c r="P54" i="10" s="1"/>
  <c r="M37" i="10"/>
  <c r="N37" i="10" s="1"/>
  <c r="O37" i="10" s="1"/>
  <c r="P37" i="10" s="1"/>
  <c r="Q37" i="10" s="1"/>
  <c r="R37" i="10" s="1"/>
  <c r="S37" i="10" s="1"/>
  <c r="T37" i="10" s="1"/>
  <c r="U37" i="10" s="1"/>
  <c r="V37" i="10" s="1"/>
  <c r="W37" i="10" s="1"/>
  <c r="X37" i="10" s="1"/>
  <c r="Y37" i="10" s="1"/>
  <c r="M36" i="10"/>
  <c r="N36" i="10" s="1"/>
  <c r="O36" i="10" s="1"/>
  <c r="P36" i="10" s="1"/>
  <c r="Q36" i="10" s="1"/>
  <c r="R36" i="10" s="1"/>
  <c r="S36" i="10" s="1"/>
  <c r="T36" i="10" s="1"/>
  <c r="U36" i="10" s="1"/>
  <c r="V36" i="10" s="1"/>
  <c r="W36" i="10" s="1"/>
  <c r="X36" i="10" s="1"/>
  <c r="Y36" i="10" s="1"/>
  <c r="M35" i="10"/>
  <c r="N35" i="10" s="1"/>
  <c r="O35" i="10" s="1"/>
  <c r="P35" i="10" s="1"/>
  <c r="Q35" i="10" s="1"/>
  <c r="R35" i="10" s="1"/>
  <c r="S35" i="10" s="1"/>
  <c r="T35" i="10" s="1"/>
  <c r="U35" i="10" s="1"/>
  <c r="V35" i="10" s="1"/>
  <c r="W35" i="10" s="1"/>
  <c r="X35" i="10" s="1"/>
  <c r="Y35" i="10" s="1"/>
  <c r="M34" i="10"/>
  <c r="N34" i="10" s="1"/>
  <c r="O34" i="10" s="1"/>
  <c r="P34" i="10" s="1"/>
  <c r="Q34" i="10" s="1"/>
  <c r="R34" i="10" s="1"/>
  <c r="S34" i="10" s="1"/>
  <c r="T34" i="10" s="1"/>
  <c r="U34" i="10" s="1"/>
  <c r="V34" i="10" s="1"/>
  <c r="W34" i="10" s="1"/>
  <c r="X34" i="10" s="1"/>
  <c r="Y34" i="10" s="1"/>
  <c r="M33" i="10"/>
  <c r="N33" i="10" s="1"/>
  <c r="O33" i="10" s="1"/>
  <c r="P33" i="10" s="1"/>
  <c r="Q33" i="10" s="1"/>
  <c r="R33" i="10" s="1"/>
  <c r="S33" i="10" s="1"/>
  <c r="T33" i="10" s="1"/>
  <c r="U33" i="10" s="1"/>
  <c r="V33" i="10" s="1"/>
  <c r="W33" i="10" s="1"/>
  <c r="X33" i="10" s="1"/>
  <c r="Y33" i="10" s="1"/>
  <c r="N32" i="10"/>
  <c r="O32" i="10" s="1"/>
  <c r="P32" i="10" s="1"/>
  <c r="Q32" i="10" s="1"/>
  <c r="R32" i="10" s="1"/>
  <c r="S32" i="10" s="1"/>
  <c r="T32" i="10" s="1"/>
  <c r="U32" i="10" s="1"/>
  <c r="V32" i="10" s="1"/>
  <c r="W32" i="10" s="1"/>
  <c r="X32" i="10" s="1"/>
  <c r="Y32" i="10" s="1"/>
  <c r="M32" i="10"/>
  <c r="P10" i="10"/>
  <c r="G187" i="10"/>
  <c r="G186" i="10"/>
  <c r="G185" i="10"/>
  <c r="G173" i="10"/>
  <c r="G172" i="10"/>
  <c r="G154" i="10"/>
  <c r="G155" i="10"/>
  <c r="G156" i="10"/>
  <c r="G157" i="10"/>
  <c r="G158" i="10"/>
  <c r="G159" i="10"/>
  <c r="G160" i="10"/>
  <c r="G153" i="10"/>
  <c r="G152" i="10"/>
  <c r="G141" i="10"/>
  <c r="G140" i="10"/>
  <c r="G129" i="10"/>
  <c r="G128" i="10"/>
  <c r="G127" i="10"/>
  <c r="G126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53" i="10"/>
  <c r="G37" i="10"/>
  <c r="G36" i="10"/>
  <c r="G35" i="10"/>
  <c r="G34" i="10"/>
  <c r="G33" i="10"/>
  <c r="G32" i="10"/>
  <c r="G9" i="10"/>
  <c r="G10" i="10"/>
  <c r="G11" i="10"/>
  <c r="G12" i="10"/>
  <c r="G13" i="10"/>
  <c r="G14" i="10"/>
  <c r="G15" i="10"/>
  <c r="G8" i="10"/>
  <c r="H9" i="20"/>
  <c r="H10" i="20"/>
  <c r="H11" i="20"/>
  <c r="H12" i="20"/>
  <c r="H13" i="20"/>
  <c r="H14" i="20"/>
  <c r="H15" i="20"/>
  <c r="H16" i="20"/>
  <c r="H17" i="20"/>
  <c r="H18" i="20"/>
  <c r="H19" i="20"/>
  <c r="H20" i="20"/>
  <c r="H21" i="20"/>
  <c r="H22" i="20"/>
  <c r="H23" i="20"/>
  <c r="H25" i="20"/>
  <c r="H26" i="20"/>
  <c r="H27" i="20"/>
  <c r="H28" i="20"/>
  <c r="H29" i="20"/>
  <c r="H30" i="20"/>
  <c r="H31" i="20"/>
  <c r="H32" i="20"/>
  <c r="H33" i="20"/>
  <c r="H34" i="20"/>
  <c r="H35" i="20"/>
  <c r="H36" i="20"/>
  <c r="H37" i="20"/>
  <c r="H38" i="20"/>
  <c r="H39" i="20"/>
  <c r="H40" i="20"/>
  <c r="H41" i="20"/>
  <c r="H42" i="20"/>
  <c r="H8" i="20"/>
  <c r="N11" i="20"/>
  <c r="N12" i="20"/>
  <c r="N14" i="20"/>
  <c r="N15" i="20"/>
  <c r="N19" i="20"/>
  <c r="N21" i="20"/>
  <c r="N22" i="20"/>
  <c r="N23" i="20"/>
  <c r="N24" i="20"/>
  <c r="N25" i="20"/>
  <c r="N26" i="20"/>
  <c r="N27" i="20"/>
  <c r="N28" i="20"/>
  <c r="N29" i="20"/>
  <c r="N30" i="20"/>
  <c r="N31" i="20"/>
  <c r="N32" i="20"/>
  <c r="N34" i="20"/>
  <c r="N35" i="20"/>
  <c r="N36" i="20"/>
  <c r="N37" i="20"/>
  <c r="N38" i="20"/>
  <c r="N39" i="20"/>
  <c r="N40" i="20"/>
  <c r="N42" i="20"/>
  <c r="R13" i="11" l="1"/>
  <c r="H11" i="23" s="1"/>
  <c r="T13" i="11"/>
  <c r="J11" i="23" s="1"/>
  <c r="X13" i="11"/>
  <c r="N11" i="23" s="1"/>
  <c r="P13" i="11"/>
  <c r="F11" i="23" s="1"/>
  <c r="Q13" i="11"/>
  <c r="G11" i="23" s="1"/>
  <c r="S13" i="11"/>
  <c r="I11" i="23" s="1"/>
  <c r="U13" i="11"/>
  <c r="K11" i="23" s="1"/>
  <c r="V13" i="11"/>
  <c r="L11" i="23" s="1"/>
  <c r="Z13" i="11"/>
  <c r="P11" i="23" s="1"/>
  <c r="Y13" i="11"/>
  <c r="O11" i="23" s="1"/>
  <c r="W13" i="11"/>
  <c r="M11" i="23" s="1"/>
  <c r="O13" i="11"/>
  <c r="E11" i="23" s="1"/>
  <c r="R11" i="23" l="1"/>
  <c r="T11" i="23" s="1"/>
  <c r="F9" i="8"/>
  <c r="F10" i="8"/>
  <c r="F11" i="8"/>
  <c r="F12" i="8"/>
  <c r="F8" i="8"/>
  <c r="L8" i="7"/>
  <c r="G46" i="6"/>
  <c r="G45" i="6"/>
  <c r="G27" i="6"/>
  <c r="G28" i="6"/>
  <c r="G26" i="6"/>
  <c r="G19" i="6"/>
  <c r="G18" i="6"/>
  <c r="G17" i="6"/>
  <c r="G10" i="6"/>
  <c r="G9" i="6"/>
  <c r="G8" i="6"/>
  <c r="G32" i="22"/>
  <c r="H14" i="5"/>
  <c r="H9" i="5"/>
  <c r="H10" i="5"/>
  <c r="H11" i="5"/>
  <c r="H12" i="5"/>
  <c r="H13" i="5"/>
  <c r="H15" i="5"/>
  <c r="H16" i="5"/>
  <c r="H8" i="5"/>
  <c r="H9" i="32"/>
  <c r="H10" i="32"/>
  <c r="H11" i="32"/>
  <c r="H12" i="32"/>
  <c r="H13" i="32"/>
  <c r="H8" i="32"/>
  <c r="H9" i="33"/>
  <c r="H10" i="33"/>
  <c r="H11" i="33"/>
  <c r="H12" i="33"/>
  <c r="H13" i="33"/>
  <c r="H14" i="33"/>
  <c r="H15" i="33"/>
  <c r="H17" i="33"/>
  <c r="H8" i="33"/>
  <c r="K8" i="4" l="1"/>
  <c r="Q8" i="4"/>
  <c r="M8" i="4"/>
  <c r="L8" i="4"/>
  <c r="Q5" i="34"/>
  <c r="G21" i="22"/>
  <c r="G22" i="22"/>
  <c r="G23" i="22"/>
  <c r="G24" i="22"/>
  <c r="G25" i="22"/>
  <c r="G26" i="22"/>
  <c r="G27" i="22"/>
  <c r="G20" i="22"/>
  <c r="G14" i="22"/>
  <c r="G40" i="22"/>
  <c r="G39" i="22"/>
  <c r="G38" i="22"/>
  <c r="G37" i="22"/>
  <c r="G34" i="22"/>
  <c r="G9" i="22"/>
  <c r="G10" i="22"/>
  <c r="U28" i="22"/>
  <c r="V28" i="22"/>
  <c r="X28" i="22"/>
  <c r="Y28" i="22"/>
  <c r="Y41" i="22"/>
  <c r="X41" i="22"/>
  <c r="W41" i="22"/>
  <c r="V41" i="22"/>
  <c r="U41" i="22"/>
  <c r="T41" i="22"/>
  <c r="S41" i="22"/>
  <c r="R41" i="22"/>
  <c r="Q41" i="22"/>
  <c r="P41" i="22"/>
  <c r="O41" i="22"/>
  <c r="N41" i="22"/>
  <c r="M41" i="22"/>
  <c r="L41" i="22"/>
  <c r="V35" i="22"/>
  <c r="U35" i="22"/>
  <c r="P35" i="22"/>
  <c r="Y18" i="22"/>
  <c r="X18" i="22"/>
  <c r="V18" i="22"/>
  <c r="U18" i="22"/>
  <c r="T18" i="22"/>
  <c r="Q18" i="22"/>
  <c r="Q12" i="22"/>
  <c r="R12" i="22"/>
  <c r="T12" i="22"/>
  <c r="U12" i="22"/>
  <c r="X12" i="22"/>
  <c r="Y12" i="22"/>
  <c r="L12" i="22"/>
  <c r="G17" i="22"/>
  <c r="G16" i="22"/>
  <c r="G15" i="22"/>
  <c r="G8" i="22"/>
  <c r="Q8" i="11"/>
  <c r="G6" i="23" s="1"/>
  <c r="T8" i="11"/>
  <c r="J6" i="23" s="1"/>
  <c r="W8" i="11"/>
  <c r="M6" i="23" s="1"/>
  <c r="X8" i="11"/>
  <c r="N6" i="23" s="1"/>
  <c r="Y8" i="11"/>
  <c r="O6" i="23" s="1"/>
  <c r="Z8" i="11"/>
  <c r="P6" i="23" s="1"/>
  <c r="N10" i="11"/>
  <c r="D8" i="23" s="1"/>
  <c r="N11" i="11"/>
  <c r="D9" i="23" s="1"/>
  <c r="N12" i="11"/>
  <c r="D10" i="23" s="1"/>
  <c r="M9" i="11"/>
  <c r="C7" i="23" s="1"/>
  <c r="M10" i="11"/>
  <c r="C8" i="23" s="1"/>
  <c r="M11" i="11"/>
  <c r="C9" i="23" s="1"/>
  <c r="M12" i="11"/>
  <c r="C10" i="23" s="1"/>
  <c r="A9" i="23"/>
  <c r="E38" i="23"/>
  <c r="V11" i="23" s="1"/>
  <c r="X11" i="23" s="1"/>
  <c r="E15" i="21"/>
  <c r="E14" i="21"/>
  <c r="J7" i="21"/>
  <c r="R8" i="11" s="1"/>
  <c r="H6" i="23" s="1"/>
  <c r="J9" i="21" l="1"/>
  <c r="J10" i="21"/>
  <c r="J8" i="21"/>
  <c r="J11" i="21"/>
  <c r="U43" i="22"/>
  <c r="G8" i="11"/>
  <c r="H8" i="11" s="1"/>
  <c r="G9" i="11"/>
  <c r="H9" i="11" s="1"/>
  <c r="I8" i="21" l="1"/>
  <c r="G12" i="11"/>
  <c r="H12" i="11" s="1"/>
  <c r="K8" i="21" l="1"/>
  <c r="N8" i="21" s="1"/>
  <c r="N14" i="21" s="1"/>
  <c r="I9" i="11"/>
  <c r="J9" i="11" s="1"/>
  <c r="I7" i="21"/>
  <c r="K7" i="21" s="1"/>
  <c r="M7" i="21" s="1"/>
  <c r="M14" i="21" s="1"/>
  <c r="N9" i="11" l="1"/>
  <c r="D7" i="23" s="1"/>
  <c r="M8" i="11"/>
  <c r="C6" i="23" s="1"/>
  <c r="M15" i="21"/>
  <c r="O9" i="11"/>
  <c r="X9" i="11"/>
  <c r="N7" i="23" s="1"/>
  <c r="Y9" i="11"/>
  <c r="O7" i="23" s="1"/>
  <c r="Z9" i="11"/>
  <c r="P7" i="23" s="1"/>
  <c r="P9" i="11"/>
  <c r="F7" i="23" s="1"/>
  <c r="Q9" i="11"/>
  <c r="G7" i="23" s="1"/>
  <c r="R9" i="11"/>
  <c r="H7" i="23" s="1"/>
  <c r="S9" i="11"/>
  <c r="I7" i="23" s="1"/>
  <c r="T9" i="11"/>
  <c r="J7" i="23" s="1"/>
  <c r="U9" i="11"/>
  <c r="K7" i="23" s="1"/>
  <c r="V9" i="11"/>
  <c r="L7" i="23" s="1"/>
  <c r="W9" i="11"/>
  <c r="M7" i="23" s="1"/>
  <c r="S8" i="11"/>
  <c r="I6" i="23" s="1"/>
  <c r="O8" i="11"/>
  <c r="E6" i="23" s="1"/>
  <c r="U8" i="11"/>
  <c r="K6" i="23" s="1"/>
  <c r="V8" i="11"/>
  <c r="L6" i="23" s="1"/>
  <c r="I8" i="11"/>
  <c r="J8" i="11" s="1"/>
  <c r="C89" i="22"/>
  <c r="P8" i="11" l="1"/>
  <c r="F6" i="23" s="1"/>
  <c r="E7" i="23"/>
  <c r="C91" i="22"/>
  <c r="L20" i="8"/>
  <c r="L11" i="8"/>
  <c r="L10" i="8"/>
  <c r="N8" i="11" l="1"/>
  <c r="N15" i="21"/>
  <c r="R24" i="18"/>
  <c r="I8" i="4"/>
  <c r="D6" i="23" l="1"/>
  <c r="R6" i="23" s="1"/>
  <c r="N16" i="11"/>
  <c r="D5" i="34" s="1"/>
  <c r="R39" i="18"/>
  <c r="D156" i="34"/>
  <c r="D88" i="34"/>
  <c r="I88" i="34"/>
  <c r="D89" i="34"/>
  <c r="D90" i="34"/>
  <c r="D92" i="34"/>
  <c r="D93" i="34"/>
  <c r="D100" i="34"/>
  <c r="D101" i="34"/>
  <c r="D108" i="34"/>
  <c r="D121" i="34"/>
  <c r="D139" i="34"/>
  <c r="D140" i="34"/>
  <c r="D145" i="34"/>
  <c r="D43" i="34"/>
  <c r="D49" i="34"/>
  <c r="D51" i="34"/>
  <c r="D61" i="34"/>
  <c r="F26" i="34"/>
  <c r="D15" i="34"/>
  <c r="D19" i="34"/>
  <c r="D20" i="34"/>
  <c r="D21" i="34"/>
  <c r="B49" i="27"/>
  <c r="B48" i="27"/>
  <c r="B47" i="27"/>
  <c r="B46" i="27"/>
  <c r="B45" i="27"/>
  <c r="B44" i="27"/>
  <c r="B43" i="27"/>
  <c r="B42" i="27"/>
  <c r="B41" i="27"/>
  <c r="B40" i="27"/>
  <c r="B39" i="27"/>
  <c r="B38" i="27"/>
  <c r="B37" i="27"/>
  <c r="B36" i="27"/>
  <c r="B35" i="27"/>
  <c r="B34" i="27"/>
  <c r="B33" i="27"/>
  <c r="O88" i="34" l="1"/>
  <c r="H8" i="34" l="1"/>
  <c r="K8" i="34" l="1"/>
  <c r="A7" i="23" l="1"/>
  <c r="A8" i="23"/>
  <c r="A10" i="23"/>
  <c r="A6" i="23"/>
  <c r="I16" i="4"/>
  <c r="K16" i="4"/>
  <c r="L16" i="4"/>
  <c r="M16" i="4"/>
  <c r="Q16" i="4"/>
  <c r="T16" i="4" l="1"/>
  <c r="U16" i="4" s="1"/>
  <c r="T8" i="4"/>
  <c r="Y24" i="18"/>
  <c r="X24" i="18"/>
  <c r="K9" i="4"/>
  <c r="L9" i="4"/>
  <c r="M9" i="4"/>
  <c r="Q9" i="4"/>
  <c r="K10" i="4"/>
  <c r="L10" i="4"/>
  <c r="M10" i="4"/>
  <c r="Q10" i="4"/>
  <c r="K11" i="4"/>
  <c r="L11" i="4"/>
  <c r="M11" i="4"/>
  <c r="Q11" i="4"/>
  <c r="K12" i="4"/>
  <c r="L12" i="4"/>
  <c r="M12" i="4"/>
  <c r="Q12" i="4"/>
  <c r="K13" i="4"/>
  <c r="L13" i="4"/>
  <c r="M13" i="4"/>
  <c r="Q13" i="4"/>
  <c r="K14" i="4"/>
  <c r="L14" i="4"/>
  <c r="M14" i="4"/>
  <c r="Q14" i="4"/>
  <c r="K15" i="4"/>
  <c r="L15" i="4"/>
  <c r="M15" i="4"/>
  <c r="Q15" i="4"/>
  <c r="K17" i="4"/>
  <c r="L17" i="4"/>
  <c r="M17" i="4"/>
  <c r="Q17" i="4"/>
  <c r="K18" i="4"/>
  <c r="L18" i="4"/>
  <c r="M18" i="4"/>
  <c r="Q18" i="4"/>
  <c r="I9" i="4"/>
  <c r="I10" i="4"/>
  <c r="I11" i="4"/>
  <c r="I12" i="4"/>
  <c r="I13" i="4"/>
  <c r="I15" i="4"/>
  <c r="T15" i="4" s="1"/>
  <c r="A199" i="34"/>
  <c r="D45" i="18" s="1"/>
  <c r="A200" i="34"/>
  <c r="D46" i="18" s="1"/>
  <c r="A201" i="34"/>
  <c r="D47" i="18" s="1"/>
  <c r="B197" i="34"/>
  <c r="E43" i="18" s="1"/>
  <c r="B198" i="34"/>
  <c r="E44" i="18" s="1"/>
  <c r="B199" i="34"/>
  <c r="E45" i="18" s="1"/>
  <c r="B200" i="34"/>
  <c r="E46" i="18" s="1"/>
  <c r="B201" i="34"/>
  <c r="E47" i="18" s="1"/>
  <c r="B196" i="34"/>
  <c r="H190" i="34" s="1"/>
  <c r="A196" i="34"/>
  <c r="D42" i="18" s="1"/>
  <c r="A197" i="34"/>
  <c r="D43" i="18" s="1"/>
  <c r="A198" i="34"/>
  <c r="D44" i="18" s="1"/>
  <c r="A195" i="34"/>
  <c r="D41" i="18" s="1"/>
  <c r="A160" i="34"/>
  <c r="A159" i="34"/>
  <c r="L13" i="7"/>
  <c r="X20" i="7" s="1"/>
  <c r="I17" i="4"/>
  <c r="I18" i="4"/>
  <c r="X16" i="4" l="1"/>
  <c r="Y16" i="4"/>
  <c r="T17" i="4"/>
  <c r="U17" i="4" s="1"/>
  <c r="Y17" i="4" s="1"/>
  <c r="T10" i="4"/>
  <c r="U10" i="4" s="1"/>
  <c r="X10" i="4" s="1"/>
  <c r="V16" i="4"/>
  <c r="T14" i="4"/>
  <c r="U14" i="4" s="1"/>
  <c r="T12" i="4"/>
  <c r="U12" i="4" s="1"/>
  <c r="J49" i="34"/>
  <c r="I46" i="34"/>
  <c r="T13" i="4"/>
  <c r="U13" i="4" s="1"/>
  <c r="T18" i="4"/>
  <c r="U18" i="4" s="1"/>
  <c r="U8" i="4"/>
  <c r="T11" i="4"/>
  <c r="U15" i="4"/>
  <c r="X15" i="4" s="1"/>
  <c r="T9" i="4"/>
  <c r="C159" i="34"/>
  <c r="D67" i="34"/>
  <c r="D52" i="34"/>
  <c r="D104" i="34"/>
  <c r="D66" i="34"/>
  <c r="D58" i="34"/>
  <c r="E145" i="34"/>
  <c r="D136" i="34"/>
  <c r="D120" i="34"/>
  <c r="G11" i="11"/>
  <c r="D144" i="34"/>
  <c r="D56" i="34"/>
  <c r="D69" i="34"/>
  <c r="D72" i="34"/>
  <c r="D63" i="34"/>
  <c r="D47" i="34"/>
  <c r="E87" i="34"/>
  <c r="D71" i="34"/>
  <c r="D46" i="34"/>
  <c r="D141" i="34"/>
  <c r="E89" i="34"/>
  <c r="D62" i="34"/>
  <c r="D70" i="34"/>
  <c r="E88" i="34"/>
  <c r="E42" i="18"/>
  <c r="D54" i="34"/>
  <c r="D17" i="34"/>
  <c r="C117" i="34"/>
  <c r="D159" i="34"/>
  <c r="W13" i="7"/>
  <c r="Y13" i="7" s="1"/>
  <c r="Z13" i="7" s="1"/>
  <c r="AB13" i="7" s="1"/>
  <c r="AC13" i="7" s="1"/>
  <c r="AD13" i="7" s="1"/>
  <c r="AF13" i="7" s="1"/>
  <c r="AG13" i="7" s="1"/>
  <c r="AH13" i="7" s="1"/>
  <c r="AI13" i="7" s="1"/>
  <c r="Y9" i="7"/>
  <c r="Z9" i="7" s="1"/>
  <c r="AB9" i="7" s="1"/>
  <c r="AC9" i="7" s="1"/>
  <c r="AD9" i="7" s="1"/>
  <c r="AF9" i="7" s="1"/>
  <c r="AG9" i="7" s="1"/>
  <c r="AH9" i="7" s="1"/>
  <c r="AI9" i="7" s="1"/>
  <c r="Y15" i="4" l="1"/>
  <c r="X14" i="4"/>
  <c r="Y14" i="4"/>
  <c r="X13" i="4"/>
  <c r="Y13" i="4"/>
  <c r="Y12" i="4"/>
  <c r="X12" i="4"/>
  <c r="Y10" i="4"/>
  <c r="Y8" i="4"/>
  <c r="X8" i="4"/>
  <c r="V18" i="4"/>
  <c r="V17" i="4"/>
  <c r="V15" i="4"/>
  <c r="V10" i="4"/>
  <c r="V8" i="4"/>
  <c r="V14" i="4"/>
  <c r="V13" i="4"/>
  <c r="V12" i="4"/>
  <c r="O46" i="34"/>
  <c r="U9" i="4"/>
  <c r="U11" i="4"/>
  <c r="H11" i="11"/>
  <c r="G10" i="11"/>
  <c r="H10" i="11" s="1"/>
  <c r="G88" i="34"/>
  <c r="D59" i="34"/>
  <c r="D131" i="34"/>
  <c r="D107" i="34"/>
  <c r="D132" i="34"/>
  <c r="D130" i="34"/>
  <c r="D126" i="34"/>
  <c r="D143" i="34"/>
  <c r="D97" i="34"/>
  <c r="D134" i="34"/>
  <c r="D68" i="34"/>
  <c r="D123" i="34"/>
  <c r="D84" i="34"/>
  <c r="D113" i="34"/>
  <c r="D109" i="34"/>
  <c r="D96" i="34"/>
  <c r="D95" i="34"/>
  <c r="D112" i="34"/>
  <c r="D115" i="34"/>
  <c r="D74" i="34"/>
  <c r="E100" i="34"/>
  <c r="D133" i="34"/>
  <c r="D103" i="34"/>
  <c r="D129" i="34"/>
  <c r="D50" i="34"/>
  <c r="D127" i="34"/>
  <c r="E46" i="34"/>
  <c r="E136" i="34"/>
  <c r="D64" i="34"/>
  <c r="D114" i="34"/>
  <c r="D53" i="34"/>
  <c r="F42" i="34"/>
  <c r="D122" i="34"/>
  <c r="D137" i="34"/>
  <c r="D138" i="34"/>
  <c r="D110" i="34"/>
  <c r="D142" i="34"/>
  <c r="D124" i="34"/>
  <c r="D94" i="34"/>
  <c r="D119" i="34"/>
  <c r="D60" i="34"/>
  <c r="E101" i="34"/>
  <c r="E144" i="34"/>
  <c r="E120" i="34"/>
  <c r="E104" i="34"/>
  <c r="F108" i="34"/>
  <c r="F99" i="34"/>
  <c r="F98" i="34"/>
  <c r="F90" i="34"/>
  <c r="H88" i="34"/>
  <c r="F87" i="34"/>
  <c r="D86" i="34"/>
  <c r="D125" i="34"/>
  <c r="D57" i="34"/>
  <c r="F51" i="34"/>
  <c r="D44" i="34"/>
  <c r="H46" i="34"/>
  <c r="D55" i="34"/>
  <c r="L176" i="10"/>
  <c r="M176" i="10"/>
  <c r="D157" i="34"/>
  <c r="C157" i="34"/>
  <c r="L12" i="6"/>
  <c r="C79" i="34" s="1"/>
  <c r="L189" i="10"/>
  <c r="C156" i="34"/>
  <c r="X11" i="4" l="1"/>
  <c r="Y11" i="4"/>
  <c r="Y9" i="4"/>
  <c r="Y20" i="4" s="1"/>
  <c r="X9" i="4"/>
  <c r="X20" i="4" s="1"/>
  <c r="O10" i="11"/>
  <c r="P12" i="11"/>
  <c r="F10" i="23" s="1"/>
  <c r="I10" i="11"/>
  <c r="I11" i="11"/>
  <c r="Y12" i="11"/>
  <c r="O10" i="23" s="1"/>
  <c r="I12" i="11"/>
  <c r="V11" i="4"/>
  <c r="V9" i="4"/>
  <c r="F92" i="34"/>
  <c r="F89" i="34"/>
  <c r="F88" i="34"/>
  <c r="E95" i="34"/>
  <c r="E110" i="34"/>
  <c r="E126" i="34"/>
  <c r="E131" i="34"/>
  <c r="F104" i="34"/>
  <c r="E103" i="34"/>
  <c r="E109" i="34"/>
  <c r="F120" i="34"/>
  <c r="E119" i="34"/>
  <c r="E114" i="34"/>
  <c r="F46" i="34"/>
  <c r="F85" i="34"/>
  <c r="E133" i="34"/>
  <c r="E113" i="34"/>
  <c r="E132" i="34"/>
  <c r="E94" i="34"/>
  <c r="F145" i="34"/>
  <c r="E123" i="34"/>
  <c r="J88" i="34"/>
  <c r="P88" i="34"/>
  <c r="E97" i="34"/>
  <c r="F144" i="34"/>
  <c r="E138" i="34"/>
  <c r="N46" i="34"/>
  <c r="F101" i="34"/>
  <c r="E124" i="34"/>
  <c r="E137" i="34"/>
  <c r="F136" i="34"/>
  <c r="E112" i="34"/>
  <c r="E96" i="34"/>
  <c r="E134" i="34"/>
  <c r="E130" i="34"/>
  <c r="E127" i="34"/>
  <c r="F100" i="34"/>
  <c r="E142" i="34"/>
  <c r="E84" i="34"/>
  <c r="E143" i="34"/>
  <c r="F141" i="34"/>
  <c r="G99" i="34"/>
  <c r="G98" i="34"/>
  <c r="G92" i="34"/>
  <c r="G89" i="34"/>
  <c r="N88" i="34"/>
  <c r="G87" i="34"/>
  <c r="D147" i="34"/>
  <c r="D45" i="27" s="1"/>
  <c r="F49" i="34"/>
  <c r="G51" i="34"/>
  <c r="D65" i="34"/>
  <c r="N176" i="10"/>
  <c r="O14" i="21" l="1"/>
  <c r="Z10" i="11"/>
  <c r="P8" i="23" s="1"/>
  <c r="T12" i="11"/>
  <c r="J10" i="23" s="1"/>
  <c r="X12" i="11"/>
  <c r="N10" i="23" s="1"/>
  <c r="V12" i="11"/>
  <c r="L10" i="23" s="1"/>
  <c r="Z12" i="11"/>
  <c r="P10" i="23" s="1"/>
  <c r="S12" i="11"/>
  <c r="I10" i="23" s="1"/>
  <c r="R12" i="11"/>
  <c r="H10" i="23" s="1"/>
  <c r="Q12" i="11"/>
  <c r="G10" i="23" s="1"/>
  <c r="U12" i="11"/>
  <c r="K10" i="23" s="1"/>
  <c r="T10" i="11"/>
  <c r="J8" i="23" s="1"/>
  <c r="S10" i="11"/>
  <c r="I8" i="23" s="1"/>
  <c r="V10" i="11"/>
  <c r="L8" i="23" s="1"/>
  <c r="Y10" i="11"/>
  <c r="O8" i="23" s="1"/>
  <c r="W10" i="11"/>
  <c r="M8" i="23" s="1"/>
  <c r="Q10" i="11"/>
  <c r="G8" i="23" s="1"/>
  <c r="Z20" i="4"/>
  <c r="X10" i="11"/>
  <c r="N8" i="23" s="1"/>
  <c r="P10" i="11"/>
  <c r="F8" i="23" s="1"/>
  <c r="U10" i="11"/>
  <c r="K8" i="23" s="1"/>
  <c r="O12" i="11"/>
  <c r="E10" i="23" s="1"/>
  <c r="W12" i="11"/>
  <c r="M10" i="23" s="1"/>
  <c r="R10" i="11"/>
  <c r="H8" i="23" s="1"/>
  <c r="E8" i="23"/>
  <c r="I42" i="34"/>
  <c r="AA20" i="4"/>
  <c r="G101" i="34"/>
  <c r="G144" i="34"/>
  <c r="F113" i="34"/>
  <c r="F110" i="34"/>
  <c r="F143" i="34"/>
  <c r="F134" i="34"/>
  <c r="F137" i="34"/>
  <c r="F94" i="34"/>
  <c r="G136" i="34"/>
  <c r="G100" i="34"/>
  <c r="F95" i="34"/>
  <c r="F84" i="34"/>
  <c r="F127" i="34"/>
  <c r="F138" i="34"/>
  <c r="F123" i="34"/>
  <c r="F126" i="34"/>
  <c r="F130" i="34"/>
  <c r="F119" i="34"/>
  <c r="F109" i="34"/>
  <c r="G104" i="34"/>
  <c r="F97" i="34"/>
  <c r="G120" i="34"/>
  <c r="F124" i="34"/>
  <c r="G145" i="34"/>
  <c r="F132" i="34"/>
  <c r="F133" i="34"/>
  <c r="F114" i="34"/>
  <c r="F112" i="34"/>
  <c r="F103" i="34"/>
  <c r="G85" i="34"/>
  <c r="F142" i="34"/>
  <c r="F135" i="34"/>
  <c r="F96" i="34"/>
  <c r="F41" i="34"/>
  <c r="F122" i="34"/>
  <c r="F131" i="34"/>
  <c r="G141" i="34"/>
  <c r="G121" i="34"/>
  <c r="H108" i="34"/>
  <c r="H99" i="34"/>
  <c r="H98" i="34"/>
  <c r="H90" i="34"/>
  <c r="H89" i="34"/>
  <c r="H87" i="34"/>
  <c r="F86" i="34"/>
  <c r="E147" i="34"/>
  <c r="E45" i="27" s="1"/>
  <c r="H51" i="34"/>
  <c r="Q47" i="27"/>
  <c r="O176" i="10"/>
  <c r="O189" i="10"/>
  <c r="F148" i="34" s="1"/>
  <c r="O11" i="11" l="1"/>
  <c r="E9" i="23" s="1"/>
  <c r="E12" i="23" s="1"/>
  <c r="E14" i="23" s="1"/>
  <c r="Z11" i="11"/>
  <c r="P9" i="23" s="1"/>
  <c r="P12" i="23" s="1"/>
  <c r="P14" i="23" s="1"/>
  <c r="Z14" i="21"/>
  <c r="Z15" i="21" s="1"/>
  <c r="U11" i="11"/>
  <c r="K9" i="23" s="1"/>
  <c r="K12" i="23" s="1"/>
  <c r="K14" i="23" s="1"/>
  <c r="U14" i="21"/>
  <c r="U15" i="21" s="1"/>
  <c r="R11" i="11"/>
  <c r="H9" i="23" s="1"/>
  <c r="H12" i="23" s="1"/>
  <c r="H14" i="23" s="1"/>
  <c r="R14" i="21"/>
  <c r="R15" i="21" s="1"/>
  <c r="Y11" i="11"/>
  <c r="O9" i="23" s="1"/>
  <c r="O12" i="23" s="1"/>
  <c r="O14" i="23" s="1"/>
  <c r="Y14" i="21"/>
  <c r="Y15" i="21" s="1"/>
  <c r="P11" i="11"/>
  <c r="F9" i="23" s="1"/>
  <c r="P14" i="21"/>
  <c r="P15" i="21" s="1"/>
  <c r="S11" i="11"/>
  <c r="I9" i="23" s="1"/>
  <c r="I12" i="23" s="1"/>
  <c r="I14" i="23" s="1"/>
  <c r="S14" i="21"/>
  <c r="S15" i="21" s="1"/>
  <c r="X11" i="11"/>
  <c r="N9" i="23" s="1"/>
  <c r="N12" i="23" s="1"/>
  <c r="N14" i="23" s="1"/>
  <c r="X14" i="21"/>
  <c r="X15" i="21" s="1"/>
  <c r="T11" i="11"/>
  <c r="J9" i="23" s="1"/>
  <c r="J12" i="23" s="1"/>
  <c r="J14" i="23" s="1"/>
  <c r="T14" i="21"/>
  <c r="T15" i="21" s="1"/>
  <c r="Q11" i="11"/>
  <c r="G9" i="23" s="1"/>
  <c r="G12" i="23" s="1"/>
  <c r="G14" i="23" s="1"/>
  <c r="Q14" i="21"/>
  <c r="Q15" i="21" s="1"/>
  <c r="V11" i="11"/>
  <c r="L9" i="23" s="1"/>
  <c r="L12" i="23" s="1"/>
  <c r="L14" i="23" s="1"/>
  <c r="V14" i="21"/>
  <c r="V15" i="21" s="1"/>
  <c r="W11" i="11"/>
  <c r="M9" i="23" s="1"/>
  <c r="M12" i="23" s="1"/>
  <c r="M14" i="23" s="1"/>
  <c r="W14" i="21"/>
  <c r="W15" i="21" s="1"/>
  <c r="O15" i="21"/>
  <c r="AB20" i="4"/>
  <c r="G119" i="34"/>
  <c r="H100" i="34"/>
  <c r="G142" i="34"/>
  <c r="G110" i="34"/>
  <c r="G96" i="34"/>
  <c r="G114" i="34"/>
  <c r="H104" i="34"/>
  <c r="G126" i="34"/>
  <c r="H101" i="34"/>
  <c r="G138" i="34"/>
  <c r="L88" i="34"/>
  <c r="G137" i="34"/>
  <c r="H145" i="34"/>
  <c r="G84" i="34"/>
  <c r="G123" i="34"/>
  <c r="G113" i="34"/>
  <c r="F149" i="34"/>
  <c r="F46" i="27" s="1"/>
  <c r="G131" i="34"/>
  <c r="G112" i="34"/>
  <c r="G133" i="34"/>
  <c r="H120" i="34"/>
  <c r="P46" i="34"/>
  <c r="G95" i="34"/>
  <c r="G103" i="34"/>
  <c r="H136" i="34"/>
  <c r="G143" i="34"/>
  <c r="G122" i="34"/>
  <c r="G132" i="34"/>
  <c r="G124" i="34"/>
  <c r="G97" i="34"/>
  <c r="G109" i="34"/>
  <c r="G130" i="34"/>
  <c r="G127" i="34"/>
  <c r="G94" i="34"/>
  <c r="H144" i="34"/>
  <c r="G134" i="34"/>
  <c r="I99" i="34"/>
  <c r="I98" i="34"/>
  <c r="I89" i="34"/>
  <c r="I92" i="34"/>
  <c r="I87" i="34"/>
  <c r="F147" i="34"/>
  <c r="F45" i="27" s="1"/>
  <c r="H49" i="34"/>
  <c r="I51" i="34"/>
  <c r="P189" i="10"/>
  <c r="G148" i="34" s="1"/>
  <c r="I83" i="34"/>
  <c r="O16" i="11" l="1"/>
  <c r="E5" i="34" s="1"/>
  <c r="R9" i="23"/>
  <c r="V9" i="23" s="1"/>
  <c r="X9" i="23" s="1"/>
  <c r="F12" i="23"/>
  <c r="F14" i="23" s="1"/>
  <c r="M17" i="21"/>
  <c r="K21" i="21" s="1"/>
  <c r="K22" i="21" s="1"/>
  <c r="M16" i="21"/>
  <c r="K19" i="21" s="1"/>
  <c r="K20" i="21" s="1"/>
  <c r="AC20" i="4"/>
  <c r="H94" i="34"/>
  <c r="H132" i="34"/>
  <c r="K46" i="34"/>
  <c r="I120" i="34"/>
  <c r="I85" i="34"/>
  <c r="H113" i="34"/>
  <c r="H84" i="34"/>
  <c r="H126" i="34"/>
  <c r="I136" i="34"/>
  <c r="I100" i="34"/>
  <c r="H127" i="34"/>
  <c r="H109" i="34"/>
  <c r="H135" i="34"/>
  <c r="I101" i="34"/>
  <c r="H114" i="34"/>
  <c r="H103" i="34"/>
  <c r="H119" i="34"/>
  <c r="L49" i="34"/>
  <c r="H97" i="34"/>
  <c r="H133" i="34"/>
  <c r="H131" i="34"/>
  <c r="I145" i="34"/>
  <c r="M88" i="34"/>
  <c r="H110" i="34"/>
  <c r="H95" i="34"/>
  <c r="H134" i="34"/>
  <c r="H143" i="34"/>
  <c r="I144" i="34"/>
  <c r="H130" i="34"/>
  <c r="H124" i="34"/>
  <c r="H112" i="34"/>
  <c r="H123" i="34"/>
  <c r="H138" i="34"/>
  <c r="I104" i="34"/>
  <c r="H96" i="34"/>
  <c r="G149" i="34"/>
  <c r="G46" i="27" s="1"/>
  <c r="H137" i="34"/>
  <c r="H142" i="34"/>
  <c r="I141" i="34"/>
  <c r="J92" i="34"/>
  <c r="J90" i="34"/>
  <c r="J89" i="34"/>
  <c r="J87" i="34"/>
  <c r="H86" i="34"/>
  <c r="N49" i="34"/>
  <c r="Q176" i="10"/>
  <c r="T9" i="23" l="1"/>
  <c r="L42" i="34"/>
  <c r="AG20" i="4"/>
  <c r="AD20" i="4"/>
  <c r="I142" i="34"/>
  <c r="I137" i="34"/>
  <c r="I96" i="34"/>
  <c r="I138" i="34"/>
  <c r="J144" i="34"/>
  <c r="J145" i="34"/>
  <c r="J120" i="34"/>
  <c r="I95" i="34"/>
  <c r="I119" i="34"/>
  <c r="I135" i="34"/>
  <c r="I109" i="34"/>
  <c r="J104" i="34"/>
  <c r="I84" i="34"/>
  <c r="J101" i="34"/>
  <c r="I127" i="34"/>
  <c r="L46" i="34"/>
  <c r="I143" i="34"/>
  <c r="I97" i="34"/>
  <c r="I123" i="34"/>
  <c r="I124" i="34"/>
  <c r="J136" i="34"/>
  <c r="I113" i="34"/>
  <c r="I134" i="34"/>
  <c r="I110" i="34"/>
  <c r="I131" i="34"/>
  <c r="I103" i="34"/>
  <c r="I114" i="34"/>
  <c r="I122" i="34"/>
  <c r="I94" i="34"/>
  <c r="I112" i="34"/>
  <c r="I130" i="34"/>
  <c r="J100" i="34"/>
  <c r="I126" i="34"/>
  <c r="J85" i="34"/>
  <c r="I133" i="34"/>
  <c r="I132" i="34"/>
  <c r="J141" i="34"/>
  <c r="K108" i="34"/>
  <c r="K99" i="34"/>
  <c r="K98" i="34"/>
  <c r="K89" i="34"/>
  <c r="K87" i="34"/>
  <c r="I86" i="34"/>
  <c r="H147" i="34"/>
  <c r="H45" i="27" s="1"/>
  <c r="K51" i="34"/>
  <c r="R176" i="10"/>
  <c r="R189" i="10"/>
  <c r="I148" i="34" s="1"/>
  <c r="K83" i="34"/>
  <c r="M42" i="34" l="1"/>
  <c r="AE20" i="4"/>
  <c r="AK20" i="4"/>
  <c r="AI20" i="4"/>
  <c r="J132" i="34"/>
  <c r="J133" i="34"/>
  <c r="J94" i="34"/>
  <c r="K101" i="34"/>
  <c r="J95" i="34"/>
  <c r="K100" i="34"/>
  <c r="J119" i="34"/>
  <c r="J131" i="34"/>
  <c r="J97" i="34"/>
  <c r="K120" i="34"/>
  <c r="J138" i="34"/>
  <c r="J123" i="34"/>
  <c r="J114" i="34"/>
  <c r="K85" i="34"/>
  <c r="J130" i="34"/>
  <c r="J84" i="34"/>
  <c r="J109" i="34"/>
  <c r="K145" i="34"/>
  <c r="J113" i="34"/>
  <c r="I149" i="34"/>
  <c r="I46" i="27" s="1"/>
  <c r="J103" i="34"/>
  <c r="J110" i="34"/>
  <c r="K136" i="34"/>
  <c r="J96" i="34"/>
  <c r="J142" i="34"/>
  <c r="J126" i="34"/>
  <c r="J112" i="34"/>
  <c r="J127" i="34"/>
  <c r="K104" i="34"/>
  <c r="J134" i="34"/>
  <c r="J124" i="34"/>
  <c r="J143" i="34"/>
  <c r="K144" i="34"/>
  <c r="J137" i="34"/>
  <c r="K141" i="34"/>
  <c r="L108" i="34"/>
  <c r="L99" i="34"/>
  <c r="L98" i="34"/>
  <c r="L89" i="34"/>
  <c r="L90" i="34"/>
  <c r="L92" i="34"/>
  <c r="L87" i="34"/>
  <c r="I147" i="34"/>
  <c r="I45" i="27" s="1"/>
  <c r="L51" i="34"/>
  <c r="S189" i="10"/>
  <c r="J148" i="34" s="1"/>
  <c r="L83" i="34"/>
  <c r="AF20" i="4" l="1"/>
  <c r="J149" i="34"/>
  <c r="J46" i="27" s="1"/>
  <c r="K137" i="34"/>
  <c r="K135" i="34"/>
  <c r="K112" i="34"/>
  <c r="K110" i="34"/>
  <c r="K113" i="34"/>
  <c r="K123" i="34"/>
  <c r="L120" i="34"/>
  <c r="L100" i="34"/>
  <c r="K94" i="34"/>
  <c r="L144" i="34"/>
  <c r="L104" i="34"/>
  <c r="K126" i="34"/>
  <c r="K103" i="34"/>
  <c r="L145" i="34"/>
  <c r="K84" i="34"/>
  <c r="K97" i="34"/>
  <c r="K124" i="34"/>
  <c r="K134" i="34"/>
  <c r="K114" i="34"/>
  <c r="K138" i="34"/>
  <c r="K131" i="34"/>
  <c r="K133" i="34"/>
  <c r="K143" i="34"/>
  <c r="K127" i="34"/>
  <c r="K96" i="34"/>
  <c r="L136" i="34"/>
  <c r="K109" i="34"/>
  <c r="K130" i="34"/>
  <c r="K119" i="34"/>
  <c r="K122" i="34"/>
  <c r="K95" i="34"/>
  <c r="L101" i="34"/>
  <c r="K132" i="34"/>
  <c r="L141" i="34"/>
  <c r="M99" i="34"/>
  <c r="M98" i="34"/>
  <c r="M92" i="34"/>
  <c r="M89" i="34"/>
  <c r="M87" i="34"/>
  <c r="K86" i="34"/>
  <c r="M51" i="34"/>
  <c r="T176" i="10"/>
  <c r="O42" i="34" l="1"/>
  <c r="AH20" i="4"/>
  <c r="L133" i="34"/>
  <c r="L84" i="34"/>
  <c r="M136" i="34"/>
  <c r="L132" i="34"/>
  <c r="L119" i="34"/>
  <c r="L130" i="34"/>
  <c r="L96" i="34"/>
  <c r="L134" i="34"/>
  <c r="L97" i="34"/>
  <c r="M145" i="34"/>
  <c r="L126" i="34"/>
  <c r="L94" i="34"/>
  <c r="L122" i="34"/>
  <c r="M101" i="34"/>
  <c r="L109" i="34"/>
  <c r="L143" i="34"/>
  <c r="L138" i="34"/>
  <c r="L103" i="34"/>
  <c r="M104" i="34"/>
  <c r="L131" i="34"/>
  <c r="M120" i="34"/>
  <c r="L113" i="34"/>
  <c r="L112" i="34"/>
  <c r="L137" i="34"/>
  <c r="L95" i="34"/>
  <c r="L127" i="34"/>
  <c r="L114" i="34"/>
  <c r="L124" i="34"/>
  <c r="M144" i="34"/>
  <c r="M100" i="34"/>
  <c r="L123" i="34"/>
  <c r="L110" i="34"/>
  <c r="M141" i="34"/>
  <c r="M121" i="34"/>
  <c r="N108" i="34"/>
  <c r="N99" i="34"/>
  <c r="N98" i="34"/>
  <c r="N90" i="34"/>
  <c r="N89" i="34"/>
  <c r="N87" i="34"/>
  <c r="L86" i="34"/>
  <c r="K147" i="34"/>
  <c r="K45" i="27" s="1"/>
  <c r="N51" i="34"/>
  <c r="U176" i="10"/>
  <c r="AJ20" i="4" l="1"/>
  <c r="M110" i="34"/>
  <c r="N144" i="34"/>
  <c r="M124" i="34"/>
  <c r="M127" i="34"/>
  <c r="N120" i="34"/>
  <c r="M103" i="34"/>
  <c r="N145" i="34"/>
  <c r="M96" i="34"/>
  <c r="M123" i="34"/>
  <c r="M137" i="34"/>
  <c r="M138" i="34"/>
  <c r="M109" i="34"/>
  <c r="M97" i="34"/>
  <c r="M130" i="34"/>
  <c r="N136" i="34"/>
  <c r="N100" i="34"/>
  <c r="M114" i="34"/>
  <c r="M112" i="34"/>
  <c r="M131" i="34"/>
  <c r="M94" i="34"/>
  <c r="M119" i="34"/>
  <c r="M133" i="34"/>
  <c r="M135" i="34"/>
  <c r="M95" i="34"/>
  <c r="M113" i="34"/>
  <c r="N104" i="34"/>
  <c r="M143" i="34"/>
  <c r="N101" i="34"/>
  <c r="M126" i="34"/>
  <c r="M134" i="34"/>
  <c r="M132" i="34"/>
  <c r="N85" i="34"/>
  <c r="M84" i="34"/>
  <c r="N141" i="34"/>
  <c r="N121" i="34"/>
  <c r="O108" i="34"/>
  <c r="O99" i="34"/>
  <c r="O98" i="34"/>
  <c r="O89" i="34"/>
  <c r="O92" i="34"/>
  <c r="O87" i="34"/>
  <c r="N83" i="34"/>
  <c r="L147" i="34"/>
  <c r="L45" i="27" s="1"/>
  <c r="N132" i="34" l="1"/>
  <c r="O104" i="34"/>
  <c r="O101" i="34"/>
  <c r="N94" i="34"/>
  <c r="N114" i="34"/>
  <c r="N109" i="34"/>
  <c r="N137" i="34"/>
  <c r="N123" i="34"/>
  <c r="N96" i="34"/>
  <c r="N127" i="34"/>
  <c r="N113" i="34"/>
  <c r="N135" i="34"/>
  <c r="N119" i="34"/>
  <c r="N131" i="34"/>
  <c r="O136" i="34"/>
  <c r="N97" i="34"/>
  <c r="N138" i="34"/>
  <c r="N103" i="34"/>
  <c r="N124" i="34"/>
  <c r="N134" i="34"/>
  <c r="N95" i="34"/>
  <c r="O145" i="34"/>
  <c r="O120" i="34"/>
  <c r="N84" i="34"/>
  <c r="N133" i="34"/>
  <c r="N112" i="34"/>
  <c r="O100" i="34"/>
  <c r="O144" i="34"/>
  <c r="N143" i="34"/>
  <c r="O85" i="34"/>
  <c r="N126" i="34"/>
  <c r="N130" i="34"/>
  <c r="N122" i="34"/>
  <c r="N110" i="34"/>
  <c r="O141" i="34"/>
  <c r="O121" i="34"/>
  <c r="P92" i="34"/>
  <c r="P89" i="34"/>
  <c r="P87" i="34"/>
  <c r="N86" i="34"/>
  <c r="O83" i="34"/>
  <c r="O78" i="34"/>
  <c r="X176" i="10"/>
  <c r="M147" i="34"/>
  <c r="M45" i="27" s="1"/>
  <c r="P51" i="34"/>
  <c r="O42" i="27" l="1"/>
  <c r="O183" i="34"/>
  <c r="O110" i="34"/>
  <c r="P85" i="34"/>
  <c r="P100" i="34"/>
  <c r="O133" i="34"/>
  <c r="O95" i="34"/>
  <c r="O97" i="34"/>
  <c r="O127" i="34"/>
  <c r="O137" i="34"/>
  <c r="O109" i="34"/>
  <c r="P104" i="34"/>
  <c r="O41" i="34"/>
  <c r="O143" i="34"/>
  <c r="O112" i="34"/>
  <c r="O84" i="34"/>
  <c r="O134" i="34"/>
  <c r="P136" i="34"/>
  <c r="O119" i="34"/>
  <c r="O96" i="34"/>
  <c r="O94" i="34"/>
  <c r="P144" i="34"/>
  <c r="P120" i="34"/>
  <c r="O124" i="34"/>
  <c r="O122" i="34"/>
  <c r="O126" i="34"/>
  <c r="O123" i="34"/>
  <c r="O132" i="34"/>
  <c r="O130" i="34"/>
  <c r="P145" i="34"/>
  <c r="O103" i="34"/>
  <c r="O138" i="34"/>
  <c r="O131" i="34"/>
  <c r="O135" i="34"/>
  <c r="O113" i="34"/>
  <c r="O114" i="34"/>
  <c r="P101" i="34"/>
  <c r="Y176" i="10"/>
  <c r="P147" i="34" s="1"/>
  <c r="P141" i="34"/>
  <c r="P121" i="34"/>
  <c r="O86" i="34"/>
  <c r="P78" i="34"/>
  <c r="O147" i="34"/>
  <c r="P42" i="27" l="1"/>
  <c r="P183" i="34"/>
  <c r="P124" i="34"/>
  <c r="P133" i="34"/>
  <c r="P135" i="34"/>
  <c r="P119" i="34"/>
  <c r="P112" i="34"/>
  <c r="P131" i="34"/>
  <c r="P126" i="34"/>
  <c r="P94" i="34"/>
  <c r="P143" i="34"/>
  <c r="P97" i="34"/>
  <c r="P114" i="34"/>
  <c r="P138" i="34"/>
  <c r="P132" i="34"/>
  <c r="P134" i="34"/>
  <c r="P137" i="34"/>
  <c r="P103" i="34"/>
  <c r="P96" i="34"/>
  <c r="P113" i="34"/>
  <c r="P130" i="34"/>
  <c r="P123" i="34"/>
  <c r="P84" i="34"/>
  <c r="P109" i="34"/>
  <c r="P127" i="34"/>
  <c r="P95" i="34"/>
  <c r="P110" i="34"/>
  <c r="Q42" i="27"/>
  <c r="P45" i="27"/>
  <c r="P186" i="34"/>
  <c r="O45" i="27"/>
  <c r="O186" i="34"/>
  <c r="B200" i="10"/>
  <c r="B201" i="10"/>
  <c r="B202" i="10"/>
  <c r="B203" i="10"/>
  <c r="B204" i="10"/>
  <c r="B205" i="10"/>
  <c r="D37" i="34" l="1"/>
  <c r="D38" i="34"/>
  <c r="E38" i="34" l="1"/>
  <c r="D39" i="34"/>
  <c r="D39" i="27" s="1"/>
  <c r="Q45" i="27"/>
  <c r="Q40" i="27"/>
  <c r="D26" i="34"/>
  <c r="D14" i="34"/>
  <c r="C26" i="34"/>
  <c r="L39" i="10"/>
  <c r="C16" i="34"/>
  <c r="C15" i="34"/>
  <c r="C20" i="34"/>
  <c r="C18" i="34"/>
  <c r="C22" i="34"/>
  <c r="C21" i="34"/>
  <c r="X39" i="10" l="1"/>
  <c r="O31" i="34" s="1"/>
  <c r="F38" i="34"/>
  <c r="Q46" i="27"/>
  <c r="Q49" i="27"/>
  <c r="Q43" i="27"/>
  <c r="C14" i="34"/>
  <c r="C31" i="34"/>
  <c r="C17" i="34"/>
  <c r="C19" i="34"/>
  <c r="G38" i="34" l="1"/>
  <c r="O37" i="27"/>
  <c r="O178" i="34"/>
  <c r="Y39" i="10"/>
  <c r="P31" i="34" s="1"/>
  <c r="Q41" i="27"/>
  <c r="X22" i="4"/>
  <c r="C37" i="27"/>
  <c r="C178" i="34"/>
  <c r="G26" i="34"/>
  <c r="P37" i="27" l="1"/>
  <c r="P178" i="34"/>
  <c r="H38" i="34"/>
  <c r="Q37" i="27" l="1"/>
  <c r="I38" i="34"/>
  <c r="I26" i="34"/>
  <c r="J38" i="34" l="1"/>
  <c r="J26" i="34"/>
  <c r="K38" i="34" l="1"/>
  <c r="K26" i="34"/>
  <c r="L38" i="34" l="1"/>
  <c r="L26" i="34"/>
  <c r="M38" i="34" l="1"/>
  <c r="N38" i="34" l="1"/>
  <c r="N26" i="34"/>
  <c r="O38" i="34" l="1"/>
  <c r="O26" i="34"/>
  <c r="P38" i="34" l="1"/>
  <c r="P26" i="34"/>
  <c r="C18" i="11" l="1"/>
  <c r="C45" i="22" s="1"/>
  <c r="C17" i="11"/>
  <c r="J11" i="11" l="1"/>
  <c r="Q39" i="27"/>
  <c r="Q38" i="27"/>
  <c r="N17" i="11"/>
  <c r="O17" i="11"/>
  <c r="J10" i="11"/>
  <c r="J12" i="11"/>
  <c r="C44" i="22"/>
  <c r="E125" i="21" l="1"/>
  <c r="E169" i="34"/>
  <c r="D125" i="21"/>
  <c r="D169" i="34"/>
  <c r="H33" i="22"/>
  <c r="I33" i="22" s="1"/>
  <c r="H32" i="22"/>
  <c r="H9" i="22"/>
  <c r="I9" i="22" s="1"/>
  <c r="M9" i="22" s="1"/>
  <c r="H25" i="22"/>
  <c r="I25" i="22" s="1"/>
  <c r="L25" i="22" s="1"/>
  <c r="H17" i="22"/>
  <c r="I17" i="22" s="1"/>
  <c r="N17" i="22" s="1"/>
  <c r="H37" i="22"/>
  <c r="I37" i="22" s="1"/>
  <c r="J37" i="22" s="1"/>
  <c r="H38" i="22"/>
  <c r="I38" i="22" s="1"/>
  <c r="J38" i="22" s="1"/>
  <c r="H10" i="22"/>
  <c r="I10" i="22" s="1"/>
  <c r="H26" i="22"/>
  <c r="I26" i="22" s="1"/>
  <c r="L26" i="22" s="1"/>
  <c r="H27" i="22"/>
  <c r="I27" i="22" s="1"/>
  <c r="L27" i="22" s="1"/>
  <c r="H14" i="22"/>
  <c r="H34" i="22"/>
  <c r="I34" i="22" s="1"/>
  <c r="L34" i="22" s="1"/>
  <c r="H15" i="22"/>
  <c r="H16" i="22"/>
  <c r="H20" i="22"/>
  <c r="I20" i="22" s="1"/>
  <c r="L20" i="22" s="1"/>
  <c r="H23" i="22"/>
  <c r="H40" i="22"/>
  <c r="I40" i="22" s="1"/>
  <c r="J40" i="22" s="1"/>
  <c r="H24" i="22"/>
  <c r="H8" i="22"/>
  <c r="I8" i="22" s="1"/>
  <c r="M8" i="22" s="1"/>
  <c r="H21" i="22"/>
  <c r="I21" i="22" s="1"/>
  <c r="L21" i="22" s="1"/>
  <c r="H22" i="22"/>
  <c r="I22" i="22" s="1"/>
  <c r="L22" i="22" s="1"/>
  <c r="H39" i="22"/>
  <c r="I39" i="22" s="1"/>
  <c r="J39" i="22" s="1"/>
  <c r="U44" i="22"/>
  <c r="K11" i="11"/>
  <c r="K8" i="11"/>
  <c r="K12" i="11"/>
  <c r="K10" i="11"/>
  <c r="K9" i="11"/>
  <c r="J33" i="22" l="1"/>
  <c r="L33" i="22"/>
  <c r="M12" i="22"/>
  <c r="W12" i="22"/>
  <c r="N8" i="34" s="1"/>
  <c r="P12" i="22"/>
  <c r="S12" i="22"/>
  <c r="O12" i="22"/>
  <c r="I32" i="22"/>
  <c r="L32" i="22" s="1"/>
  <c r="I15" i="22"/>
  <c r="J15" i="22" s="1"/>
  <c r="P18" i="22"/>
  <c r="J9" i="22"/>
  <c r="I14" i="22"/>
  <c r="M14" i="22" s="1"/>
  <c r="M18" i="22" s="1"/>
  <c r="M25" i="22"/>
  <c r="W28" i="22"/>
  <c r="I23" i="22"/>
  <c r="M23" i="22" s="1"/>
  <c r="P28" i="22"/>
  <c r="I24" i="22"/>
  <c r="M24" i="22" s="1"/>
  <c r="J34" i="22"/>
  <c r="R28" i="22"/>
  <c r="O28" i="22"/>
  <c r="J10" i="22"/>
  <c r="V12" i="22"/>
  <c r="V43" i="22" s="1"/>
  <c r="V44" i="22" s="1"/>
  <c r="J20" i="22"/>
  <c r="I16" i="22"/>
  <c r="L16" i="22" s="1"/>
  <c r="L18" i="22" s="1"/>
  <c r="W18" i="22"/>
  <c r="J26" i="22"/>
  <c r="G30" i="22"/>
  <c r="H30" i="22"/>
  <c r="I30" i="22" s="1"/>
  <c r="L30" i="22" s="1"/>
  <c r="Q28" i="22"/>
  <c r="J27" i="22"/>
  <c r="L28" i="22"/>
  <c r="J22" i="22"/>
  <c r="J21" i="22"/>
  <c r="G31" i="22"/>
  <c r="H31" i="22"/>
  <c r="J8" i="22"/>
  <c r="P16" i="11"/>
  <c r="F5" i="34" s="1"/>
  <c r="Q16" i="11"/>
  <c r="G5" i="34" s="1"/>
  <c r="R10" i="23"/>
  <c r="V10" i="23" s="1"/>
  <c r="Q35" i="27"/>
  <c r="D12" i="23"/>
  <c r="M16" i="11"/>
  <c r="C5" i="34" s="1"/>
  <c r="C84" i="34"/>
  <c r="B84" i="34" s="1"/>
  <c r="C86" i="34"/>
  <c r="C87" i="34"/>
  <c r="C88" i="34"/>
  <c r="C89" i="34"/>
  <c r="B89" i="34" s="1"/>
  <c r="C90" i="34"/>
  <c r="C92" i="34"/>
  <c r="C93" i="34"/>
  <c r="C94" i="34"/>
  <c r="B94" i="34" s="1"/>
  <c r="C96" i="34"/>
  <c r="B96" i="34" s="1"/>
  <c r="C97" i="34"/>
  <c r="B97" i="34" s="1"/>
  <c r="C103" i="34"/>
  <c r="B103" i="34" s="1"/>
  <c r="C105" i="34"/>
  <c r="C106" i="34"/>
  <c r="C107" i="34"/>
  <c r="C108" i="34"/>
  <c r="C109" i="34"/>
  <c r="B109" i="34" s="1"/>
  <c r="C110" i="34"/>
  <c r="B110" i="34" s="1"/>
  <c r="C111" i="34"/>
  <c r="C112" i="34"/>
  <c r="B112" i="34" s="1"/>
  <c r="C113" i="34"/>
  <c r="B113" i="34" s="1"/>
  <c r="C114" i="34"/>
  <c r="B114" i="34" s="1"/>
  <c r="C115" i="34"/>
  <c r="C118" i="34"/>
  <c r="C119" i="34"/>
  <c r="B119" i="34" s="1"/>
  <c r="C120" i="34"/>
  <c r="B120" i="34" s="1"/>
  <c r="C121" i="34"/>
  <c r="C122" i="34"/>
  <c r="C123" i="34"/>
  <c r="B123" i="34" s="1"/>
  <c r="C124" i="34"/>
  <c r="B124" i="34" s="1"/>
  <c r="C125" i="34"/>
  <c r="C126" i="34"/>
  <c r="B126" i="34" s="1"/>
  <c r="C127" i="34"/>
  <c r="B127" i="34" s="1"/>
  <c r="C129" i="34"/>
  <c r="C130" i="34"/>
  <c r="B130" i="34" s="1"/>
  <c r="C131" i="34"/>
  <c r="B131" i="34" s="1"/>
  <c r="C132" i="34"/>
  <c r="B132" i="34" s="1"/>
  <c r="C133" i="34"/>
  <c r="B133" i="34" s="1"/>
  <c r="C134" i="34"/>
  <c r="B134" i="34" s="1"/>
  <c r="C135" i="34"/>
  <c r="C136" i="34"/>
  <c r="B136" i="34" s="1"/>
  <c r="C137" i="34"/>
  <c r="B137" i="34" s="1"/>
  <c r="C138" i="34"/>
  <c r="B138" i="34" s="1"/>
  <c r="C139" i="34"/>
  <c r="C141" i="34"/>
  <c r="C142" i="34"/>
  <c r="C143" i="34"/>
  <c r="B143" i="34" s="1"/>
  <c r="C144" i="34"/>
  <c r="B144" i="34" s="1"/>
  <c r="C145" i="34"/>
  <c r="B145" i="34" s="1"/>
  <c r="C41" i="34"/>
  <c r="C42" i="34"/>
  <c r="C43" i="34"/>
  <c r="C44" i="34"/>
  <c r="C45" i="34"/>
  <c r="C46" i="34"/>
  <c r="C47" i="34"/>
  <c r="C51" i="34"/>
  <c r="C53" i="34"/>
  <c r="C54" i="34"/>
  <c r="C55" i="34"/>
  <c r="C56" i="34"/>
  <c r="C57" i="34"/>
  <c r="C58" i="34"/>
  <c r="C59" i="34"/>
  <c r="C60" i="34"/>
  <c r="C61" i="34"/>
  <c r="C62" i="34"/>
  <c r="C63" i="34"/>
  <c r="C64" i="34"/>
  <c r="C66" i="34"/>
  <c r="C67" i="34"/>
  <c r="C68" i="34"/>
  <c r="C69" i="34"/>
  <c r="C70" i="34"/>
  <c r="C71" i="34"/>
  <c r="C72" i="34"/>
  <c r="C73" i="34"/>
  <c r="C74" i="34"/>
  <c r="C38" i="34"/>
  <c r="C37" i="34"/>
  <c r="N18" i="5"/>
  <c r="M39" i="10"/>
  <c r="D31" i="34" s="1"/>
  <c r="N39" i="10"/>
  <c r="M143" i="10"/>
  <c r="J24" i="22" l="1"/>
  <c r="T28" i="22"/>
  <c r="J32" i="22"/>
  <c r="S28" i="22"/>
  <c r="M28" i="22"/>
  <c r="R18" i="22"/>
  <c r="O18" i="22"/>
  <c r="G11" i="22"/>
  <c r="H11" i="22"/>
  <c r="I11" i="22" s="1"/>
  <c r="J23" i="22"/>
  <c r="P43" i="22"/>
  <c r="P44" i="22" s="1"/>
  <c r="N18" i="22"/>
  <c r="S18" i="22"/>
  <c r="J25" i="22"/>
  <c r="I31" i="22"/>
  <c r="N28" i="22"/>
  <c r="J30" i="22"/>
  <c r="R8" i="23"/>
  <c r="V8" i="23" s="1"/>
  <c r="X8" i="23" s="1"/>
  <c r="T10" i="23"/>
  <c r="R7" i="23"/>
  <c r="D37" i="27"/>
  <c r="E31" i="34"/>
  <c r="E37" i="27" s="1"/>
  <c r="D14" i="23"/>
  <c r="Q17" i="11"/>
  <c r="P17" i="11"/>
  <c r="X10" i="23"/>
  <c r="C12" i="23"/>
  <c r="E186" i="34"/>
  <c r="D186" i="34"/>
  <c r="D12" i="18"/>
  <c r="F169" i="34" l="1"/>
  <c r="F125" i="21"/>
  <c r="G169" i="34"/>
  <c r="G125" i="21"/>
  <c r="X35" i="22"/>
  <c r="X43" i="22" s="1"/>
  <c r="X44" i="22" s="1"/>
  <c r="S35" i="22"/>
  <c r="S43" i="22" s="1"/>
  <c r="S44" i="22" s="1"/>
  <c r="L31" i="22"/>
  <c r="L35" i="22" s="1"/>
  <c r="L43" i="22" s="1"/>
  <c r="L44" i="22" s="1"/>
  <c r="M35" i="22"/>
  <c r="M43" i="22" s="1"/>
  <c r="M44" i="22" s="1"/>
  <c r="J11" i="22"/>
  <c r="N11" i="22"/>
  <c r="N12" i="22" s="1"/>
  <c r="E8" i="34" s="1"/>
  <c r="Q35" i="22"/>
  <c r="Q43" i="22" s="1"/>
  <c r="Q44" i="22" s="1"/>
  <c r="J31" i="22"/>
  <c r="Y35" i="22" s="1"/>
  <c r="Y43" i="22" s="1"/>
  <c r="Y44" i="22" s="1"/>
  <c r="R3" i="23"/>
  <c r="N35" i="22"/>
  <c r="R12" i="23"/>
  <c r="E178" i="34"/>
  <c r="V7" i="23"/>
  <c r="X7" i="23" s="1"/>
  <c r="B38" i="34"/>
  <c r="T8" i="23"/>
  <c r="T7" i="23"/>
  <c r="Q36" i="27"/>
  <c r="D10" i="34"/>
  <c r="D178" i="34"/>
  <c r="C148" i="34"/>
  <c r="T35" i="22" l="1"/>
  <c r="T43" i="22" s="1"/>
  <c r="T44" i="22" s="1"/>
  <c r="O35" i="22"/>
  <c r="O43" i="22" s="1"/>
  <c r="O44" i="22" s="1"/>
  <c r="W35" i="22"/>
  <c r="W43" i="22" s="1"/>
  <c r="W44" i="22" s="1"/>
  <c r="R35" i="22"/>
  <c r="R43" i="22" s="1"/>
  <c r="R44" i="22" s="1"/>
  <c r="N43" i="22"/>
  <c r="E11" i="34"/>
  <c r="T3" i="23"/>
  <c r="V3" i="23"/>
  <c r="X3" i="23" s="1"/>
  <c r="E10" i="34"/>
  <c r="C149" i="34"/>
  <c r="F10" i="34"/>
  <c r="V20" i="7"/>
  <c r="C147" i="34"/>
  <c r="N44" i="22" l="1"/>
  <c r="L45" i="22"/>
  <c r="L46" i="22" s="1"/>
  <c r="C187" i="34"/>
  <c r="C46" i="27"/>
  <c r="C45" i="27"/>
  <c r="G10" i="34"/>
  <c r="C186" i="34"/>
  <c r="C151" i="34"/>
  <c r="H11" i="34" l="1"/>
  <c r="H10" i="34"/>
  <c r="W20" i="7"/>
  <c r="Y8" i="7"/>
  <c r="Y20" i="7" s="1"/>
  <c r="D151" i="34" l="1"/>
  <c r="I11" i="34"/>
  <c r="I10" i="34"/>
  <c r="Z8" i="7"/>
  <c r="Z20" i="7" s="1"/>
  <c r="J11" i="34" l="1"/>
  <c r="J10" i="34"/>
  <c r="K11" i="34" l="1"/>
  <c r="K10" i="34"/>
  <c r="AB8" i="7"/>
  <c r="AB20" i="7" s="1"/>
  <c r="L11" i="34" l="1"/>
  <c r="L10" i="34"/>
  <c r="AC8" i="7"/>
  <c r="AC20" i="7" s="1"/>
  <c r="M11" i="34" l="1"/>
  <c r="M10" i="34"/>
  <c r="AD8" i="7"/>
  <c r="AD20" i="7" s="1"/>
  <c r="B17" i="11"/>
  <c r="B44" i="22" s="1"/>
  <c r="B21" i="4" s="1"/>
  <c r="B20" i="33" s="1"/>
  <c r="B21" i="32" s="1"/>
  <c r="B19" i="5" s="1"/>
  <c r="B50" i="6" s="1"/>
  <c r="B26" i="7" s="1"/>
  <c r="B29" i="8" s="1"/>
  <c r="B45" i="20" s="1"/>
  <c r="B18" i="11"/>
  <c r="B45" i="22" s="1"/>
  <c r="B22" i="4" s="1"/>
  <c r="B21" i="33" s="1"/>
  <c r="B22" i="32" s="1"/>
  <c r="B20" i="5" s="1"/>
  <c r="B51" i="6" s="1"/>
  <c r="B27" i="7" s="1"/>
  <c r="B30" i="8" s="1"/>
  <c r="B46" i="20" s="1"/>
  <c r="C22" i="4"/>
  <c r="C21" i="33" s="1"/>
  <c r="C22" i="32" s="1"/>
  <c r="C20" i="5" s="1"/>
  <c r="C51" i="6" s="1"/>
  <c r="C27" i="7" s="1"/>
  <c r="C30" i="8" s="1"/>
  <c r="B19" i="11"/>
  <c r="B46" i="22" s="1"/>
  <c r="B23" i="4" s="1"/>
  <c r="B22" i="33" s="1"/>
  <c r="B23" i="32" s="1"/>
  <c r="B21" i="5" s="1"/>
  <c r="B52" i="6" s="1"/>
  <c r="B28" i="7" s="1"/>
  <c r="B31" i="8" s="1"/>
  <c r="B47" i="20" s="1"/>
  <c r="C19" i="11"/>
  <c r="B20" i="11"/>
  <c r="B47" i="22" s="1"/>
  <c r="B24" i="4" s="1"/>
  <c r="B23" i="33" s="1"/>
  <c r="B24" i="32" s="1"/>
  <c r="B22" i="5" s="1"/>
  <c r="B53" i="6" s="1"/>
  <c r="B29" i="7" s="1"/>
  <c r="B32" i="8" s="1"/>
  <c r="B48" i="20" s="1"/>
  <c r="C20" i="11"/>
  <c r="B21" i="11"/>
  <c r="B48" i="22" s="1"/>
  <c r="B25" i="4" s="1"/>
  <c r="B24" i="33" s="1"/>
  <c r="B25" i="32" s="1"/>
  <c r="B23" i="5" s="1"/>
  <c r="B54" i="6" s="1"/>
  <c r="B30" i="7" s="1"/>
  <c r="B33" i="8" s="1"/>
  <c r="B49" i="20" s="1"/>
  <c r="C21" i="11"/>
  <c r="B22" i="11"/>
  <c r="B49" i="22" s="1"/>
  <c r="B26" i="4" s="1"/>
  <c r="B25" i="33" s="1"/>
  <c r="B26" i="32" s="1"/>
  <c r="B24" i="5" s="1"/>
  <c r="B55" i="6" s="1"/>
  <c r="B31" i="7" s="1"/>
  <c r="B34" i="8" s="1"/>
  <c r="B50" i="20" s="1"/>
  <c r="C22" i="11"/>
  <c r="B16" i="11"/>
  <c r="B43" i="22" s="1"/>
  <c r="B20" i="4" s="1"/>
  <c r="B19" i="33" s="1"/>
  <c r="B20" i="32" s="1"/>
  <c r="B18" i="5" s="1"/>
  <c r="B49" i="6" s="1"/>
  <c r="B25" i="7" s="1"/>
  <c r="B28" i="8" s="1"/>
  <c r="B44" i="20" s="1"/>
  <c r="D12" i="34" l="1"/>
  <c r="Q33" i="27"/>
  <c r="N11" i="34"/>
  <c r="N10" i="34"/>
  <c r="C49" i="22"/>
  <c r="C48" i="22"/>
  <c r="C25" i="4" s="1"/>
  <c r="C24" i="33" s="1"/>
  <c r="C25" i="32" s="1"/>
  <c r="C23" i="5" s="1"/>
  <c r="C54" i="6" s="1"/>
  <c r="O17" i="7" s="1"/>
  <c r="Q17" i="7" s="1"/>
  <c r="C46" i="22"/>
  <c r="C23" i="4" s="1"/>
  <c r="C22" i="33" s="1"/>
  <c r="C23" i="32" s="1"/>
  <c r="C21" i="5" s="1"/>
  <c r="C52" i="6" s="1"/>
  <c r="C28" i="7" s="1"/>
  <c r="C31" i="8" s="1"/>
  <c r="C47" i="20" s="1"/>
  <c r="C202" i="10" s="1"/>
  <c r="C47" i="22"/>
  <c r="C24" i="4" s="1"/>
  <c r="C23" i="33" s="1"/>
  <c r="C24" i="32" s="1"/>
  <c r="C22" i="5" s="1"/>
  <c r="C53" i="6" s="1"/>
  <c r="C29" i="7" s="1"/>
  <c r="C32" i="8" s="1"/>
  <c r="C48" i="20" s="1"/>
  <c r="C203" i="10" s="1"/>
  <c r="AE8" i="7"/>
  <c r="AE20" i="7" s="1"/>
  <c r="J17" i="22"/>
  <c r="J16" i="22"/>
  <c r="J14" i="22"/>
  <c r="C46" i="20"/>
  <c r="C201" i="10" s="1"/>
  <c r="V17" i="7" l="1"/>
  <c r="W17" i="7"/>
  <c r="C26" i="4"/>
  <c r="C25" i="33" s="1"/>
  <c r="C26" i="32" s="1"/>
  <c r="C24" i="5" s="1"/>
  <c r="C55" i="6" s="1"/>
  <c r="C31" i="7" s="1"/>
  <c r="C34" i="8" s="1"/>
  <c r="C50" i="20" s="1"/>
  <c r="C205" i="10" s="1"/>
  <c r="R17" i="7"/>
  <c r="S17" i="7" s="1"/>
  <c r="C33" i="8"/>
  <c r="C49" i="20" s="1"/>
  <c r="C204" i="10" s="1"/>
  <c r="O15" i="7"/>
  <c r="Q15" i="7" s="1"/>
  <c r="O16" i="7"/>
  <c r="Q16" i="7" s="1"/>
  <c r="O18" i="7"/>
  <c r="Q18" i="7" s="1"/>
  <c r="X18" i="7" s="1"/>
  <c r="D8" i="34"/>
  <c r="D9" i="34"/>
  <c r="F8" i="34"/>
  <c r="O11" i="34"/>
  <c r="O10" i="34"/>
  <c r="AF8" i="7"/>
  <c r="AF20" i="7" s="1"/>
  <c r="C21" i="4"/>
  <c r="V15" i="7" l="1"/>
  <c r="W15" i="7"/>
  <c r="V16" i="7"/>
  <c r="W16" i="7"/>
  <c r="Y17" i="7"/>
  <c r="R18" i="7"/>
  <c r="S18" i="7" s="1"/>
  <c r="Y16" i="7"/>
  <c r="Z16" i="7" s="1"/>
  <c r="AB16" i="7" s="1"/>
  <c r="AC16" i="7" s="1"/>
  <c r="AD16" i="7" s="1"/>
  <c r="AE16" i="7" s="1"/>
  <c r="AF16" i="7" s="1"/>
  <c r="AG16" i="7" s="1"/>
  <c r="AH16" i="7" s="1"/>
  <c r="AI16" i="7" s="1"/>
  <c r="R16" i="7"/>
  <c r="S16" i="7" s="1"/>
  <c r="R15" i="7"/>
  <c r="S15" i="7"/>
  <c r="R16" i="4"/>
  <c r="S16" i="4" s="1"/>
  <c r="R10" i="4"/>
  <c r="S10" i="4" s="1"/>
  <c r="R17" i="4"/>
  <c r="S17" i="4" s="1"/>
  <c r="R12" i="4"/>
  <c r="S12" i="4" s="1"/>
  <c r="R14" i="4"/>
  <c r="S14" i="4" s="1"/>
  <c r="R13" i="4"/>
  <c r="S13" i="4" s="1"/>
  <c r="R15" i="4"/>
  <c r="S15" i="4" s="1"/>
  <c r="R8" i="4"/>
  <c r="S8" i="4" s="1"/>
  <c r="R18" i="4"/>
  <c r="S18" i="4" s="1"/>
  <c r="R9" i="4"/>
  <c r="S9" i="4" s="1"/>
  <c r="R11" i="4"/>
  <c r="S11" i="4" s="1"/>
  <c r="AG21" i="4"/>
  <c r="E12" i="34"/>
  <c r="I8" i="34"/>
  <c r="G8" i="34"/>
  <c r="X21" i="4"/>
  <c r="E9" i="34"/>
  <c r="AJ21" i="4"/>
  <c r="AK21" i="4"/>
  <c r="P11" i="34"/>
  <c r="P10" i="34"/>
  <c r="AG8" i="7"/>
  <c r="AG20" i="7" s="1"/>
  <c r="C20" i="33"/>
  <c r="I16" i="33" l="1"/>
  <c r="J16" i="33" s="1"/>
  <c r="M16" i="33" s="1"/>
  <c r="I9" i="33"/>
  <c r="J9" i="33" s="1"/>
  <c r="M9" i="33" s="1"/>
  <c r="Z17" i="7"/>
  <c r="I17" i="33"/>
  <c r="J17" i="33" s="1"/>
  <c r="M17" i="33" s="1"/>
  <c r="C29" i="33"/>
  <c r="I13" i="33"/>
  <c r="J13" i="33" s="1"/>
  <c r="M13" i="33" s="1"/>
  <c r="I8" i="33"/>
  <c r="J8" i="33" s="1"/>
  <c r="M8" i="33" s="1"/>
  <c r="C30" i="33"/>
  <c r="C31" i="33"/>
  <c r="C32" i="33"/>
  <c r="I10" i="33"/>
  <c r="J10" i="33" s="1"/>
  <c r="M10" i="33" s="1"/>
  <c r="I12" i="33"/>
  <c r="J12" i="33" s="1"/>
  <c r="M12" i="33" s="1"/>
  <c r="C27" i="33"/>
  <c r="I11" i="33"/>
  <c r="J11" i="33" s="1"/>
  <c r="M11" i="33" s="1"/>
  <c r="I14" i="33"/>
  <c r="J14" i="33" s="1"/>
  <c r="M14" i="33" s="1"/>
  <c r="I15" i="33"/>
  <c r="J15" i="33" s="1"/>
  <c r="M15" i="33" s="1"/>
  <c r="C28" i="33"/>
  <c r="V22" i="7"/>
  <c r="V25" i="7" s="1"/>
  <c r="D16" i="18" s="1"/>
  <c r="W18" i="7"/>
  <c r="E13" i="34"/>
  <c r="E173" i="34" s="1"/>
  <c r="AH20" i="7"/>
  <c r="F12" i="34"/>
  <c r="L8" i="34"/>
  <c r="J8" i="34"/>
  <c r="F8" i="18"/>
  <c r="F9" i="34"/>
  <c r="C78" i="34"/>
  <c r="C21" i="32"/>
  <c r="M19" i="33" l="1"/>
  <c r="M20" i="33" s="1"/>
  <c r="K16" i="33"/>
  <c r="N19" i="33"/>
  <c r="D24" i="34" s="1"/>
  <c r="D25" i="34" s="1"/>
  <c r="D34" i="27" s="1"/>
  <c r="Y18" i="7"/>
  <c r="E151" i="34"/>
  <c r="K12" i="33"/>
  <c r="K10" i="33"/>
  <c r="K8" i="33"/>
  <c r="K13" i="33"/>
  <c r="K15" i="33"/>
  <c r="I9" i="32"/>
  <c r="J9" i="32" s="1"/>
  <c r="N9" i="32" s="1"/>
  <c r="I10" i="32"/>
  <c r="J10" i="32" s="1"/>
  <c r="I13" i="32"/>
  <c r="J13" i="32" s="1"/>
  <c r="N13" i="32" s="1"/>
  <c r="I11" i="32"/>
  <c r="C28" i="32"/>
  <c r="I12" i="32"/>
  <c r="J12" i="32" s="1"/>
  <c r="N12" i="32" s="1"/>
  <c r="I8" i="32"/>
  <c r="J8" i="32" s="1"/>
  <c r="K14" i="33"/>
  <c r="K17" i="33"/>
  <c r="K11" i="33"/>
  <c r="K9" i="33"/>
  <c r="W22" i="7"/>
  <c r="X22" i="7"/>
  <c r="X25" i="7" s="1"/>
  <c r="Y15" i="7"/>
  <c r="C42" i="27"/>
  <c r="AI8" i="7"/>
  <c r="AI20" i="7" s="1"/>
  <c r="Q34" i="27"/>
  <c r="G12" i="34"/>
  <c r="O8" i="34"/>
  <c r="M8" i="34"/>
  <c r="E78" i="34"/>
  <c r="E183" i="34" s="1"/>
  <c r="D78" i="34"/>
  <c r="D183" i="34" s="1"/>
  <c r="F78" i="34"/>
  <c r="G9" i="34"/>
  <c r="R16" i="11"/>
  <c r="H5" i="34" s="1"/>
  <c r="M17" i="11"/>
  <c r="C19" i="5"/>
  <c r="I13" i="5" s="1"/>
  <c r="J13" i="5" s="1"/>
  <c r="Y21" i="4"/>
  <c r="Z21" i="4"/>
  <c r="P17" i="33" l="1"/>
  <c r="Q17" i="33" s="1"/>
  <c r="R17" i="33" s="1"/>
  <c r="S17" i="33" s="1"/>
  <c r="T17" i="33" s="1"/>
  <c r="U17" i="33" s="1"/>
  <c r="V17" i="33" s="1"/>
  <c r="W17" i="33" s="1"/>
  <c r="X17" i="33" s="1"/>
  <c r="Z17" i="33" s="1"/>
  <c r="O19" i="33"/>
  <c r="X8" i="32"/>
  <c r="Y8" i="32"/>
  <c r="Z8" i="32"/>
  <c r="O8" i="32"/>
  <c r="N8" i="32"/>
  <c r="P8" i="32"/>
  <c r="Q8" i="32"/>
  <c r="R8" i="32"/>
  <c r="V8" i="32"/>
  <c r="S8" i="32"/>
  <c r="T8" i="32"/>
  <c r="U8" i="32"/>
  <c r="W8" i="32"/>
  <c r="C169" i="34"/>
  <c r="C125" i="21"/>
  <c r="F42" i="27"/>
  <c r="F183" i="34"/>
  <c r="Y13" i="5"/>
  <c r="P13" i="5"/>
  <c r="Z18" i="7"/>
  <c r="F151" i="34"/>
  <c r="AB17" i="7"/>
  <c r="O10" i="32"/>
  <c r="P10" i="32" s="1"/>
  <c r="Q10" i="32" s="1"/>
  <c r="R10" i="32" s="1"/>
  <c r="S10" i="32" s="1"/>
  <c r="T10" i="32" s="1"/>
  <c r="U10" i="32" s="1"/>
  <c r="V10" i="32" s="1"/>
  <c r="W10" i="32" s="1"/>
  <c r="X10" i="32" s="1"/>
  <c r="Y10" i="32" s="1"/>
  <c r="Z10" i="32" s="1"/>
  <c r="K10" i="32"/>
  <c r="O9" i="32"/>
  <c r="P9" i="32" s="1"/>
  <c r="Q9" i="32" s="1"/>
  <c r="R9" i="32" s="1"/>
  <c r="S9" i="32" s="1"/>
  <c r="T9" i="32" s="1"/>
  <c r="U9" i="32" s="1"/>
  <c r="V9" i="32" s="1"/>
  <c r="W9" i="32" s="1"/>
  <c r="X9" i="32" s="1"/>
  <c r="Y9" i="32" s="1"/>
  <c r="Z9" i="32" s="1"/>
  <c r="K9" i="32"/>
  <c r="I9" i="5"/>
  <c r="J9" i="5" s="1"/>
  <c r="I16" i="5"/>
  <c r="J16" i="5" s="1"/>
  <c r="I10" i="5"/>
  <c r="J10" i="5" s="1"/>
  <c r="I11" i="5"/>
  <c r="J11" i="5" s="1"/>
  <c r="I15" i="5"/>
  <c r="J15" i="5" s="1"/>
  <c r="I14" i="5"/>
  <c r="J14" i="5" s="1"/>
  <c r="I12" i="5"/>
  <c r="K8" i="32"/>
  <c r="E24" i="34"/>
  <c r="K12" i="32"/>
  <c r="O12" i="32"/>
  <c r="P12" i="32" s="1"/>
  <c r="Q12" i="32" s="1"/>
  <c r="R12" i="32" s="1"/>
  <c r="S12" i="32" s="1"/>
  <c r="T12" i="32" s="1"/>
  <c r="U12" i="32" s="1"/>
  <c r="V12" i="32" s="1"/>
  <c r="W12" i="32" s="1"/>
  <c r="X12" i="32" s="1"/>
  <c r="Y12" i="32" s="1"/>
  <c r="Z12" i="32" s="1"/>
  <c r="D152" i="34"/>
  <c r="D153" i="34" s="1"/>
  <c r="D48" i="27" s="1"/>
  <c r="W25" i="7"/>
  <c r="E16" i="18" s="1"/>
  <c r="J11" i="32"/>
  <c r="Z15" i="7"/>
  <c r="Y22" i="7"/>
  <c r="Y25" i="7" s="1"/>
  <c r="E152" i="34"/>
  <c r="E153" i="34" s="1"/>
  <c r="F16" i="18"/>
  <c r="K13" i="32"/>
  <c r="O13" i="32"/>
  <c r="P13" i="32" s="1"/>
  <c r="Q13" i="32" s="1"/>
  <c r="R13" i="32" s="1"/>
  <c r="S13" i="32" s="1"/>
  <c r="T13" i="32" s="1"/>
  <c r="U13" i="32" s="1"/>
  <c r="V13" i="32" s="1"/>
  <c r="W13" i="32" s="1"/>
  <c r="X13" i="32" s="1"/>
  <c r="Y13" i="32" s="1"/>
  <c r="Z13" i="32" s="1"/>
  <c r="M15" i="32"/>
  <c r="C150" i="34" s="1"/>
  <c r="H12" i="34"/>
  <c r="P8" i="34"/>
  <c r="E42" i="27"/>
  <c r="D42" i="27"/>
  <c r="H9" i="34"/>
  <c r="S16" i="11"/>
  <c r="I5" i="34" s="1"/>
  <c r="C50" i="6"/>
  <c r="C26" i="7" s="1"/>
  <c r="N19" i="5"/>
  <c r="P16" i="5" l="1"/>
  <c r="Q16" i="5"/>
  <c r="R16" i="5"/>
  <c r="O16" i="5"/>
  <c r="D22" i="34" s="1"/>
  <c r="K11" i="32"/>
  <c r="N11" i="32"/>
  <c r="Q9" i="5"/>
  <c r="P9" i="5"/>
  <c r="Q11" i="5"/>
  <c r="P11" i="5"/>
  <c r="AA18" i="7"/>
  <c r="G151" i="34"/>
  <c r="AC17" i="7"/>
  <c r="T15" i="7"/>
  <c r="T17" i="7"/>
  <c r="K11" i="5"/>
  <c r="J8" i="5"/>
  <c r="P10" i="5"/>
  <c r="E25" i="34"/>
  <c r="E34" i="27" s="1"/>
  <c r="K13" i="5"/>
  <c r="P19" i="33"/>
  <c r="F24" i="34" s="1"/>
  <c r="F25" i="34" s="1"/>
  <c r="F34" i="27" s="1"/>
  <c r="K9" i="5"/>
  <c r="K16" i="5"/>
  <c r="F152" i="34"/>
  <c r="F153" i="34" s="1"/>
  <c r="F48" i="27" s="1"/>
  <c r="G16" i="18"/>
  <c r="Z22" i="7"/>
  <c r="Z25" i="7" s="1"/>
  <c r="E48" i="27"/>
  <c r="E189" i="34"/>
  <c r="O11" i="32"/>
  <c r="P11" i="32" s="1"/>
  <c r="Q11" i="32" s="1"/>
  <c r="R11" i="32" s="1"/>
  <c r="S11" i="32" s="1"/>
  <c r="T11" i="32" s="1"/>
  <c r="U11" i="32" s="1"/>
  <c r="V11" i="32" s="1"/>
  <c r="W11" i="32" s="1"/>
  <c r="X11" i="32" s="1"/>
  <c r="Y11" i="32" s="1"/>
  <c r="Z11" i="32" s="1"/>
  <c r="J12" i="5"/>
  <c r="P14" i="5"/>
  <c r="K14" i="5"/>
  <c r="K15" i="5"/>
  <c r="P15" i="5"/>
  <c r="H46" i="6"/>
  <c r="I46" i="6" s="1"/>
  <c r="H26" i="6"/>
  <c r="H18" i="6"/>
  <c r="I18" i="6" s="1"/>
  <c r="H27" i="6"/>
  <c r="I27" i="6" s="1"/>
  <c r="H10" i="6"/>
  <c r="H17" i="6"/>
  <c r="I17" i="6" s="1"/>
  <c r="H8" i="6"/>
  <c r="I8" i="6" s="1"/>
  <c r="H9" i="6"/>
  <c r="H45" i="6"/>
  <c r="I45" i="6" s="1"/>
  <c r="H19" i="6"/>
  <c r="I19" i="6" s="1"/>
  <c r="H28" i="6"/>
  <c r="I28" i="6" s="1"/>
  <c r="H13" i="34"/>
  <c r="H173" i="34" s="1"/>
  <c r="D10" i="18"/>
  <c r="I12" i="34"/>
  <c r="R17" i="11"/>
  <c r="C47" i="27"/>
  <c r="I9" i="34"/>
  <c r="I8" i="18"/>
  <c r="C188" i="34"/>
  <c r="T16" i="11"/>
  <c r="J5" i="34" s="1"/>
  <c r="L13" i="6"/>
  <c r="P8" i="6" l="1"/>
  <c r="Q8" i="6"/>
  <c r="O8" i="6"/>
  <c r="R8" i="6"/>
  <c r="S8" i="6"/>
  <c r="T8" i="6"/>
  <c r="U8" i="6"/>
  <c r="V8" i="6"/>
  <c r="W8" i="6"/>
  <c r="X8" i="6"/>
  <c r="Y8" i="6"/>
  <c r="N8" i="6"/>
  <c r="M8" i="6"/>
  <c r="H125" i="21"/>
  <c r="H169" i="34"/>
  <c r="Q8" i="5"/>
  <c r="P8" i="5"/>
  <c r="E14" i="34" s="1"/>
  <c r="I26" i="6"/>
  <c r="M26" i="34"/>
  <c r="H26" i="34"/>
  <c r="Y17" i="6"/>
  <c r="N17" i="6"/>
  <c r="AB18" i="7"/>
  <c r="H151" i="34"/>
  <c r="AD17" i="7"/>
  <c r="K8" i="5"/>
  <c r="F14" i="34"/>
  <c r="E15" i="34"/>
  <c r="G152" i="34"/>
  <c r="G153" i="34" s="1"/>
  <c r="G48" i="27" s="1"/>
  <c r="H16" i="18"/>
  <c r="Q15" i="5"/>
  <c r="E21" i="34"/>
  <c r="AB15" i="7"/>
  <c r="AA22" i="7"/>
  <c r="AA25" i="7" s="1"/>
  <c r="K10" i="5"/>
  <c r="O10" i="5"/>
  <c r="Q14" i="5"/>
  <c r="E20" i="34"/>
  <c r="E18" i="34"/>
  <c r="E22" i="34"/>
  <c r="D18" i="34"/>
  <c r="K12" i="5"/>
  <c r="E16" i="34"/>
  <c r="Q10" i="5"/>
  <c r="E17" i="34"/>
  <c r="Q19" i="33"/>
  <c r="G24" i="34" s="1"/>
  <c r="G25" i="34" s="1"/>
  <c r="G34" i="27" s="1"/>
  <c r="E19" i="34"/>
  <c r="Q13" i="5"/>
  <c r="Y15" i="32"/>
  <c r="Z15" i="32"/>
  <c r="I9" i="6"/>
  <c r="J8" i="6"/>
  <c r="I10" i="6"/>
  <c r="J28" i="6"/>
  <c r="L28" i="6"/>
  <c r="M28" i="6" s="1"/>
  <c r="N28" i="6" s="1"/>
  <c r="O28" i="6" s="1"/>
  <c r="P28" i="6" s="1"/>
  <c r="Q28" i="6" s="1"/>
  <c r="R28" i="6" s="1"/>
  <c r="S28" i="6" s="1"/>
  <c r="T28" i="6" s="1"/>
  <c r="U28" i="6" s="1"/>
  <c r="V28" i="6" s="1"/>
  <c r="W28" i="6" s="1"/>
  <c r="X28" i="6" s="1"/>
  <c r="Y28" i="6" s="1"/>
  <c r="J18" i="6"/>
  <c r="L18" i="6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J19" i="6"/>
  <c r="L19" i="6"/>
  <c r="M19" i="6" s="1"/>
  <c r="N19" i="6" s="1"/>
  <c r="O19" i="6" s="1"/>
  <c r="P19" i="6" s="1"/>
  <c r="Q19" i="6" s="1"/>
  <c r="R19" i="6" s="1"/>
  <c r="S19" i="6" s="1"/>
  <c r="T19" i="6" s="1"/>
  <c r="U19" i="6" s="1"/>
  <c r="V19" i="6" s="1"/>
  <c r="W19" i="6" s="1"/>
  <c r="X19" i="6" s="1"/>
  <c r="Y19" i="6" s="1"/>
  <c r="J17" i="6"/>
  <c r="J27" i="6"/>
  <c r="L27" i="6"/>
  <c r="J45" i="6"/>
  <c r="J46" i="6"/>
  <c r="L46" i="6"/>
  <c r="T16" i="7"/>
  <c r="I13" i="34"/>
  <c r="I173" i="34" s="1"/>
  <c r="J12" i="34"/>
  <c r="S17" i="11"/>
  <c r="J9" i="34"/>
  <c r="J8" i="18"/>
  <c r="U16" i="11"/>
  <c r="K5" i="34" s="1"/>
  <c r="C29" i="8"/>
  <c r="X26" i="7"/>
  <c r="W26" i="7"/>
  <c r="V26" i="7"/>
  <c r="V21" i="7"/>
  <c r="X23" i="7"/>
  <c r="T18" i="7"/>
  <c r="V23" i="7"/>
  <c r="W23" i="7"/>
  <c r="X21" i="7"/>
  <c r="Y26" i="7"/>
  <c r="S26" i="6" l="1"/>
  <c r="T26" i="6"/>
  <c r="U26" i="6"/>
  <c r="V26" i="6"/>
  <c r="W26" i="6"/>
  <c r="X26" i="6"/>
  <c r="Y26" i="6"/>
  <c r="N26" i="6"/>
  <c r="M26" i="6"/>
  <c r="O26" i="6"/>
  <c r="P26" i="6"/>
  <c r="R26" i="6"/>
  <c r="Q26" i="6"/>
  <c r="M12" i="6"/>
  <c r="Q9" i="6"/>
  <c r="R9" i="6"/>
  <c r="S9" i="6"/>
  <c r="T9" i="6"/>
  <c r="U9" i="6"/>
  <c r="V9" i="6"/>
  <c r="W9" i="6"/>
  <c r="X9" i="6"/>
  <c r="Y9" i="6"/>
  <c r="N9" i="6"/>
  <c r="M9" i="6"/>
  <c r="P9" i="6"/>
  <c r="O9" i="6"/>
  <c r="I169" i="34"/>
  <c r="I125" i="21"/>
  <c r="J26" i="6"/>
  <c r="G20" i="8"/>
  <c r="G21" i="8"/>
  <c r="R8" i="5"/>
  <c r="G14" i="34" s="1"/>
  <c r="E23" i="34"/>
  <c r="E33" i="27" s="1"/>
  <c r="AC18" i="7"/>
  <c r="I151" i="34"/>
  <c r="AE17" i="7"/>
  <c r="Z26" i="7"/>
  <c r="R14" i="5"/>
  <c r="F20" i="34"/>
  <c r="Z16" i="32"/>
  <c r="P150" i="34"/>
  <c r="H152" i="34"/>
  <c r="H153" i="34" s="1"/>
  <c r="H48" i="27" s="1"/>
  <c r="G11" i="8"/>
  <c r="H11" i="8" s="1"/>
  <c r="G12" i="8"/>
  <c r="H12" i="8" s="1"/>
  <c r="K12" i="8" s="1"/>
  <c r="G8" i="8"/>
  <c r="H8" i="8" s="1"/>
  <c r="G9" i="8"/>
  <c r="H9" i="8" s="1"/>
  <c r="K9" i="8" s="1"/>
  <c r="G10" i="8"/>
  <c r="H10" i="8" s="1"/>
  <c r="D16" i="34"/>
  <c r="O18" i="5"/>
  <c r="E12" i="18" s="1"/>
  <c r="Y16" i="32"/>
  <c r="O150" i="34"/>
  <c r="AC15" i="7"/>
  <c r="AB22" i="7"/>
  <c r="AB25" i="7" s="1"/>
  <c r="F19" i="34"/>
  <c r="R13" i="5"/>
  <c r="F22" i="34"/>
  <c r="R15" i="5"/>
  <c r="F21" i="34"/>
  <c r="F18" i="34"/>
  <c r="R19" i="33"/>
  <c r="H24" i="34" s="1"/>
  <c r="H25" i="34" s="1"/>
  <c r="H34" i="27" s="1"/>
  <c r="F17" i="34"/>
  <c r="R11" i="5"/>
  <c r="F15" i="34"/>
  <c r="R9" i="5"/>
  <c r="F16" i="34"/>
  <c r="R10" i="5"/>
  <c r="J10" i="6"/>
  <c r="C27" i="34"/>
  <c r="L49" i="6"/>
  <c r="D30" i="18" s="1"/>
  <c r="M46" i="6"/>
  <c r="M17" i="6"/>
  <c r="L21" i="6"/>
  <c r="M27" i="6"/>
  <c r="L30" i="6"/>
  <c r="E26" i="34"/>
  <c r="B26" i="34" s="1"/>
  <c r="J9" i="6"/>
  <c r="J13" i="34"/>
  <c r="J173" i="34" s="1"/>
  <c r="K12" i="34"/>
  <c r="T17" i="11"/>
  <c r="K9" i="34"/>
  <c r="K8" i="18"/>
  <c r="V16" i="11"/>
  <c r="L5" i="34" s="1"/>
  <c r="C45" i="20"/>
  <c r="G187" i="34"/>
  <c r="I187" i="34"/>
  <c r="J187" i="34"/>
  <c r="C11" i="34"/>
  <c r="C12" i="34"/>
  <c r="C10" i="34"/>
  <c r="B10" i="34" s="1"/>
  <c r="C9" i="34"/>
  <c r="C8" i="34"/>
  <c r="B8" i="34" s="1"/>
  <c r="L9" i="8" l="1"/>
  <c r="D155" i="34" s="1"/>
  <c r="C155" i="34"/>
  <c r="L8" i="8"/>
  <c r="D154" i="34" s="1"/>
  <c r="K8" i="8"/>
  <c r="L12" i="8"/>
  <c r="D158" i="34" s="1"/>
  <c r="C158" i="34"/>
  <c r="J125" i="21"/>
  <c r="J169" i="34"/>
  <c r="S8" i="5"/>
  <c r="H14" i="34" s="1"/>
  <c r="H21" i="8"/>
  <c r="K21" i="8" s="1"/>
  <c r="H20" i="8"/>
  <c r="I20" i="8" s="1"/>
  <c r="AD18" i="7"/>
  <c r="J151" i="34"/>
  <c r="AF17" i="7"/>
  <c r="F23" i="34"/>
  <c r="F33" i="27" s="1"/>
  <c r="I9" i="8"/>
  <c r="G17" i="34"/>
  <c r="S11" i="5"/>
  <c r="I8" i="8"/>
  <c r="G15" i="34"/>
  <c r="S9" i="5"/>
  <c r="I152" i="34"/>
  <c r="I153" i="34" s="1"/>
  <c r="I48" i="27" s="1"/>
  <c r="I16" i="18"/>
  <c r="AA26" i="7"/>
  <c r="AD15" i="7"/>
  <c r="AC22" i="7"/>
  <c r="AC25" i="7" s="1"/>
  <c r="I12" i="8"/>
  <c r="P47" i="27"/>
  <c r="P188" i="34"/>
  <c r="O47" i="27"/>
  <c r="O188" i="34"/>
  <c r="G16" i="34"/>
  <c r="S10" i="5"/>
  <c r="G18" i="34"/>
  <c r="S15" i="5"/>
  <c r="G21" i="34"/>
  <c r="G19" i="34"/>
  <c r="S13" i="5"/>
  <c r="S19" i="33"/>
  <c r="I24" i="34" s="1"/>
  <c r="I25" i="34" s="1"/>
  <c r="I34" i="27" s="1"/>
  <c r="S14" i="5"/>
  <c r="G20" i="34"/>
  <c r="G22" i="34"/>
  <c r="D23" i="34"/>
  <c r="I11" i="8"/>
  <c r="I10" i="20"/>
  <c r="I25" i="20"/>
  <c r="J25" i="20" s="1"/>
  <c r="I21" i="20"/>
  <c r="J21" i="20" s="1"/>
  <c r="I23" i="20"/>
  <c r="J23" i="20" s="1"/>
  <c r="I27" i="20"/>
  <c r="J27" i="20" s="1"/>
  <c r="I31" i="20"/>
  <c r="J31" i="20" s="1"/>
  <c r="I35" i="20"/>
  <c r="J35" i="20" s="1"/>
  <c r="I39" i="20"/>
  <c r="J39" i="20" s="1"/>
  <c r="I11" i="20"/>
  <c r="J11" i="20" s="1"/>
  <c r="I15" i="20"/>
  <c r="J15" i="20" s="1"/>
  <c r="I19" i="20"/>
  <c r="I29" i="20"/>
  <c r="I16" i="20"/>
  <c r="J16" i="20" s="1"/>
  <c r="M16" i="20" s="1"/>
  <c r="I41" i="20"/>
  <c r="J41" i="20" s="1"/>
  <c r="N41" i="20" s="1"/>
  <c r="D73" i="34" s="1"/>
  <c r="I13" i="20"/>
  <c r="J13" i="20" s="1"/>
  <c r="N13" i="20" s="1"/>
  <c r="D45" i="34" s="1"/>
  <c r="I24" i="20"/>
  <c r="J24" i="20" s="1"/>
  <c r="I28" i="20"/>
  <c r="J28" i="20" s="1"/>
  <c r="I32" i="20"/>
  <c r="J32" i="20" s="1"/>
  <c r="I36" i="20"/>
  <c r="J36" i="20" s="1"/>
  <c r="I40" i="20"/>
  <c r="J40" i="20" s="1"/>
  <c r="I12" i="20"/>
  <c r="J12" i="20" s="1"/>
  <c r="I20" i="20"/>
  <c r="J20" i="20" s="1"/>
  <c r="M20" i="20" s="1"/>
  <c r="C52" i="34" s="1"/>
  <c r="I37" i="20"/>
  <c r="J37" i="20" s="1"/>
  <c r="I17" i="20"/>
  <c r="J17" i="20" s="1"/>
  <c r="M17" i="20" s="1"/>
  <c r="I9" i="20"/>
  <c r="I26" i="20"/>
  <c r="J26" i="20" s="1"/>
  <c r="I30" i="20"/>
  <c r="J30" i="20" s="1"/>
  <c r="I34" i="20"/>
  <c r="J34" i="20" s="1"/>
  <c r="I38" i="20"/>
  <c r="J38" i="20" s="1"/>
  <c r="I42" i="20"/>
  <c r="J42" i="20" s="1"/>
  <c r="I14" i="20"/>
  <c r="I18" i="20"/>
  <c r="J18" i="20" s="1"/>
  <c r="M18" i="20" s="1"/>
  <c r="C50" i="34" s="1"/>
  <c r="I22" i="20"/>
  <c r="J22" i="20" s="1"/>
  <c r="I8" i="20"/>
  <c r="J8" i="20" s="1"/>
  <c r="I33" i="20"/>
  <c r="J33" i="20" s="1"/>
  <c r="M33" i="20" s="1"/>
  <c r="C65" i="34" s="1"/>
  <c r="I10" i="8"/>
  <c r="C80" i="34"/>
  <c r="L36" i="6"/>
  <c r="L22" i="6"/>
  <c r="M21" i="6"/>
  <c r="D27" i="34"/>
  <c r="D28" i="34" s="1"/>
  <c r="D35" i="27" s="1"/>
  <c r="M49" i="6"/>
  <c r="E30" i="18" s="1"/>
  <c r="N46" i="6"/>
  <c r="N12" i="6"/>
  <c r="D79" i="34"/>
  <c r="M13" i="6"/>
  <c r="C81" i="34"/>
  <c r="L31" i="6"/>
  <c r="N27" i="6"/>
  <c r="M30" i="6"/>
  <c r="L50" i="6"/>
  <c r="K13" i="34"/>
  <c r="K173" i="34" s="1"/>
  <c r="Q48" i="27"/>
  <c r="L12" i="34"/>
  <c r="U17" i="11"/>
  <c r="C13" i="34"/>
  <c r="L9" i="34"/>
  <c r="L8" i="18"/>
  <c r="L35" i="18" s="1"/>
  <c r="K19" i="23" s="1"/>
  <c r="L24" i="20"/>
  <c r="L11" i="20"/>
  <c r="L21" i="20"/>
  <c r="L42" i="20"/>
  <c r="L17" i="20"/>
  <c r="L15" i="20"/>
  <c r="L26" i="20"/>
  <c r="L30" i="20"/>
  <c r="L23" i="20"/>
  <c r="L36" i="20"/>
  <c r="L31" i="20"/>
  <c r="L16" i="20"/>
  <c r="L9" i="20"/>
  <c r="C200" i="10"/>
  <c r="H174" i="10" s="1"/>
  <c r="I174" i="10" s="1"/>
  <c r="L35" i="20"/>
  <c r="L22" i="20"/>
  <c r="L10" i="20"/>
  <c r="L34" i="20"/>
  <c r="W16" i="11"/>
  <c r="M5" i="34" s="1"/>
  <c r="L20" i="20"/>
  <c r="L28" i="20"/>
  <c r="L13" i="20"/>
  <c r="L27" i="20"/>
  <c r="L40" i="20"/>
  <c r="L38" i="20"/>
  <c r="L39" i="20"/>
  <c r="L14" i="20"/>
  <c r="L12" i="20"/>
  <c r="L25" i="20"/>
  <c r="L33" i="20"/>
  <c r="L37" i="20"/>
  <c r="L18" i="20"/>
  <c r="L29" i="20"/>
  <c r="L32" i="20"/>
  <c r="L41" i="20"/>
  <c r="L19" i="20"/>
  <c r="C140" i="34"/>
  <c r="O39" i="10"/>
  <c r="F31" i="34" s="1"/>
  <c r="I35" i="18"/>
  <c r="H19" i="23" s="1"/>
  <c r="J35" i="18"/>
  <c r="I19" i="23" s="1"/>
  <c r="K35" i="18"/>
  <c r="J19" i="23" s="1"/>
  <c r="L143" i="10"/>
  <c r="P39" i="10"/>
  <c r="G31" i="34" s="1"/>
  <c r="G37" i="27" s="1"/>
  <c r="C39" i="34"/>
  <c r="W21" i="7"/>
  <c r="C28" i="34"/>
  <c r="D180" i="34"/>
  <c r="F35" i="18"/>
  <c r="E19" i="23" s="1"/>
  <c r="N16" i="20" l="1"/>
  <c r="D48" i="34" s="1"/>
  <c r="C48" i="34"/>
  <c r="N8" i="20"/>
  <c r="M8" i="20"/>
  <c r="C40" i="34" s="1"/>
  <c r="M44" i="20"/>
  <c r="C49" i="34"/>
  <c r="C75" i="34" s="1"/>
  <c r="L14" i="8"/>
  <c r="C154" i="34"/>
  <c r="K14" i="8"/>
  <c r="K15" i="8" s="1"/>
  <c r="K23" i="8"/>
  <c r="C160" i="34"/>
  <c r="I21" i="8"/>
  <c r="L21" i="8"/>
  <c r="J174" i="10"/>
  <c r="W174" i="10"/>
  <c r="W176" i="10" s="1"/>
  <c r="D33" i="27"/>
  <c r="D174" i="34"/>
  <c r="K125" i="21"/>
  <c r="K169" i="34"/>
  <c r="D40" i="34"/>
  <c r="M23" i="8"/>
  <c r="M24" i="8" s="1"/>
  <c r="T8" i="5"/>
  <c r="I14" i="34" s="1"/>
  <c r="J29" i="20"/>
  <c r="E159" i="34"/>
  <c r="N20" i="8"/>
  <c r="N21" i="8"/>
  <c r="E160" i="34"/>
  <c r="P41" i="34"/>
  <c r="K41" i="34"/>
  <c r="H41" i="34"/>
  <c r="K42" i="34"/>
  <c r="H42" i="34"/>
  <c r="O51" i="34"/>
  <c r="J51" i="34"/>
  <c r="J14" i="20"/>
  <c r="K14" i="20" s="1"/>
  <c r="M46" i="34"/>
  <c r="G46" i="34"/>
  <c r="AE18" i="7"/>
  <c r="K151" i="34"/>
  <c r="AG17" i="7"/>
  <c r="G23" i="34"/>
  <c r="G33" i="27" s="1"/>
  <c r="K23" i="20"/>
  <c r="H15" i="34"/>
  <c r="T9" i="5"/>
  <c r="K21" i="20"/>
  <c r="T19" i="33"/>
  <c r="J24" i="34" s="1"/>
  <c r="K17" i="20"/>
  <c r="K29" i="20"/>
  <c r="E157" i="34"/>
  <c r="N11" i="8"/>
  <c r="H19" i="34"/>
  <c r="T13" i="5"/>
  <c r="E158" i="34"/>
  <c r="N12" i="8"/>
  <c r="E154" i="34"/>
  <c r="N8" i="8"/>
  <c r="M14" i="8"/>
  <c r="M15" i="8" s="1"/>
  <c r="E51" i="34"/>
  <c r="J19" i="20"/>
  <c r="K19" i="20" s="1"/>
  <c r="H17" i="34"/>
  <c r="T11" i="5"/>
  <c r="K37" i="20"/>
  <c r="K8" i="20"/>
  <c r="K20" i="20"/>
  <c r="K15" i="20"/>
  <c r="J152" i="34"/>
  <c r="J153" i="34" s="1"/>
  <c r="J48" i="27" s="1"/>
  <c r="K41" i="20"/>
  <c r="H156" i="10"/>
  <c r="I156" i="10" s="1"/>
  <c r="H92" i="10"/>
  <c r="I92" i="10" s="1"/>
  <c r="H80" i="10"/>
  <c r="I80" i="10" s="1"/>
  <c r="J80" i="10" s="1"/>
  <c r="H84" i="10"/>
  <c r="I84" i="10" s="1"/>
  <c r="J84" i="10" s="1"/>
  <c r="H13" i="10"/>
  <c r="I13" i="10" s="1"/>
  <c r="H78" i="10"/>
  <c r="H74" i="10"/>
  <c r="I74" i="10" s="1"/>
  <c r="H100" i="10"/>
  <c r="I100" i="10" s="1"/>
  <c r="J100" i="10" s="1"/>
  <c r="H108" i="10"/>
  <c r="I108" i="10" s="1"/>
  <c r="J108" i="10" s="1"/>
  <c r="H173" i="10"/>
  <c r="H152" i="10"/>
  <c r="I152" i="10" s="1"/>
  <c r="H126" i="10"/>
  <c r="I126" i="10" s="1"/>
  <c r="H110" i="10"/>
  <c r="I110" i="10" s="1"/>
  <c r="H59" i="10"/>
  <c r="I59" i="10" s="1"/>
  <c r="J59" i="10" s="1"/>
  <c r="H63" i="10"/>
  <c r="I63" i="10" s="1"/>
  <c r="H67" i="10"/>
  <c r="I67" i="10" s="1"/>
  <c r="J67" i="10" s="1"/>
  <c r="H71" i="10"/>
  <c r="I71" i="10" s="1"/>
  <c r="H76" i="10"/>
  <c r="I76" i="10" s="1"/>
  <c r="H37" i="10"/>
  <c r="I37" i="10" s="1"/>
  <c r="J37" i="10" s="1"/>
  <c r="H8" i="10"/>
  <c r="I8" i="10" s="1"/>
  <c r="H105" i="10"/>
  <c r="J135" i="34" s="1"/>
  <c r="H115" i="10"/>
  <c r="I115" i="10" s="1"/>
  <c r="J115" i="10" s="1"/>
  <c r="H93" i="10"/>
  <c r="I93" i="10" s="1"/>
  <c r="J93" i="10" s="1"/>
  <c r="H55" i="10"/>
  <c r="H187" i="10"/>
  <c r="I187" i="10" s="1"/>
  <c r="J187" i="10" s="1"/>
  <c r="H89" i="10"/>
  <c r="I89" i="10" s="1"/>
  <c r="J89" i="10" s="1"/>
  <c r="H82" i="10"/>
  <c r="I82" i="10" s="1"/>
  <c r="J82" i="10" s="1"/>
  <c r="H61" i="10"/>
  <c r="I61" i="10" s="1"/>
  <c r="H95" i="10"/>
  <c r="H57" i="10"/>
  <c r="I57" i="10" s="1"/>
  <c r="J57" i="10" s="1"/>
  <c r="M57" i="10" s="1"/>
  <c r="D87" i="34" s="1"/>
  <c r="B87" i="34" s="1"/>
  <c r="H113" i="10"/>
  <c r="I113" i="10" s="1"/>
  <c r="J113" i="10" s="1"/>
  <c r="H97" i="10"/>
  <c r="I97" i="10" s="1"/>
  <c r="J97" i="10" s="1"/>
  <c r="H112" i="10"/>
  <c r="I112" i="10" s="1"/>
  <c r="H65" i="10"/>
  <c r="I65" i="10" s="1"/>
  <c r="H103" i="10"/>
  <c r="I103" i="10" s="1"/>
  <c r="J103" i="10" s="1"/>
  <c r="H172" i="10"/>
  <c r="H157" i="10"/>
  <c r="I157" i="10" s="1"/>
  <c r="H141" i="10"/>
  <c r="I141" i="10" s="1"/>
  <c r="J141" i="10" s="1"/>
  <c r="H60" i="10"/>
  <c r="H64" i="10"/>
  <c r="I64" i="10" s="1"/>
  <c r="J64" i="10" s="1"/>
  <c r="H68" i="10"/>
  <c r="I68" i="10" s="1"/>
  <c r="H72" i="10"/>
  <c r="I72" i="10" s="1"/>
  <c r="H36" i="10"/>
  <c r="I36" i="10" s="1"/>
  <c r="J36" i="10" s="1"/>
  <c r="H9" i="10"/>
  <c r="I9" i="10" s="1"/>
  <c r="H14" i="10"/>
  <c r="I14" i="10" s="1"/>
  <c r="H140" i="10"/>
  <c r="H35" i="10"/>
  <c r="I35" i="10" s="1"/>
  <c r="J35" i="10" s="1"/>
  <c r="H15" i="10"/>
  <c r="I15" i="10" s="1"/>
  <c r="H99" i="10"/>
  <c r="I99" i="10" s="1"/>
  <c r="H10" i="10"/>
  <c r="I10" i="10" s="1"/>
  <c r="H129" i="10"/>
  <c r="I129" i="10" s="1"/>
  <c r="H69" i="10"/>
  <c r="I69" i="10" s="1"/>
  <c r="H90" i="10"/>
  <c r="I90" i="10" s="1"/>
  <c r="J90" i="10" s="1"/>
  <c r="H11" i="10"/>
  <c r="I11" i="10" s="1"/>
  <c r="H155" i="10"/>
  <c r="I155" i="10" s="1"/>
  <c r="H101" i="10"/>
  <c r="I101" i="10" s="1"/>
  <c r="J101" i="10" s="1"/>
  <c r="H111" i="10"/>
  <c r="I111" i="10" s="1"/>
  <c r="H141" i="34" s="1"/>
  <c r="H88" i="10"/>
  <c r="I88" i="10" s="1"/>
  <c r="M88" i="10" s="1"/>
  <c r="D118" i="34" s="1"/>
  <c r="H94" i="10"/>
  <c r="I94" i="10" s="1"/>
  <c r="J94" i="10" s="1"/>
  <c r="H98" i="10"/>
  <c r="I98" i="10" s="1"/>
  <c r="L98" i="10" s="1"/>
  <c r="C128" i="34" s="1"/>
  <c r="H56" i="10"/>
  <c r="E86" i="34" s="1"/>
  <c r="H77" i="10"/>
  <c r="I77" i="10" s="1"/>
  <c r="J77" i="10" s="1"/>
  <c r="N77" i="10" s="1"/>
  <c r="H81" i="10"/>
  <c r="I81" i="10" s="1"/>
  <c r="H85" i="10"/>
  <c r="I85" i="10" s="1"/>
  <c r="N85" i="10" s="1"/>
  <c r="H158" i="10"/>
  <c r="I158" i="10" s="1"/>
  <c r="H106" i="10"/>
  <c r="I106" i="10" s="1"/>
  <c r="J106" i="10" s="1"/>
  <c r="H73" i="10"/>
  <c r="I73" i="10" s="1"/>
  <c r="J73" i="10" s="1"/>
  <c r="H154" i="10"/>
  <c r="I154" i="10" s="1"/>
  <c r="H86" i="10"/>
  <c r="I86" i="10" s="1"/>
  <c r="H107" i="10"/>
  <c r="I107" i="10" s="1"/>
  <c r="J107" i="10" s="1"/>
  <c r="H34" i="10"/>
  <c r="I34" i="10" s="1"/>
  <c r="J34" i="10" s="1"/>
  <c r="H159" i="10"/>
  <c r="I159" i="10" s="1"/>
  <c r="H128" i="10"/>
  <c r="I128" i="10" s="1"/>
  <c r="H62" i="10"/>
  <c r="I62" i="10" s="1"/>
  <c r="H66" i="10"/>
  <c r="I66" i="10" s="1"/>
  <c r="J66" i="10" s="1"/>
  <c r="H70" i="10"/>
  <c r="I70" i="10" s="1"/>
  <c r="H33" i="10"/>
  <c r="I33" i="10" s="1"/>
  <c r="J33" i="10" s="1"/>
  <c r="H160" i="10"/>
  <c r="I160" i="10" s="1"/>
  <c r="H91" i="10"/>
  <c r="I91" i="10" s="1"/>
  <c r="H96" i="10"/>
  <c r="I96" i="10" s="1"/>
  <c r="J96" i="10" s="1"/>
  <c r="H54" i="10"/>
  <c r="I54" i="10" s="1"/>
  <c r="J54" i="10" s="1"/>
  <c r="H58" i="10"/>
  <c r="H79" i="10"/>
  <c r="I79" i="10" s="1"/>
  <c r="J79" i="10" s="1"/>
  <c r="H83" i="10"/>
  <c r="I83" i="10" s="1"/>
  <c r="J83" i="10" s="1"/>
  <c r="H87" i="10"/>
  <c r="H12" i="10"/>
  <c r="I12" i="10" s="1"/>
  <c r="H185" i="10"/>
  <c r="H153" i="10"/>
  <c r="I153" i="10" s="1"/>
  <c r="H127" i="10"/>
  <c r="I127" i="10" s="1"/>
  <c r="H104" i="10"/>
  <c r="I104" i="10" s="1"/>
  <c r="J104" i="10" s="1"/>
  <c r="H109" i="10"/>
  <c r="I109" i="10" s="1"/>
  <c r="H114" i="10"/>
  <c r="I114" i="10" s="1"/>
  <c r="J114" i="10" s="1"/>
  <c r="H75" i="10"/>
  <c r="I75" i="10" s="1"/>
  <c r="M75" i="10" s="1"/>
  <c r="D105" i="34" s="1"/>
  <c r="H53" i="10"/>
  <c r="H32" i="10"/>
  <c r="I32" i="10" s="1"/>
  <c r="J32" i="10" s="1"/>
  <c r="H102" i="10"/>
  <c r="I102" i="10" s="1"/>
  <c r="J102" i="10" s="1"/>
  <c r="H186" i="10"/>
  <c r="I186" i="10" s="1"/>
  <c r="M186" i="10" s="1"/>
  <c r="K22" i="20"/>
  <c r="K12" i="20"/>
  <c r="K11" i="20"/>
  <c r="T15" i="5"/>
  <c r="H21" i="34"/>
  <c r="AE15" i="7"/>
  <c r="AD22" i="7"/>
  <c r="AD25" i="7" s="1"/>
  <c r="E155" i="34"/>
  <c r="N9" i="8"/>
  <c r="T14" i="5"/>
  <c r="H20" i="34"/>
  <c r="K25" i="20"/>
  <c r="K18" i="20"/>
  <c r="K40" i="20"/>
  <c r="K39" i="20"/>
  <c r="H18" i="34"/>
  <c r="K24" i="20"/>
  <c r="E156" i="34"/>
  <c r="N10" i="8"/>
  <c r="K13" i="20"/>
  <c r="K26" i="20"/>
  <c r="K16" i="20"/>
  <c r="J46" i="34"/>
  <c r="K36" i="20"/>
  <c r="K35" i="20"/>
  <c r="H22" i="34"/>
  <c r="K30" i="20"/>
  <c r="J9" i="20"/>
  <c r="J41" i="34"/>
  <c r="E41" i="34"/>
  <c r="K42" i="20"/>
  <c r="K32" i="20"/>
  <c r="K31" i="20"/>
  <c r="H16" i="34"/>
  <c r="T10" i="5"/>
  <c r="J16" i="18"/>
  <c r="AB26" i="7"/>
  <c r="K34" i="20"/>
  <c r="J10" i="20"/>
  <c r="J42" i="34"/>
  <c r="E42" i="34"/>
  <c r="K33" i="20"/>
  <c r="K38" i="20"/>
  <c r="K28" i="20"/>
  <c r="K27" i="20"/>
  <c r="D81" i="34"/>
  <c r="M31" i="6"/>
  <c r="D80" i="34"/>
  <c r="M36" i="6"/>
  <c r="O27" i="6"/>
  <c r="N30" i="6"/>
  <c r="O17" i="6"/>
  <c r="N21" i="6"/>
  <c r="E79" i="34"/>
  <c r="N13" i="6"/>
  <c r="O12" i="6"/>
  <c r="E27" i="34"/>
  <c r="E28" i="34" s="1"/>
  <c r="E35" i="27" s="1"/>
  <c r="O46" i="6"/>
  <c r="N49" i="6"/>
  <c r="D14" i="18"/>
  <c r="C82" i="34"/>
  <c r="L13" i="34"/>
  <c r="L173" i="34" s="1"/>
  <c r="F37" i="27"/>
  <c r="M12" i="34"/>
  <c r="V17" i="11"/>
  <c r="C180" i="34"/>
  <c r="C39" i="27"/>
  <c r="C176" i="34"/>
  <c r="C35" i="27"/>
  <c r="X177" i="10"/>
  <c r="X40" i="10"/>
  <c r="Y40" i="10"/>
  <c r="Y177" i="10"/>
  <c r="D8" i="18"/>
  <c r="D35" i="18" s="1"/>
  <c r="C19" i="23" s="1"/>
  <c r="M9" i="34"/>
  <c r="M8" i="18"/>
  <c r="M35" i="18" s="1"/>
  <c r="L19" i="23" s="1"/>
  <c r="N9" i="34"/>
  <c r="M144" i="10"/>
  <c r="M177" i="10"/>
  <c r="O190" i="10"/>
  <c r="P190" i="10"/>
  <c r="O177" i="10"/>
  <c r="R190" i="10"/>
  <c r="L40" i="10"/>
  <c r="S190" i="10"/>
  <c r="N177" i="10"/>
  <c r="M40" i="10"/>
  <c r="N40" i="10"/>
  <c r="L177" i="10"/>
  <c r="L190" i="10"/>
  <c r="X16" i="11"/>
  <c r="N5" i="34" s="1"/>
  <c r="C173" i="34"/>
  <c r="F186" i="34"/>
  <c r="L144" i="10"/>
  <c r="O40" i="10"/>
  <c r="G178" i="34"/>
  <c r="P40" i="10"/>
  <c r="P18" i="5"/>
  <c r="C23" i="34"/>
  <c r="C33" i="27" s="1"/>
  <c r="Q39" i="10"/>
  <c r="H31" i="34" s="1"/>
  <c r="H37" i="27" s="1"/>
  <c r="L8" i="20"/>
  <c r="D91" i="34" l="1"/>
  <c r="L61" i="10"/>
  <c r="C91" i="34" s="1"/>
  <c r="J74" i="10"/>
  <c r="L74" i="10"/>
  <c r="C104" i="34" s="1"/>
  <c r="B104" i="34" s="1"/>
  <c r="D99" i="34"/>
  <c r="L69" i="10"/>
  <c r="C99" i="34" s="1"/>
  <c r="J65" i="10"/>
  <c r="L65" i="10"/>
  <c r="C95" i="34" s="1"/>
  <c r="B95" i="34" s="1"/>
  <c r="J71" i="10"/>
  <c r="L71" i="10"/>
  <c r="C101" i="34" s="1"/>
  <c r="B101" i="34" s="1"/>
  <c r="C40" i="27"/>
  <c r="C181" i="34"/>
  <c r="D20" i="18"/>
  <c r="M45" i="20"/>
  <c r="M10" i="10"/>
  <c r="L10" i="10"/>
  <c r="M15" i="10"/>
  <c r="L15" i="10"/>
  <c r="M126" i="10"/>
  <c r="L126" i="10"/>
  <c r="L152" i="10"/>
  <c r="M152" i="10"/>
  <c r="M14" i="10"/>
  <c r="L14" i="10"/>
  <c r="L154" i="10"/>
  <c r="M154" i="10"/>
  <c r="M9" i="10"/>
  <c r="L9" i="10"/>
  <c r="M8" i="10"/>
  <c r="L8" i="10"/>
  <c r="M155" i="10"/>
  <c r="L155" i="10"/>
  <c r="M128" i="10"/>
  <c r="D34" i="34" s="1"/>
  <c r="L128" i="10"/>
  <c r="C34" i="34" s="1"/>
  <c r="M11" i="10"/>
  <c r="L11" i="10"/>
  <c r="M72" i="10"/>
  <c r="D102" i="34" s="1"/>
  <c r="L72" i="10"/>
  <c r="C102" i="34" s="1"/>
  <c r="M76" i="10"/>
  <c r="D106" i="34" s="1"/>
  <c r="K28" i="8"/>
  <c r="K24" i="8"/>
  <c r="M127" i="10"/>
  <c r="D33" i="34" s="1"/>
  <c r="L127" i="10"/>
  <c r="C33" i="34" s="1"/>
  <c r="M13" i="10"/>
  <c r="L13" i="10"/>
  <c r="L153" i="10"/>
  <c r="M153" i="10"/>
  <c r="J70" i="10"/>
  <c r="L70" i="10"/>
  <c r="C100" i="34" s="1"/>
  <c r="B100" i="34" s="1"/>
  <c r="C161" i="34"/>
  <c r="M12" i="10"/>
  <c r="L12" i="10"/>
  <c r="M129" i="10"/>
  <c r="D35" i="34" s="1"/>
  <c r="L129" i="10"/>
  <c r="C35" i="34" s="1"/>
  <c r="D98" i="34"/>
  <c r="L68" i="10"/>
  <c r="C98" i="34" s="1"/>
  <c r="G41" i="34"/>
  <c r="N9" i="20"/>
  <c r="M98" i="10"/>
  <c r="D128" i="34" s="1"/>
  <c r="D32" i="34"/>
  <c r="K10" i="20"/>
  <c r="G42" i="34"/>
  <c r="N10" i="20"/>
  <c r="D42" i="34" s="1"/>
  <c r="L23" i="8"/>
  <c r="D160" i="34"/>
  <c r="D161" i="34" s="1"/>
  <c r="L125" i="21"/>
  <c r="L169" i="34"/>
  <c r="U8" i="5"/>
  <c r="J14" i="34" s="1"/>
  <c r="J83" i="34"/>
  <c r="J86" i="10"/>
  <c r="I55" i="10"/>
  <c r="L55" i="10" s="1"/>
  <c r="C85" i="34" s="1"/>
  <c r="H85" i="34"/>
  <c r="E85" i="34"/>
  <c r="N23" i="8"/>
  <c r="N24" i="8" s="1"/>
  <c r="H121" i="34"/>
  <c r="L135" i="34"/>
  <c r="G135" i="34"/>
  <c r="P83" i="34"/>
  <c r="H83" i="34"/>
  <c r="I60" i="10"/>
  <c r="K90" i="34"/>
  <c r="J62" i="10"/>
  <c r="N92" i="34"/>
  <c r="K92" i="34"/>
  <c r="H92" i="34"/>
  <c r="E92" i="34"/>
  <c r="N42" i="34"/>
  <c r="P42" i="34"/>
  <c r="J81" i="10"/>
  <c r="D111" i="34" s="1"/>
  <c r="K111" i="34"/>
  <c r="N81" i="10"/>
  <c r="M106" i="34"/>
  <c r="K106" i="34"/>
  <c r="I106" i="34"/>
  <c r="J61" i="10"/>
  <c r="K91" i="34"/>
  <c r="J85" i="10"/>
  <c r="K115" i="34"/>
  <c r="O21" i="8"/>
  <c r="F160" i="34"/>
  <c r="F159" i="34"/>
  <c r="D82" i="34"/>
  <c r="D43" i="27" s="1"/>
  <c r="B51" i="34"/>
  <c r="I185" i="10"/>
  <c r="W185" i="10"/>
  <c r="X185" i="10" s="1"/>
  <c r="B46" i="34"/>
  <c r="I87" i="10"/>
  <c r="M87" i="10" s="1"/>
  <c r="D117" i="34" s="1"/>
  <c r="I172" i="10"/>
  <c r="N147" i="34"/>
  <c r="N45" i="27" s="1"/>
  <c r="M28" i="8"/>
  <c r="F18" i="18" s="1"/>
  <c r="I173" i="10"/>
  <c r="I78" i="10"/>
  <c r="J78" i="10" s="1"/>
  <c r="P78" i="10"/>
  <c r="L121" i="34"/>
  <c r="O91" i="10"/>
  <c r="F121" i="34" s="1"/>
  <c r="I95" i="10"/>
  <c r="L125" i="34"/>
  <c r="M122" i="34"/>
  <c r="H122" i="34"/>
  <c r="I56" i="10"/>
  <c r="J56" i="10" s="1"/>
  <c r="G86" i="34"/>
  <c r="J86" i="34"/>
  <c r="P86" i="34"/>
  <c r="M86" i="34"/>
  <c r="J99" i="10"/>
  <c r="K129" i="34"/>
  <c r="N99" i="10"/>
  <c r="I53" i="10"/>
  <c r="M83" i="34"/>
  <c r="I58" i="10"/>
  <c r="J58" i="10" s="1"/>
  <c r="K88" i="34"/>
  <c r="B88" i="34" s="1"/>
  <c r="I140" i="10"/>
  <c r="J111" i="10"/>
  <c r="N111" i="10"/>
  <c r="E141" i="34" s="1"/>
  <c r="B141" i="34" s="1"/>
  <c r="I105" i="10"/>
  <c r="E135" i="34"/>
  <c r="AF18" i="7"/>
  <c r="L151" i="34"/>
  <c r="AH17" i="7"/>
  <c r="H23" i="34"/>
  <c r="H33" i="27" s="1"/>
  <c r="E64" i="34"/>
  <c r="E67" i="34"/>
  <c r="E59" i="34"/>
  <c r="E66" i="34"/>
  <c r="J153" i="10"/>
  <c r="O153" i="10"/>
  <c r="J69" i="10"/>
  <c r="J99" i="34"/>
  <c r="P99" i="34"/>
  <c r="E99" i="34"/>
  <c r="F154" i="34"/>
  <c r="N14" i="8"/>
  <c r="J25" i="34"/>
  <c r="J34" i="27" s="1"/>
  <c r="J129" i="10"/>
  <c r="J63" i="10"/>
  <c r="E52" i="34"/>
  <c r="E161" i="34"/>
  <c r="U19" i="33"/>
  <c r="K24" i="34" s="1"/>
  <c r="K25" i="34" s="1"/>
  <c r="K34" i="27" s="1"/>
  <c r="I18" i="34"/>
  <c r="J110" i="10"/>
  <c r="N110" i="10"/>
  <c r="O44" i="20"/>
  <c r="O45" i="20" s="1"/>
  <c r="E70" i="34"/>
  <c r="J159" i="10"/>
  <c r="N159" i="10"/>
  <c r="P159" i="10" s="1"/>
  <c r="Q159" i="10" s="1"/>
  <c r="R159" i="10" s="1"/>
  <c r="S159" i="10" s="1"/>
  <c r="T159" i="10" s="1"/>
  <c r="U159" i="10" s="1"/>
  <c r="V159" i="10" s="1"/>
  <c r="W159" i="10" s="1"/>
  <c r="X159" i="10" s="1"/>
  <c r="Y159" i="10" s="1"/>
  <c r="J98" i="10"/>
  <c r="O15" i="10"/>
  <c r="P15" i="10" s="1"/>
  <c r="J15" i="10"/>
  <c r="J126" i="10"/>
  <c r="E40" i="34"/>
  <c r="I19" i="34"/>
  <c r="U13" i="5"/>
  <c r="I15" i="34"/>
  <c r="U9" i="5"/>
  <c r="E60" i="34"/>
  <c r="E53" i="34"/>
  <c r="F155" i="34"/>
  <c r="I16" i="34"/>
  <c r="U10" i="5"/>
  <c r="K9" i="20"/>
  <c r="E48" i="34"/>
  <c r="E71" i="34"/>
  <c r="K152" i="34"/>
  <c r="K153" i="34" s="1"/>
  <c r="K48" i="27" s="1"/>
  <c r="J152" i="10"/>
  <c r="O152" i="10"/>
  <c r="P152" i="10" s="1"/>
  <c r="E73" i="34"/>
  <c r="E69" i="34"/>
  <c r="U14" i="5"/>
  <c r="I20" i="34"/>
  <c r="J92" i="10"/>
  <c r="P122" i="34"/>
  <c r="J122" i="34"/>
  <c r="N92" i="10"/>
  <c r="E122" i="34" s="1"/>
  <c r="E65" i="34"/>
  <c r="AE22" i="7"/>
  <c r="AE25" i="7" s="1"/>
  <c r="AF15" i="7"/>
  <c r="J88" i="10"/>
  <c r="N88" i="10"/>
  <c r="F157" i="34"/>
  <c r="E74" i="34"/>
  <c r="J128" i="10"/>
  <c r="J156" i="10"/>
  <c r="N156" i="10"/>
  <c r="P156" i="10" s="1"/>
  <c r="Q156" i="10" s="1"/>
  <c r="R156" i="10" s="1"/>
  <c r="S156" i="10" s="1"/>
  <c r="T156" i="10" s="1"/>
  <c r="U156" i="10" s="1"/>
  <c r="V156" i="10" s="1"/>
  <c r="W156" i="10" s="1"/>
  <c r="X156" i="10" s="1"/>
  <c r="Y156" i="10" s="1"/>
  <c r="E62" i="34"/>
  <c r="E58" i="34"/>
  <c r="E72" i="34"/>
  <c r="J75" i="10"/>
  <c r="N75" i="10"/>
  <c r="J14" i="10"/>
  <c r="O14" i="10"/>
  <c r="P14" i="10" s="1"/>
  <c r="J112" i="10"/>
  <c r="I17" i="34"/>
  <c r="U11" i="5"/>
  <c r="E55" i="34"/>
  <c r="E54" i="34"/>
  <c r="O77" i="10"/>
  <c r="E107" i="34"/>
  <c r="F158" i="34"/>
  <c r="J157" i="10"/>
  <c r="N157" i="10"/>
  <c r="P157" i="10" s="1"/>
  <c r="Q157" i="10" s="1"/>
  <c r="R157" i="10" s="1"/>
  <c r="S157" i="10" s="1"/>
  <c r="T157" i="10" s="1"/>
  <c r="U157" i="10" s="1"/>
  <c r="V157" i="10" s="1"/>
  <c r="W157" i="10" s="1"/>
  <c r="X157" i="10" s="1"/>
  <c r="Y157" i="10" s="1"/>
  <c r="U15" i="5"/>
  <c r="I21" i="34"/>
  <c r="J154" i="10"/>
  <c r="J9" i="10"/>
  <c r="O9" i="10"/>
  <c r="P9" i="10" s="1"/>
  <c r="J8" i="10"/>
  <c r="K16" i="18"/>
  <c r="AC26" i="7"/>
  <c r="E61" i="34"/>
  <c r="E56" i="34"/>
  <c r="J12" i="10"/>
  <c r="O12" i="10"/>
  <c r="P12" i="10" s="1"/>
  <c r="J10" i="10"/>
  <c r="E63" i="34"/>
  <c r="E45" i="34"/>
  <c r="E50" i="34"/>
  <c r="E43" i="34"/>
  <c r="N109" i="10"/>
  <c r="J109" i="10"/>
  <c r="J91" i="10"/>
  <c r="E121" i="34"/>
  <c r="J155" i="10"/>
  <c r="O155" i="10"/>
  <c r="P155" i="10" s="1"/>
  <c r="E68" i="34"/>
  <c r="J186" i="10"/>
  <c r="I22" i="34"/>
  <c r="J160" i="10"/>
  <c r="N160" i="10"/>
  <c r="P160" i="10" s="1"/>
  <c r="Q160" i="10" s="1"/>
  <c r="R160" i="10" s="1"/>
  <c r="S160" i="10" s="1"/>
  <c r="T160" i="10" s="1"/>
  <c r="U160" i="10" s="1"/>
  <c r="V160" i="10" s="1"/>
  <c r="W160" i="10" s="1"/>
  <c r="X160" i="10" s="1"/>
  <c r="Y160" i="10" s="1"/>
  <c r="O11" i="10"/>
  <c r="P11" i="10" s="1"/>
  <c r="J11" i="10"/>
  <c r="J72" i="10"/>
  <c r="J106" i="34"/>
  <c r="E106" i="34"/>
  <c r="P106" i="34"/>
  <c r="J76" i="10"/>
  <c r="E49" i="34"/>
  <c r="F156" i="34"/>
  <c r="E57" i="34"/>
  <c r="E44" i="34"/>
  <c r="J127" i="10"/>
  <c r="J158" i="10"/>
  <c r="N158" i="10"/>
  <c r="P158" i="10" s="1"/>
  <c r="Q158" i="10" s="1"/>
  <c r="R158" i="10" s="1"/>
  <c r="S158" i="10" s="1"/>
  <c r="T158" i="10" s="1"/>
  <c r="U158" i="10" s="1"/>
  <c r="V158" i="10" s="1"/>
  <c r="W158" i="10" s="1"/>
  <c r="X158" i="10" s="1"/>
  <c r="Y158" i="10" s="1"/>
  <c r="P98" i="34"/>
  <c r="J98" i="34"/>
  <c r="E98" i="34"/>
  <c r="J68" i="10"/>
  <c r="J13" i="10"/>
  <c r="O13" i="10"/>
  <c r="P13" i="10" s="1"/>
  <c r="E47" i="34"/>
  <c r="F27" i="34"/>
  <c r="F28" i="34" s="1"/>
  <c r="P46" i="6"/>
  <c r="O49" i="6"/>
  <c r="G30" i="18" s="1"/>
  <c r="E81" i="34"/>
  <c r="N31" i="6"/>
  <c r="P27" i="6"/>
  <c r="O30" i="6"/>
  <c r="P12" i="6"/>
  <c r="C43" i="27"/>
  <c r="C184" i="34"/>
  <c r="F79" i="34"/>
  <c r="O13" i="6"/>
  <c r="E80" i="34"/>
  <c r="N36" i="6"/>
  <c r="F14" i="18" s="1"/>
  <c r="F30" i="18"/>
  <c r="E14" i="18"/>
  <c r="M37" i="6"/>
  <c r="O21" i="6"/>
  <c r="M13" i="34"/>
  <c r="M173" i="34" s="1"/>
  <c r="N12" i="34"/>
  <c r="N13" i="34" s="1"/>
  <c r="W17" i="11"/>
  <c r="N8" i="18"/>
  <c r="N35" i="18" s="1"/>
  <c r="M19" i="23" s="1"/>
  <c r="C174" i="34"/>
  <c r="Y16" i="11"/>
  <c r="O5" i="34" s="1"/>
  <c r="F12" i="18"/>
  <c r="F178" i="34"/>
  <c r="D189" i="34"/>
  <c r="H178" i="34"/>
  <c r="Q40" i="10"/>
  <c r="Q18" i="5"/>
  <c r="G12" i="18" s="1"/>
  <c r="O19" i="5"/>
  <c r="P19" i="5"/>
  <c r="R39" i="10"/>
  <c r="I31" i="34" s="1"/>
  <c r="I37" i="27" s="1"/>
  <c r="L15" i="8"/>
  <c r="M163" i="10" l="1"/>
  <c r="M164" i="10" s="1"/>
  <c r="M131" i="10"/>
  <c r="M132" i="10" s="1"/>
  <c r="D36" i="34"/>
  <c r="D38" i="27" s="1"/>
  <c r="M17" i="10"/>
  <c r="L163" i="10"/>
  <c r="L131" i="10"/>
  <c r="L132" i="10" s="1"/>
  <c r="C32" i="34"/>
  <c r="L17" i="10"/>
  <c r="D18" i="18"/>
  <c r="K29" i="8"/>
  <c r="C190" i="34"/>
  <c r="C49" i="27"/>
  <c r="N53" i="10"/>
  <c r="E83" i="34" s="1"/>
  <c r="O53" i="10"/>
  <c r="F83" i="34" s="1"/>
  <c r="P53" i="10"/>
  <c r="G83" i="34" s="1"/>
  <c r="M53" i="10"/>
  <c r="D83" i="34" s="1"/>
  <c r="J185" i="10"/>
  <c r="M185" i="10"/>
  <c r="M189" i="10" s="1"/>
  <c r="D148" i="34" s="1"/>
  <c r="D76" i="34"/>
  <c r="D77" i="34" s="1"/>
  <c r="D49" i="27"/>
  <c r="D190" i="34"/>
  <c r="L28" i="8"/>
  <c r="L24" i="8"/>
  <c r="J105" i="10"/>
  <c r="D135" i="34"/>
  <c r="B135" i="34" s="1"/>
  <c r="J173" i="10"/>
  <c r="S173" i="10"/>
  <c r="S176" i="10" s="1"/>
  <c r="J147" i="34" s="1"/>
  <c r="J45" i="27" s="1"/>
  <c r="J140" i="10"/>
  <c r="O140" i="10"/>
  <c r="P140" i="10"/>
  <c r="Q140" i="10"/>
  <c r="R140" i="10"/>
  <c r="S140" i="10"/>
  <c r="T140" i="10"/>
  <c r="U140" i="10"/>
  <c r="N140" i="10"/>
  <c r="E37" i="34" s="1"/>
  <c r="E39" i="34" s="1"/>
  <c r="V140" i="10"/>
  <c r="W140" i="10"/>
  <c r="X140" i="10"/>
  <c r="Y140" i="10"/>
  <c r="M22" i="10"/>
  <c r="M23" i="10" s="1"/>
  <c r="D29" i="34"/>
  <c r="D30" i="34" s="1"/>
  <c r="M44" i="10"/>
  <c r="M18" i="10"/>
  <c r="D41" i="34"/>
  <c r="D75" i="34" s="1"/>
  <c r="N44" i="20"/>
  <c r="J172" i="10"/>
  <c r="P172" i="10"/>
  <c r="P176" i="10" s="1"/>
  <c r="G147" i="34" s="1"/>
  <c r="M125" i="21"/>
  <c r="M169" i="34"/>
  <c r="J55" i="10"/>
  <c r="D85" i="34"/>
  <c r="J60" i="10"/>
  <c r="E90" i="34"/>
  <c r="V8" i="5"/>
  <c r="M29" i="8"/>
  <c r="L85" i="34"/>
  <c r="N28" i="8"/>
  <c r="G18" i="18" s="1"/>
  <c r="B42" i="34"/>
  <c r="P87" i="10"/>
  <c r="N87" i="10"/>
  <c r="O87" i="10" s="1"/>
  <c r="F117" i="34" s="1"/>
  <c r="J87" i="10"/>
  <c r="J53" i="10"/>
  <c r="B86" i="34"/>
  <c r="G90" i="34"/>
  <c r="P90" i="34"/>
  <c r="E108" i="34"/>
  <c r="O90" i="34"/>
  <c r="B92" i="34"/>
  <c r="M90" i="34"/>
  <c r="I90" i="34"/>
  <c r="O81" i="10"/>
  <c r="E111" i="34"/>
  <c r="N189" i="10"/>
  <c r="E148" i="34" s="1"/>
  <c r="E149" i="34" s="1"/>
  <c r="Q189" i="10"/>
  <c r="J95" i="10"/>
  <c r="N95" i="10"/>
  <c r="E125" i="34" s="1"/>
  <c r="I121" i="34"/>
  <c r="D184" i="34"/>
  <c r="P76" i="10"/>
  <c r="F106" i="34"/>
  <c r="O61" i="10"/>
  <c r="E91" i="34"/>
  <c r="G159" i="34"/>
  <c r="P20" i="8"/>
  <c r="O23" i="8"/>
  <c r="O24" i="8" s="1"/>
  <c r="G160" i="34"/>
  <c r="O85" i="10"/>
  <c r="E115" i="34"/>
  <c r="F20" i="18"/>
  <c r="P177" i="10"/>
  <c r="J37" i="34"/>
  <c r="J39" i="34" s="1"/>
  <c r="S143" i="10"/>
  <c r="S144" i="10" s="1"/>
  <c r="O99" i="10"/>
  <c r="E129" i="34"/>
  <c r="I108" i="34"/>
  <c r="G108" i="34"/>
  <c r="Y143" i="10"/>
  <c r="Y144" i="10" s="1"/>
  <c r="P37" i="34"/>
  <c r="I41" i="34"/>
  <c r="AG18" i="7"/>
  <c r="M151" i="34"/>
  <c r="AI17" i="7"/>
  <c r="F161" i="34"/>
  <c r="F190" i="34" s="1"/>
  <c r="I23" i="34"/>
  <c r="I33" i="27" s="1"/>
  <c r="G158" i="34"/>
  <c r="P12" i="8"/>
  <c r="AG15" i="7"/>
  <c r="AF22" i="7"/>
  <c r="AF25" i="7" s="1"/>
  <c r="O72" i="10"/>
  <c r="E102" i="34"/>
  <c r="J17" i="34"/>
  <c r="V11" i="5"/>
  <c r="O88" i="10"/>
  <c r="E118" i="34"/>
  <c r="F71" i="34"/>
  <c r="F60" i="34"/>
  <c r="G156" i="34"/>
  <c r="P10" i="8"/>
  <c r="K142" i="34"/>
  <c r="V14" i="5"/>
  <c r="J20" i="34"/>
  <c r="V19" i="33"/>
  <c r="L24" i="34" s="1"/>
  <c r="L25" i="34" s="1"/>
  <c r="L34" i="27" s="1"/>
  <c r="F67" i="34"/>
  <c r="F57" i="34"/>
  <c r="F63" i="34"/>
  <c r="O8" i="10"/>
  <c r="N17" i="10"/>
  <c r="F62" i="34"/>
  <c r="J15" i="34"/>
  <c r="V9" i="5"/>
  <c r="G154" i="34"/>
  <c r="P8" i="8"/>
  <c r="O14" i="8"/>
  <c r="O15" i="8" s="1"/>
  <c r="F59" i="34"/>
  <c r="B98" i="34"/>
  <c r="G49" i="34"/>
  <c r="O109" i="10"/>
  <c r="E139" i="34"/>
  <c r="L152" i="34"/>
  <c r="L153" i="34" s="1"/>
  <c r="L48" i="27" s="1"/>
  <c r="J16" i="34"/>
  <c r="V10" i="5"/>
  <c r="F70" i="34"/>
  <c r="F52" i="34"/>
  <c r="F64" i="34"/>
  <c r="E49" i="27"/>
  <c r="E190" i="34"/>
  <c r="F69" i="34"/>
  <c r="B99" i="34"/>
  <c r="P77" i="10"/>
  <c r="F107" i="34"/>
  <c r="O75" i="10"/>
  <c r="E105" i="34"/>
  <c r="O128" i="10"/>
  <c r="E34" i="34"/>
  <c r="E75" i="34"/>
  <c r="F73" i="34"/>
  <c r="F40" i="34"/>
  <c r="O63" i="10"/>
  <c r="E93" i="34"/>
  <c r="F48" i="34"/>
  <c r="J19" i="34"/>
  <c r="V13" i="5"/>
  <c r="J22" i="34"/>
  <c r="F43" i="34"/>
  <c r="F56" i="34"/>
  <c r="V15" i="5"/>
  <c r="J21" i="34"/>
  <c r="F65" i="34"/>
  <c r="N163" i="10"/>
  <c r="G155" i="34"/>
  <c r="P9" i="8"/>
  <c r="O126" i="10"/>
  <c r="E32" i="34"/>
  <c r="N131" i="10"/>
  <c r="N132" i="10" s="1"/>
  <c r="E140" i="34"/>
  <c r="P153" i="10"/>
  <c r="O163" i="10"/>
  <c r="M195" i="10"/>
  <c r="E28" i="18" s="1"/>
  <c r="O127" i="10"/>
  <c r="E33" i="34"/>
  <c r="U186" i="10"/>
  <c r="T189" i="10"/>
  <c r="F54" i="34"/>
  <c r="O129" i="10"/>
  <c r="E35" i="34"/>
  <c r="F50" i="34"/>
  <c r="F61" i="34"/>
  <c r="F72" i="34"/>
  <c r="F74" i="34"/>
  <c r="L16" i="18"/>
  <c r="AD26" i="7"/>
  <c r="K14" i="34"/>
  <c r="W8" i="5"/>
  <c r="F55" i="34"/>
  <c r="G157" i="34"/>
  <c r="P11" i="8"/>
  <c r="F53" i="34"/>
  <c r="F47" i="34"/>
  <c r="F44" i="34"/>
  <c r="F68" i="34"/>
  <c r="F45" i="34"/>
  <c r="F58" i="34"/>
  <c r="B122" i="34"/>
  <c r="O98" i="10"/>
  <c r="E128" i="34"/>
  <c r="J18" i="34"/>
  <c r="F66" i="34"/>
  <c r="P49" i="6"/>
  <c r="H30" i="18" s="1"/>
  <c r="G27" i="34"/>
  <c r="Q46" i="6"/>
  <c r="Q12" i="6"/>
  <c r="Q17" i="6"/>
  <c r="P21" i="6"/>
  <c r="F80" i="34"/>
  <c r="O36" i="6"/>
  <c r="G79" i="34"/>
  <c r="P13" i="6"/>
  <c r="F35" i="27"/>
  <c r="F176" i="34"/>
  <c r="F81" i="34"/>
  <c r="O31" i="6"/>
  <c r="E82" i="34"/>
  <c r="Q27" i="6"/>
  <c r="P30" i="6"/>
  <c r="L117" i="10"/>
  <c r="C116" i="34"/>
  <c r="N173" i="34"/>
  <c r="O12" i="34"/>
  <c r="X17" i="11"/>
  <c r="Z16" i="11"/>
  <c r="P5" i="34" s="1"/>
  <c r="B5" i="34" s="1"/>
  <c r="O9" i="34"/>
  <c r="O8" i="18"/>
  <c r="Y21" i="7"/>
  <c r="R40" i="10"/>
  <c r="I186" i="34"/>
  <c r="R177" i="10"/>
  <c r="Q177" i="10"/>
  <c r="R18" i="5"/>
  <c r="H12" i="18" s="1"/>
  <c r="P44" i="20"/>
  <c r="N15" i="8"/>
  <c r="Q19" i="5"/>
  <c r="F187" i="34"/>
  <c r="S39" i="10"/>
  <c r="J31" i="34" s="1"/>
  <c r="J37" i="27" s="1"/>
  <c r="D179" i="34" l="1"/>
  <c r="B83" i="34"/>
  <c r="L22" i="10"/>
  <c r="L23" i="10" s="1"/>
  <c r="L44" i="10"/>
  <c r="C29" i="34"/>
  <c r="C30" i="34" s="1"/>
  <c r="L18" i="10"/>
  <c r="C36" i="34"/>
  <c r="C183" i="34"/>
  <c r="N143" i="10"/>
  <c r="N144" i="10" s="1"/>
  <c r="C76" i="34"/>
  <c r="C77" i="34" s="1"/>
  <c r="L195" i="10"/>
  <c r="L164" i="10"/>
  <c r="M190" i="10"/>
  <c r="D41" i="27"/>
  <c r="D182" i="34"/>
  <c r="H37" i="34"/>
  <c r="H39" i="34" s="1"/>
  <c r="Q143" i="10"/>
  <c r="Q144" i="10" s="1"/>
  <c r="N37" i="34"/>
  <c r="N39" i="34" s="1"/>
  <c r="W143" i="10"/>
  <c r="W144" i="10" s="1"/>
  <c r="L178" i="10"/>
  <c r="L179" i="10" s="1"/>
  <c r="M37" i="34"/>
  <c r="M39" i="34" s="1"/>
  <c r="V143" i="10"/>
  <c r="V144" i="10" s="1"/>
  <c r="D36" i="27"/>
  <c r="D177" i="34"/>
  <c r="L37" i="34"/>
  <c r="L39" i="34" s="1"/>
  <c r="U143" i="10"/>
  <c r="U144" i="10" s="1"/>
  <c r="F37" i="34"/>
  <c r="F39" i="34" s="1"/>
  <c r="O143" i="10"/>
  <c r="O144" i="10" s="1"/>
  <c r="N45" i="20"/>
  <c r="E20" i="18"/>
  <c r="K37" i="34"/>
  <c r="K39" i="34" s="1"/>
  <c r="T143" i="10"/>
  <c r="T144" i="10" s="1"/>
  <c r="E26" i="18"/>
  <c r="M45" i="10"/>
  <c r="G37" i="34"/>
  <c r="G39" i="34" s="1"/>
  <c r="P143" i="10"/>
  <c r="P144" i="10" s="1"/>
  <c r="X143" i="10"/>
  <c r="X144" i="10" s="1"/>
  <c r="O37" i="34"/>
  <c r="O39" i="34" s="1"/>
  <c r="D181" i="34"/>
  <c r="D40" i="27"/>
  <c r="I37" i="34"/>
  <c r="I39" i="34" s="1"/>
  <c r="R143" i="10"/>
  <c r="R144" i="10" s="1"/>
  <c r="E18" i="18"/>
  <c r="L29" i="8"/>
  <c r="N169" i="34"/>
  <c r="N125" i="21"/>
  <c r="E117" i="34"/>
  <c r="O95" i="10"/>
  <c r="F125" i="34" s="1"/>
  <c r="N29" i="8"/>
  <c r="N190" i="10"/>
  <c r="B90" i="34"/>
  <c r="M85" i="34"/>
  <c r="B85" i="34" s="1"/>
  <c r="J121" i="34"/>
  <c r="P81" i="10"/>
  <c r="F111" i="34"/>
  <c r="H148" i="34"/>
  <c r="H149" i="34" s="1"/>
  <c r="Q190" i="10"/>
  <c r="G106" i="34"/>
  <c r="P61" i="10"/>
  <c r="F91" i="34"/>
  <c r="P85" i="10"/>
  <c r="F115" i="34"/>
  <c r="Q21" i="8"/>
  <c r="H160" i="34"/>
  <c r="H159" i="34"/>
  <c r="Q20" i="8"/>
  <c r="P23" i="8"/>
  <c r="P24" i="8" s="1"/>
  <c r="F49" i="27"/>
  <c r="E46" i="27"/>
  <c r="E187" i="34"/>
  <c r="G45" i="27"/>
  <c r="B147" i="34"/>
  <c r="R45" i="27" s="1"/>
  <c r="G186" i="34"/>
  <c r="J108" i="34"/>
  <c r="E39" i="27"/>
  <c r="E180" i="34"/>
  <c r="P99" i="10"/>
  <c r="F129" i="34"/>
  <c r="P39" i="34"/>
  <c r="J39" i="27"/>
  <c r="J180" i="34"/>
  <c r="L41" i="34"/>
  <c r="AH18" i="7"/>
  <c r="N151" i="34"/>
  <c r="M196" i="10"/>
  <c r="F75" i="34"/>
  <c r="F40" i="27" s="1"/>
  <c r="J23" i="34"/>
  <c r="J33" i="27" s="1"/>
  <c r="G161" i="34"/>
  <c r="G190" i="34" s="1"/>
  <c r="G57" i="34"/>
  <c r="P163" i="10"/>
  <c r="W15" i="5"/>
  <c r="K21" i="34"/>
  <c r="K18" i="34"/>
  <c r="G68" i="34"/>
  <c r="G55" i="34"/>
  <c r="P129" i="10"/>
  <c r="F35" i="34"/>
  <c r="G70" i="34"/>
  <c r="G59" i="34"/>
  <c r="H156" i="34"/>
  <c r="Q10" i="8"/>
  <c r="G44" i="34"/>
  <c r="P63" i="10"/>
  <c r="F93" i="34"/>
  <c r="E76" i="34"/>
  <c r="N164" i="10"/>
  <c r="N195" i="10"/>
  <c r="K19" i="34"/>
  <c r="W13" i="5"/>
  <c r="E40" i="27"/>
  <c r="E181" i="34"/>
  <c r="G69" i="34"/>
  <c r="K16" i="34"/>
  <c r="W10" i="5"/>
  <c r="O28" i="8"/>
  <c r="G63" i="34"/>
  <c r="M152" i="34"/>
  <c r="M153" i="34" s="1"/>
  <c r="M48" i="27" s="1"/>
  <c r="G71" i="34"/>
  <c r="AH15" i="7"/>
  <c r="AG22" i="7"/>
  <c r="AG25" i="7" s="1"/>
  <c r="P109" i="10"/>
  <c r="F139" i="34"/>
  <c r="W19" i="33"/>
  <c r="M24" i="34" s="1"/>
  <c r="M25" i="34" s="1"/>
  <c r="M34" i="27" s="1"/>
  <c r="D149" i="34"/>
  <c r="G47" i="34"/>
  <c r="G60" i="34"/>
  <c r="G48" i="34"/>
  <c r="P75" i="10"/>
  <c r="F105" i="34"/>
  <c r="G56" i="34"/>
  <c r="G107" i="34"/>
  <c r="G58" i="34"/>
  <c r="H157" i="34"/>
  <c r="Q11" i="8"/>
  <c r="L14" i="34"/>
  <c r="X8" i="5"/>
  <c r="K148" i="34"/>
  <c r="K149" i="34" s="1"/>
  <c r="T190" i="10"/>
  <c r="G64" i="34"/>
  <c r="G62" i="34"/>
  <c r="P88" i="10"/>
  <c r="F118" i="34"/>
  <c r="H158" i="34"/>
  <c r="Q12" i="8"/>
  <c r="H154" i="34"/>
  <c r="Q8" i="8"/>
  <c r="P14" i="8"/>
  <c r="P128" i="10"/>
  <c r="F34" i="34"/>
  <c r="F76" i="34"/>
  <c r="F77" i="34" s="1"/>
  <c r="O164" i="10"/>
  <c r="G50" i="34"/>
  <c r="V186" i="10"/>
  <c r="U189" i="10"/>
  <c r="E36" i="34"/>
  <c r="G43" i="34"/>
  <c r="G40" i="34"/>
  <c r="I49" i="34"/>
  <c r="W14" i="5"/>
  <c r="K20" i="34"/>
  <c r="P98" i="10"/>
  <c r="F128" i="34"/>
  <c r="G72" i="34"/>
  <c r="M16" i="18"/>
  <c r="AE26" i="7"/>
  <c r="G67" i="34"/>
  <c r="G61" i="34"/>
  <c r="G45" i="34"/>
  <c r="P126" i="10"/>
  <c r="F32" i="34"/>
  <c r="O131" i="10"/>
  <c r="G52" i="34"/>
  <c r="N22" i="10"/>
  <c r="E29" i="34"/>
  <c r="N44" i="10"/>
  <c r="N18" i="10"/>
  <c r="K17" i="34"/>
  <c r="W11" i="5"/>
  <c r="G74" i="34"/>
  <c r="P72" i="10"/>
  <c r="F102" i="34"/>
  <c r="G65" i="34"/>
  <c r="G54" i="34"/>
  <c r="K15" i="34"/>
  <c r="W9" i="5"/>
  <c r="G53" i="34"/>
  <c r="P110" i="10"/>
  <c r="F140" i="34"/>
  <c r="G66" i="34"/>
  <c r="P127" i="10"/>
  <c r="F33" i="34"/>
  <c r="H155" i="34"/>
  <c r="Q9" i="8"/>
  <c r="K22" i="34"/>
  <c r="G73" i="34"/>
  <c r="P8" i="10"/>
  <c r="O17" i="10"/>
  <c r="L142" i="34"/>
  <c r="G14" i="18"/>
  <c r="O37" i="6"/>
  <c r="G80" i="34"/>
  <c r="P36" i="6"/>
  <c r="G28" i="34"/>
  <c r="F82" i="34"/>
  <c r="R12" i="6"/>
  <c r="G81" i="34"/>
  <c r="P31" i="6"/>
  <c r="R27" i="6"/>
  <c r="Q30" i="6"/>
  <c r="H27" i="34"/>
  <c r="H28" i="34" s="1"/>
  <c r="H35" i="27" s="1"/>
  <c r="Q49" i="6"/>
  <c r="R46" i="6"/>
  <c r="E43" i="27"/>
  <c r="E184" i="34"/>
  <c r="R17" i="6"/>
  <c r="Q21" i="6"/>
  <c r="H79" i="34"/>
  <c r="Q13" i="6"/>
  <c r="C146" i="34"/>
  <c r="D116" i="34"/>
  <c r="D146" i="34" s="1"/>
  <c r="M117" i="10"/>
  <c r="D22" i="18"/>
  <c r="L118" i="10"/>
  <c r="O13" i="34"/>
  <c r="P12" i="34"/>
  <c r="Y17" i="11"/>
  <c r="P9" i="34"/>
  <c r="B9" i="34" s="1"/>
  <c r="O35" i="18"/>
  <c r="N19" i="23" s="1"/>
  <c r="P8" i="18"/>
  <c r="E174" i="34"/>
  <c r="I178" i="34"/>
  <c r="H186" i="34"/>
  <c r="G20" i="18"/>
  <c r="Z21" i="7"/>
  <c r="P45" i="20"/>
  <c r="J186" i="34"/>
  <c r="S177" i="10"/>
  <c r="J178" i="34"/>
  <c r="S40" i="10"/>
  <c r="Q44" i="20"/>
  <c r="H20" i="18" s="1"/>
  <c r="S18" i="5"/>
  <c r="I12" i="18" s="1"/>
  <c r="R19" i="5"/>
  <c r="T39" i="10"/>
  <c r="K31" i="34" s="1"/>
  <c r="K37" i="27" s="1"/>
  <c r="D28" i="18" l="1"/>
  <c r="L196" i="10"/>
  <c r="C41" i="27"/>
  <c r="C182" i="34"/>
  <c r="B37" i="34"/>
  <c r="B39" i="34" s="1"/>
  <c r="R39" i="27" s="1"/>
  <c r="C38" i="27"/>
  <c r="C179" i="34"/>
  <c r="C36" i="27"/>
  <c r="C177" i="34"/>
  <c r="D26" i="18"/>
  <c r="D33" i="18" s="1"/>
  <c r="D37" i="18" s="1"/>
  <c r="L45" i="10"/>
  <c r="I39" i="27"/>
  <c r="I180" i="34"/>
  <c r="L145" i="10"/>
  <c r="N39" i="27"/>
  <c r="N180" i="34"/>
  <c r="F39" i="27"/>
  <c r="F180" i="34"/>
  <c r="K39" i="27"/>
  <c r="K180" i="34"/>
  <c r="O39" i="27"/>
  <c r="O180" i="34"/>
  <c r="H39" i="27"/>
  <c r="H180" i="34"/>
  <c r="L39" i="27"/>
  <c r="L180" i="34"/>
  <c r="M39" i="27"/>
  <c r="M180" i="34"/>
  <c r="G39" i="27"/>
  <c r="G180" i="34"/>
  <c r="O169" i="34"/>
  <c r="O125" i="21"/>
  <c r="P95" i="10"/>
  <c r="G125" i="34" s="1"/>
  <c r="H46" i="27"/>
  <c r="H187" i="34"/>
  <c r="G111" i="34"/>
  <c r="K121" i="34"/>
  <c r="B121" i="34" s="1"/>
  <c r="H106" i="34"/>
  <c r="G91" i="34"/>
  <c r="P28" i="8"/>
  <c r="I18" i="18" s="1"/>
  <c r="I159" i="34"/>
  <c r="R20" i="8"/>
  <c r="Q23" i="8"/>
  <c r="Q24" i="8" s="1"/>
  <c r="I160" i="34"/>
  <c r="G115" i="34"/>
  <c r="G129" i="34"/>
  <c r="P39" i="27"/>
  <c r="P180" i="34"/>
  <c r="P108" i="34"/>
  <c r="M108" i="34"/>
  <c r="M41" i="34"/>
  <c r="AI18" i="7"/>
  <c r="G49" i="27"/>
  <c r="K23" i="34"/>
  <c r="K33" i="27" s="1"/>
  <c r="H161" i="34"/>
  <c r="H49" i="27" s="1"/>
  <c r="Q163" i="10"/>
  <c r="L22" i="34"/>
  <c r="P17" i="10"/>
  <c r="F41" i="27"/>
  <c r="F182" i="34"/>
  <c r="H63" i="34"/>
  <c r="L17" i="34"/>
  <c r="X11" i="5"/>
  <c r="G140" i="34"/>
  <c r="G102" i="34"/>
  <c r="H52" i="34"/>
  <c r="H43" i="34"/>
  <c r="H64" i="34"/>
  <c r="H56" i="34"/>
  <c r="X19" i="33"/>
  <c r="N24" i="34" s="1"/>
  <c r="N25" i="34" s="1"/>
  <c r="N34" i="27" s="1"/>
  <c r="O29" i="8"/>
  <c r="H18" i="18"/>
  <c r="H70" i="34"/>
  <c r="X15" i="5"/>
  <c r="L21" i="34"/>
  <c r="G34" i="34"/>
  <c r="K46" i="27"/>
  <c r="K187" i="34"/>
  <c r="H48" i="34"/>
  <c r="G35" i="34"/>
  <c r="W186" i="10"/>
  <c r="V189" i="10"/>
  <c r="I158" i="34"/>
  <c r="R12" i="8"/>
  <c r="I157" i="34"/>
  <c r="R11" i="8"/>
  <c r="H69" i="34"/>
  <c r="H44" i="34"/>
  <c r="H73" i="34"/>
  <c r="H72" i="34"/>
  <c r="G32" i="34"/>
  <c r="P131" i="10"/>
  <c r="G128" i="34"/>
  <c r="H45" i="34"/>
  <c r="X14" i="5"/>
  <c r="L20" i="34"/>
  <c r="H60" i="34"/>
  <c r="H71" i="34"/>
  <c r="H55" i="34"/>
  <c r="O195" i="10"/>
  <c r="G28" i="18" s="1"/>
  <c r="O132" i="10"/>
  <c r="G139" i="34"/>
  <c r="N152" i="34"/>
  <c r="N153" i="34" s="1"/>
  <c r="N48" i="27" s="1"/>
  <c r="L148" i="34"/>
  <c r="L149" i="34" s="1"/>
  <c r="U190" i="10"/>
  <c r="G33" i="34"/>
  <c r="H50" i="34"/>
  <c r="I156" i="34"/>
  <c r="R10" i="8"/>
  <c r="E77" i="34"/>
  <c r="H53" i="34"/>
  <c r="F36" i="34"/>
  <c r="M14" i="34"/>
  <c r="Y8" i="5"/>
  <c r="I155" i="34"/>
  <c r="R9" i="8"/>
  <c r="H54" i="34"/>
  <c r="F26" i="18"/>
  <c r="N45" i="10"/>
  <c r="H61" i="34"/>
  <c r="K49" i="34"/>
  <c r="G118" i="34"/>
  <c r="H58" i="34"/>
  <c r="H47" i="34"/>
  <c r="N16" i="18"/>
  <c r="AF26" i="7"/>
  <c r="L19" i="34"/>
  <c r="X13" i="5"/>
  <c r="H68" i="34"/>
  <c r="G76" i="34"/>
  <c r="G77" i="34" s="1"/>
  <c r="P164" i="10"/>
  <c r="H74" i="34"/>
  <c r="L16" i="34"/>
  <c r="X10" i="5"/>
  <c r="I154" i="34"/>
  <c r="R8" i="8"/>
  <c r="Q14" i="8"/>
  <c r="AI15" i="7"/>
  <c r="AH22" i="7"/>
  <c r="AH25" i="7" s="1"/>
  <c r="H57" i="34"/>
  <c r="M142" i="34"/>
  <c r="G75" i="34"/>
  <c r="G40" i="27" s="1"/>
  <c r="E30" i="34"/>
  <c r="D46" i="27"/>
  <c r="D187" i="34"/>
  <c r="L18" i="34"/>
  <c r="E38" i="27"/>
  <c r="E179" i="34"/>
  <c r="G105" i="34"/>
  <c r="L15" i="34"/>
  <c r="X9" i="5"/>
  <c r="G93" i="34"/>
  <c r="O22" i="10"/>
  <c r="O23" i="10" s="1"/>
  <c r="F29" i="34"/>
  <c r="F30" i="34" s="1"/>
  <c r="O44" i="10"/>
  <c r="O18" i="10"/>
  <c r="H66" i="34"/>
  <c r="H65" i="34"/>
  <c r="N23" i="10"/>
  <c r="H67" i="34"/>
  <c r="H40" i="34"/>
  <c r="H62" i="34"/>
  <c r="H107" i="34"/>
  <c r="N196" i="10"/>
  <c r="F28" i="18"/>
  <c r="H59" i="34"/>
  <c r="H81" i="34"/>
  <c r="Q31" i="6"/>
  <c r="G35" i="27"/>
  <c r="G176" i="34"/>
  <c r="H80" i="34"/>
  <c r="Q36" i="6"/>
  <c r="S27" i="6"/>
  <c r="R30" i="6"/>
  <c r="H14" i="18"/>
  <c r="P37" i="6"/>
  <c r="I79" i="34"/>
  <c r="R13" i="6"/>
  <c r="S46" i="6"/>
  <c r="I27" i="34"/>
  <c r="I28" i="34" s="1"/>
  <c r="R49" i="6"/>
  <c r="J30" i="18" s="1"/>
  <c r="S12" i="6"/>
  <c r="I30" i="18"/>
  <c r="F43" i="27"/>
  <c r="F184" i="34"/>
  <c r="S17" i="6"/>
  <c r="R21" i="6"/>
  <c r="G82" i="34"/>
  <c r="P13" i="34"/>
  <c r="P173" i="34" s="1"/>
  <c r="H117" i="34"/>
  <c r="G117" i="34"/>
  <c r="C185" i="34"/>
  <c r="C44" i="27"/>
  <c r="D44" i="27"/>
  <c r="D185" i="34"/>
  <c r="E116" i="34"/>
  <c r="E146" i="34" s="1"/>
  <c r="N117" i="10"/>
  <c r="E22" i="18"/>
  <c r="M118" i="10"/>
  <c r="Z17" i="11"/>
  <c r="P35" i="18"/>
  <c r="O19" i="23" s="1"/>
  <c r="O173" i="34"/>
  <c r="Q8" i="18"/>
  <c r="F174" i="34"/>
  <c r="Q45" i="20"/>
  <c r="K186" i="34"/>
  <c r="T177" i="10"/>
  <c r="K178" i="34"/>
  <c r="T40" i="10"/>
  <c r="U18" i="5"/>
  <c r="K12" i="18" s="1"/>
  <c r="T18" i="5"/>
  <c r="J12" i="18" s="1"/>
  <c r="R44" i="20"/>
  <c r="I20" i="18" s="1"/>
  <c r="S19" i="5"/>
  <c r="P15" i="8"/>
  <c r="U39" i="10"/>
  <c r="L31" i="34" s="1"/>
  <c r="L37" i="27" s="1"/>
  <c r="B180" i="34" l="1"/>
  <c r="F36" i="27"/>
  <c r="F177" i="34"/>
  <c r="P169" i="34"/>
  <c r="P125" i="21"/>
  <c r="P29" i="8"/>
  <c r="H111" i="34"/>
  <c r="B108" i="34"/>
  <c r="L106" i="34"/>
  <c r="H91" i="34"/>
  <c r="H115" i="34"/>
  <c r="J160" i="34"/>
  <c r="S21" i="8"/>
  <c r="J159" i="34"/>
  <c r="S20" i="8"/>
  <c r="R23" i="8"/>
  <c r="R24" i="8" s="1"/>
  <c r="AI22" i="7"/>
  <c r="AI25" i="7" s="1"/>
  <c r="H129" i="34"/>
  <c r="N41" i="34"/>
  <c r="B41" i="34" s="1"/>
  <c r="O151" i="34"/>
  <c r="AH21" i="7"/>
  <c r="P151" i="34"/>
  <c r="AI21" i="7"/>
  <c r="O196" i="10"/>
  <c r="L23" i="34"/>
  <c r="L33" i="27" s="1"/>
  <c r="H82" i="34"/>
  <c r="H43" i="27" s="1"/>
  <c r="I161" i="34"/>
  <c r="I49" i="27" s="1"/>
  <c r="P22" i="10"/>
  <c r="G29" i="34"/>
  <c r="P18" i="10"/>
  <c r="P44" i="10"/>
  <c r="E36" i="27"/>
  <c r="E177" i="34"/>
  <c r="M16" i="34"/>
  <c r="Y10" i="5"/>
  <c r="I53" i="34"/>
  <c r="I55" i="34"/>
  <c r="I48" i="34"/>
  <c r="Z19" i="33"/>
  <c r="Y19" i="33"/>
  <c r="H140" i="34"/>
  <c r="Q17" i="10"/>
  <c r="J157" i="34"/>
  <c r="S11" i="8"/>
  <c r="J156" i="34"/>
  <c r="S10" i="8"/>
  <c r="H32" i="34"/>
  <c r="Q131" i="10"/>
  <c r="H34" i="34"/>
  <c r="I64" i="34"/>
  <c r="R163" i="10"/>
  <c r="H75" i="34"/>
  <c r="H40" i="27" s="1"/>
  <c r="L46" i="27"/>
  <c r="L187" i="34"/>
  <c r="M18" i="34"/>
  <c r="G41" i="27"/>
  <c r="G182" i="34"/>
  <c r="O16" i="18"/>
  <c r="AG26" i="7"/>
  <c r="J158" i="34"/>
  <c r="S12" i="8"/>
  <c r="H128" i="34"/>
  <c r="I56" i="34"/>
  <c r="J155" i="34"/>
  <c r="S9" i="8"/>
  <c r="I60" i="34"/>
  <c r="H118" i="34"/>
  <c r="N14" i="34"/>
  <c r="Z8" i="5"/>
  <c r="I72" i="34"/>
  <c r="Y15" i="5"/>
  <c r="M21" i="34"/>
  <c r="I43" i="34"/>
  <c r="I63" i="34"/>
  <c r="I44" i="34"/>
  <c r="I69" i="34"/>
  <c r="E41" i="27"/>
  <c r="E182" i="34"/>
  <c r="O152" i="34"/>
  <c r="AH23" i="7"/>
  <c r="I50" i="34"/>
  <c r="Y14" i="5"/>
  <c r="M20" i="34"/>
  <c r="M148" i="34"/>
  <c r="V190" i="10"/>
  <c r="M15" i="34"/>
  <c r="Y9" i="5"/>
  <c r="I47" i="34"/>
  <c r="P195" i="10"/>
  <c r="H28" i="18" s="1"/>
  <c r="P132" i="10"/>
  <c r="M22" i="34"/>
  <c r="G36" i="34"/>
  <c r="H76" i="34"/>
  <c r="Q164" i="10"/>
  <c r="I107" i="34"/>
  <c r="I66" i="34"/>
  <c r="I58" i="34"/>
  <c r="G26" i="18"/>
  <c r="O45" i="10"/>
  <c r="I40" i="34"/>
  <c r="I68" i="34"/>
  <c r="M49" i="34"/>
  <c r="H139" i="34"/>
  <c r="I73" i="34"/>
  <c r="W189" i="10"/>
  <c r="I70" i="34"/>
  <c r="I52" i="34"/>
  <c r="I59" i="34"/>
  <c r="I65" i="34"/>
  <c r="I71" i="34"/>
  <c r="I74" i="34"/>
  <c r="I62" i="34"/>
  <c r="I57" i="34"/>
  <c r="Q28" i="8"/>
  <c r="M19" i="34"/>
  <c r="I45" i="34"/>
  <c r="H105" i="34"/>
  <c r="I54" i="34"/>
  <c r="M17" i="34"/>
  <c r="Y11" i="5"/>
  <c r="N142" i="34"/>
  <c r="I67" i="34"/>
  <c r="H93" i="34"/>
  <c r="J154" i="34"/>
  <c r="S8" i="8"/>
  <c r="R14" i="8"/>
  <c r="I61" i="34"/>
  <c r="F38" i="27"/>
  <c r="F179" i="34"/>
  <c r="H33" i="34"/>
  <c r="H35" i="34"/>
  <c r="H102" i="34"/>
  <c r="G43" i="27"/>
  <c r="G184" i="34"/>
  <c r="T27" i="6"/>
  <c r="S30" i="6"/>
  <c r="I80" i="34"/>
  <c r="R36" i="6"/>
  <c r="J79" i="34"/>
  <c r="S13" i="6"/>
  <c r="T12" i="6"/>
  <c r="I35" i="27"/>
  <c r="I176" i="34"/>
  <c r="T17" i="6"/>
  <c r="S21" i="6"/>
  <c r="I14" i="18"/>
  <c r="Q37" i="6"/>
  <c r="S49" i="6"/>
  <c r="T46" i="6"/>
  <c r="J27" i="34"/>
  <c r="J28" i="34" s="1"/>
  <c r="I81" i="34"/>
  <c r="R31" i="6"/>
  <c r="I117" i="34"/>
  <c r="N118" i="10"/>
  <c r="F22" i="18"/>
  <c r="E44" i="27"/>
  <c r="E185" i="34"/>
  <c r="F116" i="34"/>
  <c r="O117" i="10"/>
  <c r="J117" i="34"/>
  <c r="Q35" i="18"/>
  <c r="P19" i="23" s="1"/>
  <c r="G174" i="34"/>
  <c r="F181" i="34"/>
  <c r="R45" i="20"/>
  <c r="L178" i="34"/>
  <c r="U40" i="10"/>
  <c r="L186" i="34"/>
  <c r="U177" i="10"/>
  <c r="C24" i="34"/>
  <c r="S44" i="20"/>
  <c r="J20" i="18" s="1"/>
  <c r="V177" i="10"/>
  <c r="L37" i="6"/>
  <c r="M22" i="6"/>
  <c r="Q15" i="8"/>
  <c r="T19" i="5"/>
  <c r="V39" i="10"/>
  <c r="M31" i="34" s="1"/>
  <c r="M37" i="27" s="1"/>
  <c r="G181" i="34"/>
  <c r="O153" i="34" l="1"/>
  <c r="O189" i="34" s="1"/>
  <c r="B151" i="34"/>
  <c r="H125" i="34"/>
  <c r="P152" i="34"/>
  <c r="P153" i="34" s="1"/>
  <c r="P189" i="34" s="1"/>
  <c r="AI23" i="7"/>
  <c r="R28" i="8"/>
  <c r="K18" i="18" s="1"/>
  <c r="I111" i="34"/>
  <c r="O106" i="34"/>
  <c r="N106" i="34"/>
  <c r="I91" i="34"/>
  <c r="H184" i="34"/>
  <c r="K159" i="34"/>
  <c r="T20" i="8"/>
  <c r="S23" i="8"/>
  <c r="S24" i="8" s="1"/>
  <c r="T21" i="8"/>
  <c r="K160" i="34"/>
  <c r="I115" i="34"/>
  <c r="I125" i="34"/>
  <c r="I129" i="34"/>
  <c r="P196" i="10"/>
  <c r="I190" i="34"/>
  <c r="M23" i="34"/>
  <c r="M33" i="27" s="1"/>
  <c r="Z16" i="5"/>
  <c r="N22" i="34"/>
  <c r="J50" i="34"/>
  <c r="J61" i="34"/>
  <c r="Q29" i="8"/>
  <c r="J18" i="18"/>
  <c r="J59" i="34"/>
  <c r="J63" i="34"/>
  <c r="J60" i="34"/>
  <c r="J55" i="34"/>
  <c r="P23" i="10"/>
  <c r="J44" i="34"/>
  <c r="I118" i="34"/>
  <c r="N17" i="34"/>
  <c r="Z11" i="5"/>
  <c r="I139" i="34"/>
  <c r="J58" i="34"/>
  <c r="K155" i="34"/>
  <c r="T9" i="8"/>
  <c r="I76" i="34"/>
  <c r="I77" i="34" s="1"/>
  <c r="R164" i="10"/>
  <c r="K157" i="34"/>
  <c r="T11" i="8"/>
  <c r="P16" i="18"/>
  <c r="AH26" i="7"/>
  <c r="V27" i="7"/>
  <c r="J161" i="34"/>
  <c r="J66" i="34"/>
  <c r="I105" i="34"/>
  <c r="J62" i="34"/>
  <c r="J68" i="34"/>
  <c r="N15" i="34"/>
  <c r="Z9" i="5"/>
  <c r="R17" i="10"/>
  <c r="J54" i="34"/>
  <c r="P49" i="34"/>
  <c r="O49" i="34"/>
  <c r="J70" i="34"/>
  <c r="Z15" i="5"/>
  <c r="N21" i="34"/>
  <c r="J56" i="34"/>
  <c r="J64" i="34"/>
  <c r="Q16" i="18"/>
  <c r="AI26" i="7"/>
  <c r="J72" i="34"/>
  <c r="I128" i="34"/>
  <c r="I34" i="34"/>
  <c r="I140" i="34"/>
  <c r="P142" i="34"/>
  <c r="O142" i="34"/>
  <c r="J57" i="34"/>
  <c r="J43" i="34"/>
  <c r="S163" i="10"/>
  <c r="J47" i="34"/>
  <c r="Q22" i="10"/>
  <c r="Q23" i="10" s="1"/>
  <c r="H29" i="34"/>
  <c r="H30" i="34" s="1"/>
  <c r="H36" i="27" s="1"/>
  <c r="Q18" i="10"/>
  <c r="Q44" i="10"/>
  <c r="I35" i="34"/>
  <c r="J74" i="34"/>
  <c r="Y186" i="10"/>
  <c r="Y189" i="10" s="1"/>
  <c r="X189" i="10"/>
  <c r="J67" i="34"/>
  <c r="J45" i="34"/>
  <c r="H77" i="34"/>
  <c r="M149" i="34"/>
  <c r="O14" i="34"/>
  <c r="AA8" i="5"/>
  <c r="O24" i="34"/>
  <c r="O25" i="34" s="1"/>
  <c r="Y20" i="33"/>
  <c r="P10" i="18"/>
  <c r="K154" i="34"/>
  <c r="T8" i="8"/>
  <c r="S14" i="8"/>
  <c r="J52" i="34"/>
  <c r="N18" i="34"/>
  <c r="N148" i="34"/>
  <c r="N149" i="34" s="1"/>
  <c r="W190" i="10"/>
  <c r="I33" i="34"/>
  <c r="J71" i="34"/>
  <c r="J73" i="34"/>
  <c r="J69" i="34"/>
  <c r="K158" i="34"/>
  <c r="T12" i="8"/>
  <c r="Q195" i="10"/>
  <c r="I28" i="18" s="1"/>
  <c r="Q132" i="10"/>
  <c r="M21" i="33"/>
  <c r="Z20" i="33"/>
  <c r="P24" i="34"/>
  <c r="Q10" i="18"/>
  <c r="J65" i="34"/>
  <c r="J53" i="34"/>
  <c r="I102" i="34"/>
  <c r="N16" i="34"/>
  <c r="Z10" i="5"/>
  <c r="I93" i="34"/>
  <c r="J107" i="34"/>
  <c r="N19" i="34"/>
  <c r="Z13" i="5"/>
  <c r="I75" i="34"/>
  <c r="I40" i="27" s="1"/>
  <c r="J40" i="34"/>
  <c r="G38" i="27"/>
  <c r="G179" i="34"/>
  <c r="Z14" i="5"/>
  <c r="N20" i="34"/>
  <c r="H36" i="34"/>
  <c r="H26" i="18"/>
  <c r="P45" i="10"/>
  <c r="I32" i="34"/>
  <c r="R131" i="10"/>
  <c r="J48" i="34"/>
  <c r="K156" i="34"/>
  <c r="T10" i="8"/>
  <c r="G30" i="34"/>
  <c r="I82" i="34"/>
  <c r="I43" i="27" s="1"/>
  <c r="J14" i="18"/>
  <c r="R37" i="6"/>
  <c r="K79" i="34"/>
  <c r="T13" i="6"/>
  <c r="U27" i="6"/>
  <c r="T30" i="6"/>
  <c r="J80" i="34"/>
  <c r="S36" i="6"/>
  <c r="T49" i="6"/>
  <c r="L30" i="18" s="1"/>
  <c r="K27" i="34"/>
  <c r="K28" i="34" s="1"/>
  <c r="U46" i="6"/>
  <c r="U17" i="6"/>
  <c r="T21" i="6"/>
  <c r="J81" i="34"/>
  <c r="S31" i="6"/>
  <c r="U12" i="6"/>
  <c r="J35" i="27"/>
  <c r="J176" i="34"/>
  <c r="K30" i="18"/>
  <c r="G116" i="34"/>
  <c r="G146" i="34" s="1"/>
  <c r="G185" i="34" s="1"/>
  <c r="P117" i="10"/>
  <c r="F146" i="34"/>
  <c r="G22" i="18"/>
  <c r="O118" i="10"/>
  <c r="K117" i="34"/>
  <c r="H174" i="34"/>
  <c r="C25" i="34"/>
  <c r="S45" i="20"/>
  <c r="M178" i="34"/>
  <c r="V40" i="10"/>
  <c r="M186" i="34"/>
  <c r="W18" i="5"/>
  <c r="M12" i="18" s="1"/>
  <c r="V18" i="5"/>
  <c r="L12" i="18" s="1"/>
  <c r="N20" i="33"/>
  <c r="T44" i="20"/>
  <c r="K20" i="18" s="1"/>
  <c r="N22" i="6"/>
  <c r="U19" i="5"/>
  <c r="W39" i="10"/>
  <c r="N31" i="34" s="1"/>
  <c r="H181" i="34"/>
  <c r="R15" i="8"/>
  <c r="O48" i="27" l="1"/>
  <c r="R29" i="8"/>
  <c r="B106" i="34"/>
  <c r="P48" i="27"/>
  <c r="J111" i="34"/>
  <c r="J91" i="34"/>
  <c r="J115" i="34"/>
  <c r="U21" i="8"/>
  <c r="L160" i="34"/>
  <c r="L159" i="34"/>
  <c r="U20" i="8"/>
  <c r="T23" i="8"/>
  <c r="T24" i="8" s="1"/>
  <c r="J129" i="34"/>
  <c r="J125" i="34"/>
  <c r="L191" i="10"/>
  <c r="L192" i="10" s="1"/>
  <c r="R16" i="18"/>
  <c r="B142" i="34"/>
  <c r="N23" i="34"/>
  <c r="N33" i="27" s="1"/>
  <c r="K107" i="34"/>
  <c r="K73" i="34"/>
  <c r="K52" i="34"/>
  <c r="K74" i="34"/>
  <c r="L156" i="34"/>
  <c r="U10" i="8"/>
  <c r="P25" i="34"/>
  <c r="B24" i="34"/>
  <c r="B25" i="34" s="1"/>
  <c r="S28" i="8"/>
  <c r="H41" i="27"/>
  <c r="H182" i="34"/>
  <c r="K43" i="34"/>
  <c r="K72" i="34"/>
  <c r="B49" i="34"/>
  <c r="J105" i="34"/>
  <c r="J118" i="34"/>
  <c r="K59" i="34"/>
  <c r="I26" i="18"/>
  <c r="Q45" i="10"/>
  <c r="K64" i="34"/>
  <c r="S17" i="10"/>
  <c r="K66" i="34"/>
  <c r="K61" i="34"/>
  <c r="J93" i="34"/>
  <c r="K161" i="34"/>
  <c r="K57" i="34"/>
  <c r="I41" i="27"/>
  <c r="I182" i="34"/>
  <c r="K48" i="34"/>
  <c r="J33" i="34"/>
  <c r="J102" i="34"/>
  <c r="O34" i="27"/>
  <c r="O175" i="34"/>
  <c r="AA9" i="5"/>
  <c r="P15" i="34" s="1"/>
  <c r="O15" i="34"/>
  <c r="H177" i="34"/>
  <c r="K40" i="34"/>
  <c r="N46" i="27"/>
  <c r="N187" i="34"/>
  <c r="J140" i="34"/>
  <c r="K56" i="34"/>
  <c r="J49" i="27"/>
  <c r="J190" i="34"/>
  <c r="K58" i="34"/>
  <c r="K55" i="34"/>
  <c r="K50" i="34"/>
  <c r="G36" i="27"/>
  <c r="G177" i="34"/>
  <c r="K71" i="34"/>
  <c r="J35" i="34"/>
  <c r="AA14" i="5"/>
  <c r="P20" i="34" s="1"/>
  <c r="O20" i="34"/>
  <c r="I36" i="34"/>
  <c r="K45" i="34"/>
  <c r="J82" i="34"/>
  <c r="J43" i="27" s="1"/>
  <c r="K53" i="34"/>
  <c r="P18" i="34"/>
  <c r="O18" i="34"/>
  <c r="Z18" i="5"/>
  <c r="K67" i="34"/>
  <c r="K47" i="34"/>
  <c r="V28" i="7"/>
  <c r="V16" i="18"/>
  <c r="L154" i="34"/>
  <c r="U8" i="8"/>
  <c r="T14" i="8"/>
  <c r="K54" i="34"/>
  <c r="R22" i="10"/>
  <c r="I29" i="34"/>
  <c r="I30" i="34" s="1"/>
  <c r="I36" i="27" s="1"/>
  <c r="R18" i="10"/>
  <c r="R44" i="10"/>
  <c r="AA13" i="5"/>
  <c r="P19" i="34" s="1"/>
  <c r="O19" i="34"/>
  <c r="J75" i="34"/>
  <c r="J40" i="27" s="1"/>
  <c r="O148" i="34"/>
  <c r="O149" i="34" s="1"/>
  <c r="X190" i="10"/>
  <c r="J34" i="34"/>
  <c r="AA15" i="5"/>
  <c r="P21" i="34" s="1"/>
  <c r="O21" i="34"/>
  <c r="K68" i="34"/>
  <c r="J139" i="34"/>
  <c r="K60" i="34"/>
  <c r="AA16" i="5"/>
  <c r="P22" i="34" s="1"/>
  <c r="O22" i="34"/>
  <c r="AA10" i="5"/>
  <c r="P16" i="34" s="1"/>
  <c r="O16" i="34"/>
  <c r="L155" i="34"/>
  <c r="U9" i="8"/>
  <c r="R195" i="10"/>
  <c r="J28" i="18" s="1"/>
  <c r="R132" i="10"/>
  <c r="J32" i="34"/>
  <c r="S131" i="10"/>
  <c r="P14" i="34"/>
  <c r="Q196" i="10"/>
  <c r="K65" i="34"/>
  <c r="K69" i="34"/>
  <c r="P148" i="34"/>
  <c r="P149" i="34" s="1"/>
  <c r="Y190" i="10"/>
  <c r="J76" i="34"/>
  <c r="J77" i="34" s="1"/>
  <c r="S164" i="10"/>
  <c r="O17" i="34"/>
  <c r="AA11" i="5"/>
  <c r="P17" i="34" s="1"/>
  <c r="K44" i="34"/>
  <c r="L158" i="34"/>
  <c r="U12" i="8"/>
  <c r="H38" i="27"/>
  <c r="H179" i="34"/>
  <c r="M46" i="27"/>
  <c r="M187" i="34"/>
  <c r="T163" i="10"/>
  <c r="J128" i="34"/>
  <c r="K70" i="34"/>
  <c r="K62" i="34"/>
  <c r="L157" i="34"/>
  <c r="U11" i="8"/>
  <c r="K63" i="34"/>
  <c r="I184" i="34"/>
  <c r="K80" i="34"/>
  <c r="T36" i="6"/>
  <c r="L79" i="34"/>
  <c r="U13" i="6"/>
  <c r="K81" i="34"/>
  <c r="T31" i="6"/>
  <c r="V27" i="6"/>
  <c r="U30" i="6"/>
  <c r="U49" i="6"/>
  <c r="M30" i="18" s="1"/>
  <c r="L27" i="34"/>
  <c r="L28" i="34" s="1"/>
  <c r="V46" i="6"/>
  <c r="K35" i="27"/>
  <c r="K176" i="34"/>
  <c r="K14" i="18"/>
  <c r="S37" i="6"/>
  <c r="V12" i="6"/>
  <c r="V17" i="6"/>
  <c r="U21" i="6"/>
  <c r="H22" i="18"/>
  <c r="P118" i="10"/>
  <c r="F44" i="27"/>
  <c r="F185" i="34"/>
  <c r="H116" i="34"/>
  <c r="Q117" i="10"/>
  <c r="G44" i="27"/>
  <c r="N37" i="27"/>
  <c r="B31" i="34"/>
  <c r="R37" i="27" s="1"/>
  <c r="L117" i="34"/>
  <c r="C34" i="27"/>
  <c r="I174" i="34"/>
  <c r="L41" i="10"/>
  <c r="C175" i="34"/>
  <c r="D175" i="34"/>
  <c r="E175" i="34"/>
  <c r="W40" i="10"/>
  <c r="T45" i="20"/>
  <c r="W177" i="10"/>
  <c r="L42" i="10"/>
  <c r="X18" i="5"/>
  <c r="N12" i="18" s="1"/>
  <c r="U44" i="20"/>
  <c r="L20" i="18" s="1"/>
  <c r="O22" i="6"/>
  <c r="P22" i="6"/>
  <c r="S15" i="8"/>
  <c r="V19" i="5"/>
  <c r="O20" i="33"/>
  <c r="I181" i="34"/>
  <c r="B18" i="34" l="1"/>
  <c r="T28" i="8"/>
  <c r="M18" i="18" s="1"/>
  <c r="L111" i="34"/>
  <c r="L91" i="34"/>
  <c r="M159" i="34"/>
  <c r="V20" i="8"/>
  <c r="U23" i="8"/>
  <c r="V21" i="8"/>
  <c r="M160" i="34"/>
  <c r="L115" i="34"/>
  <c r="J184" i="34"/>
  <c r="K125" i="34"/>
  <c r="L129" i="34"/>
  <c r="B19" i="34"/>
  <c r="O23" i="34"/>
  <c r="O33" i="27" s="1"/>
  <c r="B148" i="34"/>
  <c r="B149" i="34" s="1"/>
  <c r="B15" i="34"/>
  <c r="B21" i="34"/>
  <c r="B17" i="34"/>
  <c r="T15" i="8"/>
  <c r="L62" i="34"/>
  <c r="L68" i="34"/>
  <c r="J26" i="18"/>
  <c r="R45" i="10"/>
  <c r="L47" i="34"/>
  <c r="L48" i="34"/>
  <c r="S22" i="10"/>
  <c r="S23" i="10" s="1"/>
  <c r="J29" i="34"/>
  <c r="J30" i="34" s="1"/>
  <c r="J36" i="27" s="1"/>
  <c r="S18" i="10"/>
  <c r="S44" i="10"/>
  <c r="M156" i="34"/>
  <c r="V10" i="8"/>
  <c r="I177" i="34"/>
  <c r="M158" i="34"/>
  <c r="V12" i="8"/>
  <c r="M155" i="34"/>
  <c r="V9" i="8"/>
  <c r="I38" i="27"/>
  <c r="I179" i="34"/>
  <c r="L55" i="34"/>
  <c r="L40" i="34"/>
  <c r="T17" i="10"/>
  <c r="K49" i="27"/>
  <c r="K190" i="34"/>
  <c r="AA18" i="5"/>
  <c r="L52" i="34"/>
  <c r="L69" i="34"/>
  <c r="B20" i="34"/>
  <c r="L64" i="34"/>
  <c r="L44" i="34"/>
  <c r="K34" i="34"/>
  <c r="O46" i="27"/>
  <c r="O187" i="34"/>
  <c r="M154" i="34"/>
  <c r="V8" i="8"/>
  <c r="U14" i="8"/>
  <c r="L53" i="34"/>
  <c r="L71" i="34"/>
  <c r="L56" i="34"/>
  <c r="K93" i="34"/>
  <c r="L59" i="34"/>
  <c r="L67" i="34"/>
  <c r="K75" i="34"/>
  <c r="K40" i="27" s="1"/>
  <c r="R23" i="10"/>
  <c r="B16" i="34"/>
  <c r="L57" i="34"/>
  <c r="K76" i="34"/>
  <c r="T164" i="10"/>
  <c r="L54" i="34"/>
  <c r="B22" i="34"/>
  <c r="L63" i="34"/>
  <c r="J41" i="27"/>
  <c r="J182" i="34"/>
  <c r="S195" i="10"/>
  <c r="K28" i="18" s="1"/>
  <c r="S132" i="10"/>
  <c r="L60" i="34"/>
  <c r="L161" i="34"/>
  <c r="K102" i="34"/>
  <c r="L73" i="34"/>
  <c r="L70" i="34"/>
  <c r="L72" i="34"/>
  <c r="P12" i="18"/>
  <c r="Z19" i="5"/>
  <c r="L58" i="34"/>
  <c r="L74" i="34"/>
  <c r="K128" i="34"/>
  <c r="L65" i="34"/>
  <c r="L43" i="34"/>
  <c r="U163" i="10"/>
  <c r="M157" i="34"/>
  <c r="V11" i="8"/>
  <c r="J36" i="34"/>
  <c r="K140" i="34"/>
  <c r="L61" i="34"/>
  <c r="K118" i="34"/>
  <c r="L18" i="18"/>
  <c r="S29" i="8"/>
  <c r="K35" i="34"/>
  <c r="P23" i="34"/>
  <c r="B14" i="34"/>
  <c r="K32" i="34"/>
  <c r="T131" i="10"/>
  <c r="K139" i="34"/>
  <c r="L45" i="34"/>
  <c r="K33" i="34"/>
  <c r="L107" i="34"/>
  <c r="R196" i="10"/>
  <c r="K82" i="34"/>
  <c r="K184" i="34" s="1"/>
  <c r="P187" i="34"/>
  <c r="P46" i="27"/>
  <c r="L50" i="34"/>
  <c r="L66" i="34"/>
  <c r="K105" i="34"/>
  <c r="P175" i="34"/>
  <c r="P34" i="27"/>
  <c r="L80" i="34"/>
  <c r="U36" i="6"/>
  <c r="V49" i="6"/>
  <c r="N30" i="18" s="1"/>
  <c r="M27" i="34"/>
  <c r="M28" i="34" s="1"/>
  <c r="W46" i="6"/>
  <c r="W12" i="6"/>
  <c r="W17" i="6"/>
  <c r="V21" i="6"/>
  <c r="M79" i="34"/>
  <c r="V13" i="6"/>
  <c r="L35" i="27"/>
  <c r="L176" i="34"/>
  <c r="L14" i="18"/>
  <c r="T37" i="6"/>
  <c r="L81" i="34"/>
  <c r="U31" i="6"/>
  <c r="W27" i="6"/>
  <c r="V30" i="6"/>
  <c r="H146" i="34"/>
  <c r="I22" i="18"/>
  <c r="Q118" i="10"/>
  <c r="I116" i="34"/>
  <c r="I146" i="34" s="1"/>
  <c r="R117" i="10"/>
  <c r="M117" i="34"/>
  <c r="J174" i="34"/>
  <c r="N178" i="34"/>
  <c r="B178" i="34" s="1"/>
  <c r="N186" i="34"/>
  <c r="B186" i="34" s="1"/>
  <c r="U45" i="20"/>
  <c r="Y18" i="5"/>
  <c r="V44" i="20"/>
  <c r="M20" i="18" s="1"/>
  <c r="Q22" i="6"/>
  <c r="R22" i="6"/>
  <c r="W19" i="5"/>
  <c r="P20" i="33"/>
  <c r="Q20" i="33"/>
  <c r="J181" i="34"/>
  <c r="T39" i="18"/>
  <c r="B187" i="34" l="1"/>
  <c r="T29" i="8"/>
  <c r="M111" i="34"/>
  <c r="U28" i="8"/>
  <c r="N18" i="18" s="1"/>
  <c r="M91" i="34"/>
  <c r="M115" i="34"/>
  <c r="W21" i="8"/>
  <c r="N160" i="34"/>
  <c r="U24" i="8"/>
  <c r="W20" i="8"/>
  <c r="N159" i="34"/>
  <c r="V23" i="8"/>
  <c r="V24" i="8" s="1"/>
  <c r="O174" i="34"/>
  <c r="R46" i="27"/>
  <c r="M129" i="34"/>
  <c r="M125" i="34"/>
  <c r="S196" i="10"/>
  <c r="J177" i="34"/>
  <c r="K43" i="27"/>
  <c r="M43" i="34"/>
  <c r="M45" i="34"/>
  <c r="V163" i="10"/>
  <c r="L93" i="34"/>
  <c r="W12" i="8"/>
  <c r="N158" i="34"/>
  <c r="M47" i="34"/>
  <c r="M50" i="34"/>
  <c r="L118" i="34"/>
  <c r="M57" i="34"/>
  <c r="L34" i="34"/>
  <c r="M40" i="34"/>
  <c r="K26" i="18"/>
  <c r="S45" i="10"/>
  <c r="U17" i="10"/>
  <c r="M71" i="34"/>
  <c r="B23" i="34"/>
  <c r="L128" i="34"/>
  <c r="M73" i="34"/>
  <c r="M53" i="34"/>
  <c r="P174" i="34"/>
  <c r="P33" i="27"/>
  <c r="J38" i="27"/>
  <c r="J179" i="34"/>
  <c r="M55" i="34"/>
  <c r="T195" i="10"/>
  <c r="L28" i="18" s="1"/>
  <c r="T132" i="10"/>
  <c r="L75" i="34"/>
  <c r="L40" i="27" s="1"/>
  <c r="M65" i="34"/>
  <c r="M63" i="34"/>
  <c r="M74" i="34"/>
  <c r="L102" i="34"/>
  <c r="M67" i="34"/>
  <c r="N154" i="34"/>
  <c r="W8" i="8"/>
  <c r="V14" i="8"/>
  <c r="M69" i="34"/>
  <c r="L105" i="34"/>
  <c r="L35" i="34"/>
  <c r="W11" i="8"/>
  <c r="N157" i="34"/>
  <c r="L49" i="27"/>
  <c r="L190" i="34"/>
  <c r="M54" i="34"/>
  <c r="M161" i="34"/>
  <c r="M62" i="34"/>
  <c r="M72" i="34"/>
  <c r="M56" i="34"/>
  <c r="M61" i="34"/>
  <c r="W10" i="8"/>
  <c r="N156" i="34"/>
  <c r="L32" i="34"/>
  <c r="U131" i="10"/>
  <c r="M64" i="34"/>
  <c r="M107" i="34"/>
  <c r="L33" i="34"/>
  <c r="M58" i="34"/>
  <c r="M59" i="34"/>
  <c r="M52" i="34"/>
  <c r="N155" i="34"/>
  <c r="W9" i="8"/>
  <c r="M48" i="34"/>
  <c r="L139" i="34"/>
  <c r="T22" i="10"/>
  <c r="K29" i="34"/>
  <c r="K30" i="34" s="1"/>
  <c r="T18" i="10"/>
  <c r="T44" i="10"/>
  <c r="M44" i="34"/>
  <c r="K36" i="34"/>
  <c r="M70" i="34"/>
  <c r="M68" i="34"/>
  <c r="L140" i="34"/>
  <c r="L82" i="34"/>
  <c r="L184" i="34" s="1"/>
  <c r="M66" i="34"/>
  <c r="L76" i="34"/>
  <c r="L77" i="34" s="1"/>
  <c r="U164" i="10"/>
  <c r="M60" i="34"/>
  <c r="K77" i="34"/>
  <c r="AA19" i="5"/>
  <c r="Q12" i="18"/>
  <c r="X27" i="6"/>
  <c r="W30" i="6"/>
  <c r="M81" i="34"/>
  <c r="V31" i="6"/>
  <c r="M80" i="34"/>
  <c r="V36" i="6"/>
  <c r="Y12" i="6"/>
  <c r="X12" i="6"/>
  <c r="W21" i="6"/>
  <c r="X17" i="6"/>
  <c r="N27" i="34"/>
  <c r="N28" i="34" s="1"/>
  <c r="W49" i="6"/>
  <c r="O30" i="18" s="1"/>
  <c r="X46" i="6"/>
  <c r="M14" i="18"/>
  <c r="U37" i="6"/>
  <c r="N79" i="34"/>
  <c r="W13" i="6"/>
  <c r="M35" i="27"/>
  <c r="M176" i="34"/>
  <c r="M18" i="11"/>
  <c r="J22" i="18"/>
  <c r="R118" i="10"/>
  <c r="J116" i="34"/>
  <c r="J146" i="34" s="1"/>
  <c r="S117" i="10"/>
  <c r="I44" i="27"/>
  <c r="I185" i="34"/>
  <c r="H44" i="27"/>
  <c r="H185" i="34"/>
  <c r="N20" i="5"/>
  <c r="V12" i="18" s="1"/>
  <c r="B12" i="34"/>
  <c r="N117" i="34"/>
  <c r="K174" i="34"/>
  <c r="O12" i="18"/>
  <c r="F175" i="34"/>
  <c r="AA21" i="7"/>
  <c r="V45" i="20"/>
  <c r="N37" i="6"/>
  <c r="W44" i="20"/>
  <c r="T22" i="6"/>
  <c r="V22" i="6"/>
  <c r="S22" i="6"/>
  <c r="U15" i="8"/>
  <c r="X19" i="5"/>
  <c r="R20" i="33"/>
  <c r="L146" i="10"/>
  <c r="K181" i="34"/>
  <c r="M16" i="32"/>
  <c r="N15" i="32"/>
  <c r="Q15" i="32"/>
  <c r="P15" i="32"/>
  <c r="U29" i="8" l="1"/>
  <c r="V28" i="8"/>
  <c r="V29" i="8" s="1"/>
  <c r="N111" i="34"/>
  <c r="N91" i="34"/>
  <c r="X20" i="8"/>
  <c r="W23" i="8"/>
  <c r="W24" i="8" s="1"/>
  <c r="O159" i="34"/>
  <c r="X21" i="8"/>
  <c r="P160" i="34" s="1"/>
  <c r="O160" i="34"/>
  <c r="N115" i="34"/>
  <c r="N125" i="34"/>
  <c r="N129" i="34"/>
  <c r="T196" i="10"/>
  <c r="R12" i="18"/>
  <c r="X12" i="18" s="1"/>
  <c r="M105" i="34"/>
  <c r="M82" i="34"/>
  <c r="M43" i="27" s="1"/>
  <c r="L41" i="27"/>
  <c r="L182" i="34"/>
  <c r="U195" i="10"/>
  <c r="M28" i="18" s="1"/>
  <c r="U132" i="10"/>
  <c r="N62" i="34"/>
  <c r="N63" i="34"/>
  <c r="N44" i="34"/>
  <c r="N52" i="34"/>
  <c r="L36" i="34"/>
  <c r="M49" i="27"/>
  <c r="M190" i="34"/>
  <c r="N69" i="34"/>
  <c r="M75" i="34"/>
  <c r="M40" i="27" s="1"/>
  <c r="N47" i="34"/>
  <c r="T23" i="10"/>
  <c r="M34" i="34"/>
  <c r="M93" i="34"/>
  <c r="N66" i="34"/>
  <c r="N40" i="34"/>
  <c r="M140" i="34"/>
  <c r="N58" i="34"/>
  <c r="N61" i="34"/>
  <c r="N67" i="34"/>
  <c r="M128" i="34"/>
  <c r="M76" i="34"/>
  <c r="M77" i="34" s="1"/>
  <c r="V164" i="10"/>
  <c r="N59" i="34"/>
  <c r="N73" i="34"/>
  <c r="M33" i="34"/>
  <c r="O157" i="34"/>
  <c r="X11" i="8"/>
  <c r="P157" i="34" s="1"/>
  <c r="N57" i="34"/>
  <c r="W163" i="10"/>
  <c r="L26" i="18"/>
  <c r="T45" i="10"/>
  <c r="N54" i="34"/>
  <c r="N68" i="34"/>
  <c r="M139" i="34"/>
  <c r="K41" i="27"/>
  <c r="K182" i="34"/>
  <c r="N56" i="34"/>
  <c r="M102" i="34"/>
  <c r="N55" i="34"/>
  <c r="K38" i="27"/>
  <c r="K179" i="34"/>
  <c r="M32" i="34"/>
  <c r="V131" i="10"/>
  <c r="N65" i="34"/>
  <c r="O158" i="34"/>
  <c r="X12" i="8"/>
  <c r="P158" i="34" s="1"/>
  <c r="K36" i="27"/>
  <c r="K177" i="34"/>
  <c r="O156" i="34"/>
  <c r="X10" i="8"/>
  <c r="P156" i="34" s="1"/>
  <c r="N161" i="34"/>
  <c r="L43" i="27"/>
  <c r="N70" i="34"/>
  <c r="N48" i="34"/>
  <c r="N107" i="34"/>
  <c r="M35" i="34"/>
  <c r="N71" i="34"/>
  <c r="M118" i="34"/>
  <c r="N45" i="34"/>
  <c r="N64" i="34"/>
  <c r="N53" i="34"/>
  <c r="X8" i="8"/>
  <c r="O154" i="34"/>
  <c r="W14" i="8"/>
  <c r="N60" i="34"/>
  <c r="X9" i="8"/>
  <c r="P155" i="34" s="1"/>
  <c r="O155" i="34"/>
  <c r="N72" i="34"/>
  <c r="N74" i="34"/>
  <c r="U22" i="10"/>
  <c r="U23" i="10" s="1"/>
  <c r="L29" i="34"/>
  <c r="L30" i="34" s="1"/>
  <c r="L36" i="27" s="1"/>
  <c r="U18" i="10"/>
  <c r="U44" i="10"/>
  <c r="V17" i="10"/>
  <c r="N50" i="34"/>
  <c r="N43" i="34"/>
  <c r="N14" i="18"/>
  <c r="V37" i="6"/>
  <c r="N35" i="27"/>
  <c r="N176" i="34"/>
  <c r="Y21" i="6"/>
  <c r="X21" i="6"/>
  <c r="N80" i="34"/>
  <c r="W36" i="6"/>
  <c r="O79" i="34"/>
  <c r="X13" i="6"/>
  <c r="P79" i="34"/>
  <c r="Y13" i="6"/>
  <c r="L14" i="6"/>
  <c r="L15" i="6" s="1"/>
  <c r="N81" i="34"/>
  <c r="W31" i="6"/>
  <c r="X49" i="6"/>
  <c r="P30" i="18" s="1"/>
  <c r="Y46" i="6"/>
  <c r="O27" i="34"/>
  <c r="O28" i="34" s="1"/>
  <c r="Y27" i="6"/>
  <c r="Y30" i="6" s="1"/>
  <c r="X30" i="6"/>
  <c r="J44" i="27"/>
  <c r="J185" i="34"/>
  <c r="K22" i="18"/>
  <c r="S118" i="10"/>
  <c r="K116" i="34"/>
  <c r="T117" i="10"/>
  <c r="O117" i="34"/>
  <c r="G150" i="34"/>
  <c r="G47" i="27" s="1"/>
  <c r="F150" i="34"/>
  <c r="F163" i="34" s="1"/>
  <c r="G10" i="18"/>
  <c r="D150" i="34"/>
  <c r="D163" i="34" s="1"/>
  <c r="E10" i="18"/>
  <c r="G78" i="34"/>
  <c r="G183" i="34" s="1"/>
  <c r="H10" i="18"/>
  <c r="L174" i="34"/>
  <c r="N20" i="18"/>
  <c r="AB21" i="7"/>
  <c r="W45" i="20"/>
  <c r="H176" i="34"/>
  <c r="N16" i="32"/>
  <c r="W15" i="32"/>
  <c r="AB21" i="4"/>
  <c r="X44" i="20"/>
  <c r="U22" i="6"/>
  <c r="W22" i="6"/>
  <c r="S15" i="32"/>
  <c r="X15" i="32"/>
  <c r="N150" i="34" s="1"/>
  <c r="N47" i="27" s="1"/>
  <c r="V15" i="32"/>
  <c r="L150" i="34" s="1"/>
  <c r="L47" i="27" s="1"/>
  <c r="U15" i="32"/>
  <c r="K150" i="34" s="1"/>
  <c r="K47" i="27" s="1"/>
  <c r="T15" i="32"/>
  <c r="J150" i="34" s="1"/>
  <c r="J47" i="27" s="1"/>
  <c r="O15" i="32"/>
  <c r="R15" i="32"/>
  <c r="H150" i="34" s="1"/>
  <c r="H47" i="27" s="1"/>
  <c r="AA21" i="4"/>
  <c r="S20" i="33"/>
  <c r="V15" i="8"/>
  <c r="Q16" i="32"/>
  <c r="P16" i="32"/>
  <c r="L181" i="34"/>
  <c r="O18" i="18" l="1"/>
  <c r="B160" i="34"/>
  <c r="P111" i="34"/>
  <c r="O111" i="34"/>
  <c r="P91" i="34"/>
  <c r="O91" i="34"/>
  <c r="P115" i="34"/>
  <c r="O115" i="34"/>
  <c r="P159" i="34"/>
  <c r="B159" i="34" s="1"/>
  <c r="X23" i="8"/>
  <c r="M184" i="34"/>
  <c r="P129" i="34"/>
  <c r="O129" i="34"/>
  <c r="P125" i="34"/>
  <c r="O125" i="34"/>
  <c r="B155" i="34"/>
  <c r="U196" i="10"/>
  <c r="B156" i="34"/>
  <c r="B157" i="34"/>
  <c r="B158" i="34"/>
  <c r="P43" i="34"/>
  <c r="O43" i="34"/>
  <c r="P72" i="34"/>
  <c r="O72" i="34"/>
  <c r="P107" i="34"/>
  <c r="O107" i="34"/>
  <c r="P44" i="34"/>
  <c r="O44" i="34"/>
  <c r="N75" i="34"/>
  <c r="N40" i="27" s="1"/>
  <c r="P56" i="34"/>
  <c r="O56" i="34"/>
  <c r="P59" i="34"/>
  <c r="O59" i="34"/>
  <c r="N140" i="34"/>
  <c r="P47" i="34"/>
  <c r="O47" i="34"/>
  <c r="V22" i="10"/>
  <c r="V23" i="10" s="1"/>
  <c r="M29" i="34"/>
  <c r="M30" i="34" s="1"/>
  <c r="V18" i="10"/>
  <c r="V44" i="10"/>
  <c r="M41" i="27"/>
  <c r="M182" i="34"/>
  <c r="M26" i="18"/>
  <c r="U45" i="10"/>
  <c r="W28" i="8"/>
  <c r="W15" i="8"/>
  <c r="N32" i="34"/>
  <c r="W131" i="10"/>
  <c r="W132" i="10" s="1"/>
  <c r="P57" i="34"/>
  <c r="O57" i="34"/>
  <c r="N128" i="34"/>
  <c r="P66" i="34"/>
  <c r="O66" i="34"/>
  <c r="P50" i="34"/>
  <c r="O50" i="34"/>
  <c r="P65" i="34"/>
  <c r="O65" i="34"/>
  <c r="N76" i="34"/>
  <c r="N77" i="34" s="1"/>
  <c r="W164" i="10"/>
  <c r="W17" i="10"/>
  <c r="P60" i="34"/>
  <c r="O60" i="34"/>
  <c r="P70" i="34"/>
  <c r="O70" i="34"/>
  <c r="P62" i="34"/>
  <c r="O62" i="34"/>
  <c r="O161" i="34"/>
  <c r="N118" i="34"/>
  <c r="N49" i="27"/>
  <c r="N190" i="34"/>
  <c r="N139" i="34"/>
  <c r="P48" i="34"/>
  <c r="O48" i="34"/>
  <c r="V195" i="10"/>
  <c r="N28" i="18" s="1"/>
  <c r="V132" i="10"/>
  <c r="P67" i="34"/>
  <c r="O67" i="34"/>
  <c r="N93" i="34"/>
  <c r="Y163" i="10"/>
  <c r="X163" i="10"/>
  <c r="M36" i="34"/>
  <c r="P69" i="34"/>
  <c r="O69" i="34"/>
  <c r="P71" i="34"/>
  <c r="O71" i="34"/>
  <c r="P68" i="34"/>
  <c r="O68" i="34"/>
  <c r="L38" i="27"/>
  <c r="L179" i="34"/>
  <c r="N34" i="34"/>
  <c r="P64" i="34"/>
  <c r="O64" i="34"/>
  <c r="P63" i="34"/>
  <c r="O63" i="34"/>
  <c r="O40" i="34"/>
  <c r="Y44" i="20"/>
  <c r="P45" i="34"/>
  <c r="O45" i="34"/>
  <c r="P154" i="34"/>
  <c r="X14" i="8"/>
  <c r="L177" i="34"/>
  <c r="P53" i="34"/>
  <c r="O53" i="34"/>
  <c r="P55" i="34"/>
  <c r="O55" i="34"/>
  <c r="N33" i="34"/>
  <c r="P61" i="34"/>
  <c r="O61" i="34"/>
  <c r="P74" i="34"/>
  <c r="O74" i="34"/>
  <c r="N35" i="34"/>
  <c r="P52" i="34"/>
  <c r="O52" i="34"/>
  <c r="N102" i="34"/>
  <c r="P54" i="34"/>
  <c r="O54" i="34"/>
  <c r="P73" i="34"/>
  <c r="O73" i="34"/>
  <c r="P58" i="34"/>
  <c r="O58" i="34"/>
  <c r="N105" i="34"/>
  <c r="B79" i="34"/>
  <c r="G163" i="34"/>
  <c r="N82" i="34"/>
  <c r="N184" i="34" s="1"/>
  <c r="O80" i="34"/>
  <c r="X36" i="6"/>
  <c r="X22" i="6"/>
  <c r="O81" i="34"/>
  <c r="X31" i="6"/>
  <c r="P80" i="34"/>
  <c r="Y36" i="6"/>
  <c r="Y22" i="6"/>
  <c r="L23" i="6"/>
  <c r="L24" i="6" s="1"/>
  <c r="Y49" i="6"/>
  <c r="P27" i="34"/>
  <c r="P81" i="34"/>
  <c r="Y31" i="6"/>
  <c r="L32" i="6"/>
  <c r="L33" i="6" s="1"/>
  <c r="O176" i="34"/>
  <c r="O35" i="27"/>
  <c r="O14" i="18"/>
  <c r="W37" i="6"/>
  <c r="K146" i="34"/>
  <c r="L22" i="18"/>
  <c r="T118" i="10"/>
  <c r="L116" i="34"/>
  <c r="L146" i="34" s="1"/>
  <c r="U117" i="10"/>
  <c r="I10" i="18"/>
  <c r="I33" i="18" s="1"/>
  <c r="I37" i="18" s="1"/>
  <c r="H17" i="23" s="1"/>
  <c r="H21" i="23" s="1"/>
  <c r="V6" i="23"/>
  <c r="X6" i="23" s="1"/>
  <c r="T6" i="23"/>
  <c r="M17" i="32"/>
  <c r="M18" i="32" s="1"/>
  <c r="F188" i="34"/>
  <c r="P117" i="34"/>
  <c r="B117" i="34" s="1"/>
  <c r="G42" i="27"/>
  <c r="E150" i="34"/>
  <c r="F10" i="18"/>
  <c r="F33" i="18" s="1"/>
  <c r="F37" i="18" s="1"/>
  <c r="E17" i="23" s="1"/>
  <c r="E21" i="23" s="1"/>
  <c r="D47" i="27"/>
  <c r="M150" i="34"/>
  <c r="M47" i="27" s="1"/>
  <c r="F47" i="27"/>
  <c r="I150" i="34"/>
  <c r="I47" i="27" s="1"/>
  <c r="G188" i="34"/>
  <c r="H78" i="34"/>
  <c r="H183" i="34" s="1"/>
  <c r="M174" i="34"/>
  <c r="D188" i="34"/>
  <c r="D176" i="34"/>
  <c r="E176" i="34"/>
  <c r="G175" i="34"/>
  <c r="H175" i="34"/>
  <c r="O20" i="18"/>
  <c r="AC21" i="7"/>
  <c r="X45" i="20"/>
  <c r="W16" i="32"/>
  <c r="T16" i="32"/>
  <c r="J188" i="34"/>
  <c r="K188" i="34"/>
  <c r="V16" i="32"/>
  <c r="L188" i="34"/>
  <c r="X16" i="32"/>
  <c r="N188" i="34"/>
  <c r="S16" i="32"/>
  <c r="R16" i="32"/>
  <c r="H188" i="34"/>
  <c r="AC21" i="4"/>
  <c r="Y19" i="5"/>
  <c r="N21" i="5"/>
  <c r="O16" i="32"/>
  <c r="U16" i="32"/>
  <c r="R33" i="27"/>
  <c r="M181" i="34"/>
  <c r="B111" i="34" l="1"/>
  <c r="B115" i="34"/>
  <c r="B91" i="34"/>
  <c r="X24" i="8"/>
  <c r="K25" i="8"/>
  <c r="K26" i="8" s="1"/>
  <c r="B125" i="34"/>
  <c r="B129" i="34"/>
  <c r="B72" i="34"/>
  <c r="B62" i="34"/>
  <c r="B60" i="34"/>
  <c r="B43" i="34"/>
  <c r="B56" i="34"/>
  <c r="V196" i="10"/>
  <c r="B67" i="34"/>
  <c r="B54" i="34"/>
  <c r="B66" i="34"/>
  <c r="B53" i="34"/>
  <c r="B80" i="34"/>
  <c r="B47" i="34"/>
  <c r="B64" i="34"/>
  <c r="P105" i="34"/>
  <c r="O105" i="34"/>
  <c r="M38" i="27"/>
  <c r="M179" i="34"/>
  <c r="P139" i="34"/>
  <c r="O139" i="34"/>
  <c r="P34" i="34"/>
  <c r="O34" i="34"/>
  <c r="W22" i="10"/>
  <c r="W23" i="10" s="1"/>
  <c r="N29" i="34"/>
  <c r="N30" i="34" s="1"/>
  <c r="W18" i="10"/>
  <c r="W44" i="10"/>
  <c r="N26" i="18"/>
  <c r="V45" i="10"/>
  <c r="Y17" i="10"/>
  <c r="X17" i="10"/>
  <c r="B61" i="34"/>
  <c r="P20" i="18"/>
  <c r="Y45" i="20"/>
  <c r="B68" i="34"/>
  <c r="O190" i="34"/>
  <c r="O49" i="27"/>
  <c r="O75" i="34"/>
  <c r="N36" i="34"/>
  <c r="B107" i="34"/>
  <c r="P76" i="34"/>
  <c r="Y164" i="10"/>
  <c r="L165" i="10"/>
  <c r="L166" i="10" s="1"/>
  <c r="M36" i="27"/>
  <c r="M177" i="34"/>
  <c r="B45" i="34"/>
  <c r="N41" i="27"/>
  <c r="N182" i="34"/>
  <c r="W195" i="10"/>
  <c r="W196" i="10" s="1"/>
  <c r="B65" i="34"/>
  <c r="O32" i="34"/>
  <c r="X131" i="10"/>
  <c r="X132" i="10" s="1"/>
  <c r="B73" i="34"/>
  <c r="P33" i="34"/>
  <c r="O33" i="34"/>
  <c r="P40" i="34"/>
  <c r="B40" i="34" s="1"/>
  <c r="Z44" i="20"/>
  <c r="M46" i="20" s="1"/>
  <c r="B71" i="34"/>
  <c r="P128" i="34"/>
  <c r="O128" i="34"/>
  <c r="P102" i="34"/>
  <c r="O102" i="34"/>
  <c r="B50" i="34"/>
  <c r="P18" i="18"/>
  <c r="W29" i="8"/>
  <c r="P140" i="34"/>
  <c r="O140" i="34"/>
  <c r="X15" i="8"/>
  <c r="X28" i="8"/>
  <c r="K30" i="8" s="1"/>
  <c r="K16" i="8"/>
  <c r="K17" i="8" s="1"/>
  <c r="O76" i="34"/>
  <c r="O77" i="34" s="1"/>
  <c r="X164" i="10"/>
  <c r="B58" i="34"/>
  <c r="B57" i="34"/>
  <c r="P118" i="34"/>
  <c r="O118" i="34"/>
  <c r="B55" i="34"/>
  <c r="B63" i="34"/>
  <c r="P35" i="34"/>
  <c r="O35" i="34"/>
  <c r="B154" i="34"/>
  <c r="B161" i="34" s="1"/>
  <c r="P161" i="34"/>
  <c r="B74" i="34"/>
  <c r="B44" i="34"/>
  <c r="P93" i="34"/>
  <c r="O93" i="34"/>
  <c r="B52" i="34"/>
  <c r="B69" i="34"/>
  <c r="B48" i="34"/>
  <c r="B70" i="34"/>
  <c r="B59" i="34"/>
  <c r="N43" i="27"/>
  <c r="E162" i="34"/>
  <c r="E191" i="34" s="1"/>
  <c r="E163" i="34"/>
  <c r="H162" i="34"/>
  <c r="H191" i="34" s="1"/>
  <c r="H163" i="34"/>
  <c r="B81" i="34"/>
  <c r="O82" i="34"/>
  <c r="O184" i="34" s="1"/>
  <c r="B150" i="34"/>
  <c r="R47" i="27" s="1"/>
  <c r="P28" i="34"/>
  <c r="B27" i="34"/>
  <c r="Q30" i="18"/>
  <c r="R30" i="18" s="1"/>
  <c r="L51" i="6"/>
  <c r="P82" i="34"/>
  <c r="P14" i="18"/>
  <c r="X37" i="6"/>
  <c r="Q14" i="18"/>
  <c r="Y37" i="6"/>
  <c r="L38" i="6"/>
  <c r="J38" i="23"/>
  <c r="M22" i="18"/>
  <c r="U118" i="10"/>
  <c r="L44" i="27"/>
  <c r="L185" i="34"/>
  <c r="M116" i="34"/>
  <c r="M146" i="34" s="1"/>
  <c r="V117" i="10"/>
  <c r="K44" i="27"/>
  <c r="K185" i="34"/>
  <c r="E23" i="23"/>
  <c r="E25" i="23"/>
  <c r="E27" i="23" s="1"/>
  <c r="H23" i="23"/>
  <c r="H25" i="23"/>
  <c r="H27" i="23" s="1"/>
  <c r="J10" i="18"/>
  <c r="J33" i="18" s="1"/>
  <c r="J37" i="18" s="1"/>
  <c r="I17" i="23" s="1"/>
  <c r="I21" i="23" s="1"/>
  <c r="H42" i="27"/>
  <c r="I188" i="34"/>
  <c r="E47" i="27"/>
  <c r="E188" i="34"/>
  <c r="B188" i="34" s="1"/>
  <c r="M188" i="34"/>
  <c r="I78" i="34"/>
  <c r="I183" i="34" s="1"/>
  <c r="N174" i="34"/>
  <c r="B174" i="34" s="1"/>
  <c r="W12" i="18"/>
  <c r="Y12" i="18" s="1"/>
  <c r="I175" i="34"/>
  <c r="F44" i="10"/>
  <c r="AD21" i="7"/>
  <c r="C152" i="34"/>
  <c r="AD21" i="4"/>
  <c r="T20" i="33"/>
  <c r="B82" i="34" l="1"/>
  <c r="W14" i="18" s="1"/>
  <c r="B128" i="34"/>
  <c r="B118" i="34"/>
  <c r="B93" i="34"/>
  <c r="B105" i="34"/>
  <c r="B140" i="34"/>
  <c r="N36" i="27"/>
  <c r="N177" i="34"/>
  <c r="Q20" i="18"/>
  <c r="R20" i="18" s="1"/>
  <c r="T20" i="18" s="1"/>
  <c r="Z45" i="20"/>
  <c r="N38" i="27"/>
  <c r="N179" i="34"/>
  <c r="O26" i="18"/>
  <c r="W45" i="10"/>
  <c r="V18" i="18"/>
  <c r="K31" i="8"/>
  <c r="B75" i="34"/>
  <c r="R40" i="27" s="1"/>
  <c r="O181" i="34"/>
  <c r="O40" i="27"/>
  <c r="X195" i="10"/>
  <c r="O36" i="34"/>
  <c r="P49" i="27"/>
  <c r="P190" i="34"/>
  <c r="B190" i="34" s="1"/>
  <c r="O182" i="34"/>
  <c r="O41" i="27"/>
  <c r="B102" i="34"/>
  <c r="Y131" i="10"/>
  <c r="L133" i="10" s="1"/>
  <c r="L134" i="10" s="1"/>
  <c r="P32" i="34"/>
  <c r="B139" i="34"/>
  <c r="B34" i="34"/>
  <c r="R49" i="27"/>
  <c r="W18" i="18"/>
  <c r="X22" i="10"/>
  <c r="X23" i="10" s="1"/>
  <c r="X44" i="10"/>
  <c r="O29" i="34"/>
  <c r="O30" i="34" s="1"/>
  <c r="X18" i="10"/>
  <c r="Q18" i="18"/>
  <c r="R18" i="18" s="1"/>
  <c r="X29" i="8"/>
  <c r="P75" i="34"/>
  <c r="P77" i="34"/>
  <c r="B76" i="34"/>
  <c r="Y22" i="10"/>
  <c r="Y44" i="10"/>
  <c r="P29" i="34"/>
  <c r="Y18" i="10"/>
  <c r="L19" i="10"/>
  <c r="L20" i="10" s="1"/>
  <c r="B33" i="34"/>
  <c r="V20" i="18"/>
  <c r="M47" i="20"/>
  <c r="B35" i="34"/>
  <c r="O28" i="18"/>
  <c r="O43" i="27"/>
  <c r="R14" i="18"/>
  <c r="T14" i="18" s="1"/>
  <c r="I162" i="34"/>
  <c r="I191" i="34" s="1"/>
  <c r="I163" i="34"/>
  <c r="B28" i="34"/>
  <c r="W30" i="18" s="1"/>
  <c r="P43" i="27"/>
  <c r="P184" i="34"/>
  <c r="B184" i="34" s="1"/>
  <c r="V14" i="18"/>
  <c r="L39" i="6"/>
  <c r="V30" i="18"/>
  <c r="X30" i="18" s="1"/>
  <c r="L52" i="6"/>
  <c r="P176" i="34"/>
  <c r="B176" i="34" s="1"/>
  <c r="P35" i="27"/>
  <c r="M44" i="27"/>
  <c r="M185" i="34"/>
  <c r="N116" i="34"/>
  <c r="N146" i="34" s="1"/>
  <c r="W117" i="10"/>
  <c r="N22" i="18"/>
  <c r="V118" i="10"/>
  <c r="I23" i="23"/>
  <c r="I25" i="23"/>
  <c r="I27" i="23" s="1"/>
  <c r="B152" i="34"/>
  <c r="B153" i="34" s="1"/>
  <c r="I42" i="27"/>
  <c r="K10" i="18"/>
  <c r="K33" i="18" s="1"/>
  <c r="K37" i="18" s="1"/>
  <c r="J17" i="23" s="1"/>
  <c r="J21" i="23" s="1"/>
  <c r="J78" i="34"/>
  <c r="C153" i="34"/>
  <c r="X16" i="18"/>
  <c r="C17" i="23"/>
  <c r="N181" i="34"/>
  <c r="Y23" i="7"/>
  <c r="AE21" i="7"/>
  <c r="AE21" i="4"/>
  <c r="Z23" i="7"/>
  <c r="L10" i="18"/>
  <c r="U20" i="33"/>
  <c r="J163" i="34" l="1"/>
  <c r="J183" i="34"/>
  <c r="R43" i="27"/>
  <c r="X14" i="18"/>
  <c r="L46" i="10"/>
  <c r="L47" i="10" s="1"/>
  <c r="X20" i="18"/>
  <c r="Y18" i="18"/>
  <c r="P26" i="18"/>
  <c r="X45" i="10"/>
  <c r="Y132" i="10"/>
  <c r="Y195" i="10"/>
  <c r="C163" i="34"/>
  <c r="C164" i="34" s="1"/>
  <c r="C162" i="34"/>
  <c r="O179" i="34"/>
  <c r="O38" i="27"/>
  <c r="P41" i="27"/>
  <c r="P182" i="34"/>
  <c r="B182" i="34" s="1"/>
  <c r="B77" i="34"/>
  <c r="P28" i="18"/>
  <c r="X196" i="10"/>
  <c r="Y23" i="10"/>
  <c r="L24" i="10"/>
  <c r="L25" i="10" s="1"/>
  <c r="P40" i="27"/>
  <c r="P181" i="34"/>
  <c r="B181" i="34" s="1"/>
  <c r="X18" i="18"/>
  <c r="O36" i="27"/>
  <c r="O177" i="34"/>
  <c r="P30" i="34"/>
  <c r="B29" i="34"/>
  <c r="B30" i="34" s="1"/>
  <c r="Q26" i="18"/>
  <c r="Y45" i="10"/>
  <c r="P36" i="34"/>
  <c r="B32" i="34"/>
  <c r="R35" i="27"/>
  <c r="Y14" i="18"/>
  <c r="Y30" i="18"/>
  <c r="O22" i="18"/>
  <c r="W118" i="10"/>
  <c r="N44" i="27"/>
  <c r="N185" i="34"/>
  <c r="O116" i="34"/>
  <c r="O146" i="34" s="1"/>
  <c r="O163" i="34" s="1"/>
  <c r="X117" i="10"/>
  <c r="J23" i="23"/>
  <c r="J25" i="23"/>
  <c r="J27" i="23" s="1"/>
  <c r="R48" i="27"/>
  <c r="J42" i="27"/>
  <c r="J162" i="34"/>
  <c r="J191" i="34" s="1"/>
  <c r="C48" i="27"/>
  <c r="C189" i="34"/>
  <c r="K78" i="34"/>
  <c r="W20" i="18"/>
  <c r="Y20" i="18" s="1"/>
  <c r="L33" i="18"/>
  <c r="L37" i="18" s="1"/>
  <c r="K17" i="23" s="1"/>
  <c r="K21" i="23" s="1"/>
  <c r="J175" i="34"/>
  <c r="K175" i="34"/>
  <c r="AF21" i="7"/>
  <c r="AF21" i="4"/>
  <c r="AA23" i="7"/>
  <c r="M10" i="18"/>
  <c r="V20" i="33"/>
  <c r="K163" i="34" l="1"/>
  <c r="K183" i="34"/>
  <c r="V26" i="18"/>
  <c r="R26" i="18"/>
  <c r="F22" i="10" s="1"/>
  <c r="R36" i="27"/>
  <c r="W26" i="18"/>
  <c r="Q28" i="18"/>
  <c r="R28" i="18" s="1"/>
  <c r="Y196" i="10"/>
  <c r="L197" i="10"/>
  <c r="R41" i="27"/>
  <c r="P36" i="27"/>
  <c r="P177" i="34"/>
  <c r="B177" i="34" s="1"/>
  <c r="P179" i="34"/>
  <c r="B179" i="34" s="1"/>
  <c r="P38" i="27"/>
  <c r="B36" i="34"/>
  <c r="O185" i="34"/>
  <c r="O162" i="34"/>
  <c r="O191" i="34" s="1"/>
  <c r="O44" i="27"/>
  <c r="X118" i="10"/>
  <c r="P22" i="18"/>
  <c r="P33" i="18" s="1"/>
  <c r="P37" i="18" s="1"/>
  <c r="O17" i="23" s="1"/>
  <c r="O21" i="23" s="1"/>
  <c r="P116" i="34"/>
  <c r="Y117" i="10"/>
  <c r="K23" i="23"/>
  <c r="K25" i="23"/>
  <c r="K42" i="27"/>
  <c r="K162" i="34"/>
  <c r="K191" i="34" s="1"/>
  <c r="C191" i="34"/>
  <c r="C192" i="34" s="1"/>
  <c r="M33" i="18"/>
  <c r="L78" i="34"/>
  <c r="L183" i="34" s="1"/>
  <c r="F189" i="34"/>
  <c r="L175" i="34"/>
  <c r="AG21" i="7"/>
  <c r="AB23" i="7"/>
  <c r="N10" i="18"/>
  <c r="W20" i="33"/>
  <c r="Y26" i="18" l="1"/>
  <c r="X26" i="18"/>
  <c r="P146" i="34"/>
  <c r="P163" i="34" s="1"/>
  <c r="B116" i="34"/>
  <c r="B146" i="34" s="1"/>
  <c r="T26" i="18"/>
  <c r="R38" i="27"/>
  <c r="W28" i="18"/>
  <c r="V28" i="18"/>
  <c r="X28" i="18" s="1"/>
  <c r="L198" i="10"/>
  <c r="L162" i="34"/>
  <c r="L191" i="34" s="1"/>
  <c r="L163" i="34"/>
  <c r="Y118" i="10"/>
  <c r="Q22" i="18"/>
  <c r="Q33" i="18" s="1"/>
  <c r="Q37" i="18" s="1"/>
  <c r="P17" i="23" s="1"/>
  <c r="P21" i="23" s="1"/>
  <c r="P25" i="23" s="1"/>
  <c r="P27" i="23" s="1"/>
  <c r="O23" i="23"/>
  <c r="O25" i="23"/>
  <c r="O27" i="23" s="1"/>
  <c r="K27" i="23"/>
  <c r="M37" i="18"/>
  <c r="L17" i="23" s="1"/>
  <c r="L42" i="27"/>
  <c r="N78" i="34"/>
  <c r="O10" i="18"/>
  <c r="R10" i="18" s="1"/>
  <c r="X23" i="4"/>
  <c r="N33" i="18"/>
  <c r="N37" i="18" s="1"/>
  <c r="M17" i="23" s="1"/>
  <c r="M21" i="23" s="1"/>
  <c r="M78" i="34"/>
  <c r="M183" i="34" s="1"/>
  <c r="G189" i="34"/>
  <c r="M175" i="34"/>
  <c r="AH21" i="4"/>
  <c r="AI21" i="4"/>
  <c r="AC23" i="7"/>
  <c r="M22" i="33"/>
  <c r="X20" i="33"/>
  <c r="N163" i="34" l="1"/>
  <c r="N183" i="34"/>
  <c r="B183" i="34" s="1"/>
  <c r="P162" i="34"/>
  <c r="P191" i="34" s="1"/>
  <c r="P185" i="34"/>
  <c r="B185" i="34" s="1"/>
  <c r="P44" i="27"/>
  <c r="Y28" i="18"/>
  <c r="M162" i="34"/>
  <c r="M191" i="34" s="1"/>
  <c r="M163" i="34"/>
  <c r="B78" i="34"/>
  <c r="B163" i="34" s="1"/>
  <c r="P23" i="23"/>
  <c r="L119" i="10"/>
  <c r="V22" i="18" s="1"/>
  <c r="N162" i="34"/>
  <c r="N191" i="34" s="1"/>
  <c r="L21" i="23"/>
  <c r="M23" i="23"/>
  <c r="M25" i="23"/>
  <c r="M27" i="23" s="1"/>
  <c r="M42" i="27"/>
  <c r="N42" i="27"/>
  <c r="O33" i="18"/>
  <c r="T10" i="18"/>
  <c r="W10" i="18"/>
  <c r="V10" i="18"/>
  <c r="X10" i="18" s="1"/>
  <c r="N175" i="34"/>
  <c r="B175" i="34" s="1"/>
  <c r="AD23" i="7"/>
  <c r="R34" i="27"/>
  <c r="R22" i="18" l="1"/>
  <c r="F117" i="10" s="1"/>
  <c r="R42" i="27"/>
  <c r="L120" i="10"/>
  <c r="R44" i="27"/>
  <c r="W22" i="18"/>
  <c r="Y22" i="18" s="1"/>
  <c r="Q44" i="27"/>
  <c r="L23" i="23"/>
  <c r="L25" i="23"/>
  <c r="O37" i="18"/>
  <c r="H189" i="34"/>
  <c r="I189" i="34"/>
  <c r="Y10" i="18"/>
  <c r="AE23" i="7"/>
  <c r="R50" i="27" l="1"/>
  <c r="T22" i="18"/>
  <c r="X22" i="18"/>
  <c r="L27" i="23"/>
  <c r="N17" i="23"/>
  <c r="J189" i="34"/>
  <c r="AG23" i="7"/>
  <c r="AF23" i="7"/>
  <c r="T30" i="18"/>
  <c r="N21" i="23" l="1"/>
  <c r="K189" i="34"/>
  <c r="T18" i="18"/>
  <c r="N23" i="23" l="1"/>
  <c r="N25" i="23"/>
  <c r="L189" i="34"/>
  <c r="N27" i="23" l="1"/>
  <c r="M189" i="34"/>
  <c r="T16" i="18" l="1"/>
  <c r="W16" i="18" l="1"/>
  <c r="Y16" i="18" s="1"/>
  <c r="N189" i="34"/>
  <c r="B189" i="34" s="1"/>
  <c r="T28" i="18" l="1"/>
  <c r="F195" i="10" l="1"/>
  <c r="C21" i="23"/>
  <c r="C25" i="23" l="1"/>
  <c r="C23" i="23"/>
  <c r="C27" i="23" l="1"/>
  <c r="C29" i="23"/>
  <c r="T12" i="18"/>
  <c r="C31" i="23" l="1"/>
  <c r="C14" i="23"/>
  <c r="R14" i="23" s="1"/>
  <c r="M19" i="11" l="1"/>
  <c r="B169" i="34" l="1"/>
  <c r="D11" i="34" l="1"/>
  <c r="G11" i="34"/>
  <c r="G13" i="34" s="1"/>
  <c r="G8" i="18" l="1"/>
  <c r="F11" i="34"/>
  <c r="F13" i="34" s="1"/>
  <c r="F162" i="34" s="1"/>
  <c r="F191" i="34" s="1"/>
  <c r="G162" i="34"/>
  <c r="G191" i="34" s="1"/>
  <c r="G173" i="34"/>
  <c r="D13" i="34"/>
  <c r="D173" i="34" s="1"/>
  <c r="H8" i="18"/>
  <c r="F173" i="34" l="1"/>
  <c r="B173" i="34" s="1"/>
  <c r="B191" i="34" s="1"/>
  <c r="G35" i="18"/>
  <c r="F19" i="23" s="1"/>
  <c r="G33" i="18"/>
  <c r="B11" i="34"/>
  <c r="D162" i="34"/>
  <c r="H35" i="18"/>
  <c r="G19" i="23" s="1"/>
  <c r="H33" i="18"/>
  <c r="E8" i="18"/>
  <c r="B193" i="34" l="1"/>
  <c r="G37" i="18"/>
  <c r="H37" i="18"/>
  <c r="G17" i="23" s="1"/>
  <c r="G21" i="23" s="1"/>
  <c r="B13" i="34"/>
  <c r="B162" i="34" s="1"/>
  <c r="D191" i="34"/>
  <c r="D192" i="34" s="1"/>
  <c r="E192" i="34" s="1"/>
  <c r="F192" i="34" s="1"/>
  <c r="G192" i="34" s="1"/>
  <c r="H192" i="34" s="1"/>
  <c r="I192" i="34" s="1"/>
  <c r="J192" i="34" s="1"/>
  <c r="K192" i="34" s="1"/>
  <c r="L192" i="34" s="1"/>
  <c r="M192" i="34" s="1"/>
  <c r="N192" i="34" s="1"/>
  <c r="O192" i="34" s="1"/>
  <c r="P192" i="34" s="1"/>
  <c r="E35" i="18"/>
  <c r="E33" i="18"/>
  <c r="E37" i="18" s="1"/>
  <c r="R8" i="18"/>
  <c r="T8" i="18" s="1"/>
  <c r="V8" i="18"/>
  <c r="B165" i="34" l="1"/>
  <c r="F17" i="23"/>
  <c r="F21" i="23" s="1"/>
  <c r="F23" i="23" s="1"/>
  <c r="B164" i="34"/>
  <c r="G25" i="23"/>
  <c r="G27" i="23" s="1"/>
  <c r="G23" i="23"/>
  <c r="W8" i="18"/>
  <c r="Y8" i="18" s="1"/>
  <c r="X8" i="18"/>
  <c r="R35" i="18"/>
  <c r="T35" i="18" s="1"/>
  <c r="D19" i="23"/>
  <c r="R33" i="18"/>
  <c r="R37" i="18"/>
  <c r="D164" i="34"/>
  <c r="E164" i="34" s="1"/>
  <c r="F164" i="34" s="1"/>
  <c r="G164" i="34" s="1"/>
  <c r="H164" i="34" s="1"/>
  <c r="I164" i="34" s="1"/>
  <c r="J164" i="34" s="1"/>
  <c r="K164" i="34" s="1"/>
  <c r="L164" i="34" s="1"/>
  <c r="M164" i="34" s="1"/>
  <c r="N164" i="34" s="1"/>
  <c r="O164" i="34" s="1"/>
  <c r="P164" i="34" s="1"/>
  <c r="F25" i="23" l="1"/>
  <c r="F27" i="23" s="1"/>
  <c r="D34" i="23"/>
  <c r="R19" i="23"/>
  <c r="V19" i="23" s="1"/>
  <c r="V33" i="18"/>
  <c r="X33" i="18" s="1"/>
  <c r="Q160" i="34"/>
  <c r="Q22" i="34"/>
  <c r="Q15" i="34"/>
  <c r="Q161" i="34"/>
  <c r="Q80" i="34"/>
  <c r="Q65" i="34"/>
  <c r="Q50" i="34"/>
  <c r="Q43" i="34"/>
  <c r="Q44" i="34"/>
  <c r="Q61" i="34"/>
  <c r="Q94" i="34"/>
  <c r="Q88" i="34"/>
  <c r="Q100" i="34"/>
  <c r="Q85" i="34"/>
  <c r="Q143" i="34"/>
  <c r="Q130" i="34"/>
  <c r="Q38" i="34"/>
  <c r="Q148" i="34"/>
  <c r="Q147" i="34"/>
  <c r="Q31" i="34"/>
  <c r="Q23" i="34"/>
  <c r="Q16" i="34"/>
  <c r="Q73" i="34"/>
  <c r="Q58" i="34"/>
  <c r="Q51" i="34"/>
  <c r="Q52" i="34"/>
  <c r="Q69" i="34"/>
  <c r="Q117" i="34"/>
  <c r="Q115" i="34"/>
  <c r="Q129" i="34"/>
  <c r="Q103" i="34"/>
  <c r="Q92" i="34"/>
  <c r="Q141" i="34"/>
  <c r="Q99" i="34"/>
  <c r="Q33" i="34"/>
  <c r="Q36" i="34"/>
  <c r="Q66" i="34"/>
  <c r="Q60" i="34"/>
  <c r="Q98" i="34"/>
  <c r="Q132" i="34"/>
  <c r="Q90" i="34"/>
  <c r="Q95" i="34"/>
  <c r="Q133" i="34"/>
  <c r="Q37" i="34"/>
  <c r="Q140" i="34"/>
  <c r="Q146" i="34"/>
  <c r="Q8" i="34"/>
  <c r="Q55" i="34"/>
  <c r="Q17" i="34"/>
  <c r="Q153" i="34"/>
  <c r="Q74" i="34"/>
  <c r="Q68" i="34"/>
  <c r="Q128" i="34"/>
  <c r="Q137" i="34"/>
  <c r="Q131" i="34"/>
  <c r="Q77" i="34"/>
  <c r="Q70" i="34"/>
  <c r="Q25" i="34"/>
  <c r="Q75" i="34"/>
  <c r="Q113" i="34"/>
  <c r="Q107" i="34"/>
  <c r="Q139" i="34"/>
  <c r="Q30" i="34"/>
  <c r="Q72" i="34"/>
  <c r="Q27" i="34"/>
  <c r="Q109" i="34"/>
  <c r="Q136" i="34"/>
  <c r="Q116" i="34"/>
  <c r="Q46" i="34"/>
  <c r="Q152" i="34"/>
  <c r="Q110" i="34"/>
  <c r="Q40" i="34"/>
  <c r="Q108" i="34"/>
  <c r="Q119" i="34"/>
  <c r="Q145" i="34"/>
  <c r="Q10" i="34"/>
  <c r="Q101" i="34"/>
  <c r="Q125" i="34"/>
  <c r="Q123" i="34"/>
  <c r="Q158" i="34"/>
  <c r="Q42" i="34"/>
  <c r="Q53" i="34"/>
  <c r="Q83" i="34"/>
  <c r="Q111" i="34"/>
  <c r="Q159" i="34"/>
  <c r="Q54" i="34"/>
  <c r="Q47" i="34"/>
  <c r="Q24" i="34"/>
  <c r="Q164" i="34"/>
  <c r="Q81" i="34"/>
  <c r="Q59" i="34"/>
  <c r="Q157" i="34"/>
  <c r="Q121" i="34"/>
  <c r="Q106" i="34"/>
  <c r="Q62" i="34"/>
  <c r="Q67" i="34"/>
  <c r="Q112" i="34"/>
  <c r="Q135" i="34"/>
  <c r="Q34" i="34"/>
  <c r="Q63" i="34"/>
  <c r="Q48" i="34"/>
  <c r="Q82" i="34"/>
  <c r="Q156" i="34"/>
  <c r="Q114" i="34"/>
  <c r="Q86" i="34"/>
  <c r="Q149" i="34"/>
  <c r="Q151" i="34"/>
  <c r="Q28" i="34"/>
  <c r="Q105" i="34"/>
  <c r="Q138" i="34"/>
  <c r="Q12" i="34"/>
  <c r="Q78" i="34"/>
  <c r="Q71" i="34"/>
  <c r="Q56" i="34"/>
  <c r="Q41" i="34"/>
  <c r="Q18" i="34"/>
  <c r="Q154" i="34"/>
  <c r="Q155" i="34"/>
  <c r="Q21" i="34"/>
  <c r="Q87" i="34"/>
  <c r="Q102" i="34"/>
  <c r="Q127" i="34"/>
  <c r="Q84" i="34"/>
  <c r="Q120" i="34"/>
  <c r="Q144" i="34"/>
  <c r="Q122" i="34"/>
  <c r="Q39" i="34"/>
  <c r="Q35" i="34"/>
  <c r="Q118" i="34"/>
  <c r="Q9" i="34"/>
  <c r="Q150" i="34"/>
  <c r="Q79" i="34"/>
  <c r="Q64" i="34"/>
  <c r="Q49" i="34"/>
  <c r="Q26" i="34"/>
  <c r="Q19" i="34"/>
  <c r="Q20" i="34"/>
  <c r="Q45" i="34"/>
  <c r="Q93" i="34"/>
  <c r="Q124" i="34"/>
  <c r="Q97" i="34"/>
  <c r="Q126" i="34"/>
  <c r="Q96" i="34"/>
  <c r="Q104" i="34"/>
  <c r="Q91" i="34"/>
  <c r="Q76" i="34"/>
  <c r="Q134" i="34"/>
  <c r="Q32" i="34"/>
  <c r="Q14" i="34"/>
  <c r="Q57" i="34"/>
  <c r="Q142" i="34"/>
  <c r="Q89" i="34"/>
  <c r="Q29" i="34"/>
  <c r="Q11" i="34"/>
  <c r="Q13" i="34"/>
  <c r="T33" i="18"/>
  <c r="T37" i="18"/>
  <c r="D17" i="23"/>
  <c r="H49" i="23"/>
  <c r="D35" i="23" l="1"/>
  <c r="D33" i="23"/>
  <c r="B192" i="34"/>
  <c r="X19" i="23"/>
  <c r="E54" i="23"/>
  <c r="R17" i="23"/>
  <c r="V17" i="23" s="1"/>
  <c r="E53" i="23"/>
  <c r="D21" i="23"/>
  <c r="R21" i="23" s="1"/>
  <c r="D23" i="23" l="1"/>
  <c r="R23" i="23" s="1"/>
  <c r="D25" i="23"/>
  <c r="D29" i="23" s="1"/>
  <c r="X17" i="23"/>
  <c r="H47" i="23" l="1"/>
  <c r="V21" i="23"/>
  <c r="X21" i="23" s="1"/>
  <c r="T21" i="23"/>
  <c r="J39" i="23"/>
  <c r="H51" i="23"/>
  <c r="H48" i="23"/>
  <c r="D27" i="23"/>
  <c r="T23" i="23"/>
  <c r="V23" i="23"/>
  <c r="X23" i="23" s="1"/>
  <c r="J48" i="23" l="1"/>
  <c r="H54" i="23"/>
  <c r="D31" i="23"/>
  <c r="E29" i="23"/>
  <c r="H52" i="23"/>
  <c r="J47" i="23"/>
  <c r="E31" i="23" l="1"/>
  <c r="F29" i="23"/>
  <c r="F31" i="23" l="1"/>
  <c r="G29" i="23"/>
  <c r="H29" i="23" l="1"/>
  <c r="G31" i="23"/>
  <c r="H31" i="23" l="1"/>
  <c r="I29" i="23"/>
  <c r="J29" i="23" l="1"/>
  <c r="I31" i="23"/>
  <c r="K29" i="23" l="1"/>
  <c r="J31" i="23"/>
  <c r="K31" i="23" l="1"/>
  <c r="L29" i="23"/>
  <c r="L31" i="23" l="1"/>
  <c r="M29" i="23"/>
  <c r="N29" i="23" l="1"/>
  <c r="M31" i="23"/>
  <c r="O29" i="23" l="1"/>
  <c r="N31" i="23"/>
  <c r="P29" i="23" l="1"/>
  <c r="P31" i="23" s="1"/>
  <c r="O31" i="23"/>
  <c r="E48" i="23" l="1"/>
</calcChain>
</file>

<file path=xl/sharedStrings.xml><?xml version="1.0" encoding="utf-8"?>
<sst xmlns="http://schemas.openxmlformats.org/spreadsheetml/2006/main" count="1805" uniqueCount="502">
  <si>
    <t>NOMINA Y ADICIONALES</t>
  </si>
  <si>
    <t>NOMBRE</t>
  </si>
  <si>
    <t>CANTIDAD</t>
  </si>
  <si>
    <t>INMUEBLES Y SERVICIOS</t>
  </si>
  <si>
    <t>SERVICIOS</t>
  </si>
  <si>
    <t>VEHICULOS Y COMBUSTIBLE</t>
  </si>
  <si>
    <t>VIATICOS</t>
  </si>
  <si>
    <t>MATERIALES</t>
  </si>
  <si>
    <t>INGRESOS</t>
  </si>
  <si>
    <t>CONCEPTO</t>
  </si>
  <si>
    <t>EQUIPO DE COMPUTO</t>
  </si>
  <si>
    <t xml:space="preserve">VIATICOS </t>
  </si>
  <si>
    <t>COMUNICACIÓN Y EQUIPO DE COMPUTO</t>
  </si>
  <si>
    <t>SERVICIOS (OPERACION)</t>
  </si>
  <si>
    <t>MATERIALES (OPERACION)</t>
  </si>
  <si>
    <t>ACTIVOS (CONSTRUCCION)</t>
  </si>
  <si>
    <t>REFERENCIA EGRESO - JD EDWARDS</t>
  </si>
  <si>
    <t>MATERIALES, SERVICIOS Y EQUIPO DE OPERACIÓN</t>
  </si>
  <si>
    <t>MATERIALES, SERVICIOS Y EQUIPO DE CONSTRUCCION</t>
  </si>
  <si>
    <t>Premisas</t>
  </si>
  <si>
    <t>Periodo Pago (días)</t>
  </si>
  <si>
    <t>Gasolina Magna</t>
  </si>
  <si>
    <t>Diesel</t>
  </si>
  <si>
    <t>PUESTO</t>
  </si>
  <si>
    <t>UBICACIÓN</t>
  </si>
  <si>
    <t>GASTO POR TRABAJADOR C/IVA</t>
  </si>
  <si>
    <t>TIPO DE COMBUSTIBLE</t>
  </si>
  <si>
    <t>PRECIO X LITRO</t>
  </si>
  <si>
    <t>UNIDAD</t>
  </si>
  <si>
    <t>DESCRIPCIÓN</t>
  </si>
  <si>
    <t>INVERSIÓN</t>
  </si>
  <si>
    <t>TOTAL PROYECTO (MXN)</t>
  </si>
  <si>
    <t>OPEX</t>
  </si>
  <si>
    <t>CAPEX</t>
  </si>
  <si>
    <t>FLUJO EFECTIVO</t>
  </si>
  <si>
    <t>FLUJO ACUMULADO</t>
  </si>
  <si>
    <t>TOTAL PROYECTO (USD)</t>
  </si>
  <si>
    <t xml:space="preserve"> EGRESO TOTAL MENSUAL</t>
  </si>
  <si>
    <t>Ingresos sin IVA (USD)</t>
  </si>
  <si>
    <t>FACTORES DE SENSIBILIDAD</t>
  </si>
  <si>
    <t>Tipo de Cambio</t>
  </si>
  <si>
    <t>Total Ingresos</t>
  </si>
  <si>
    <t>Total Egresos</t>
  </si>
  <si>
    <t>EBTDA Acumulado</t>
  </si>
  <si>
    <t>EBTDA Anual</t>
  </si>
  <si>
    <t>VPN</t>
  </si>
  <si>
    <t>VPN Anual</t>
  </si>
  <si>
    <t>Tasa de VPN y VPI Anual</t>
  </si>
  <si>
    <t>VPI</t>
  </si>
  <si>
    <t>TIR</t>
  </si>
  <si>
    <t>VPN/VPI</t>
  </si>
  <si>
    <t>Punto de Equilibrio</t>
  </si>
  <si>
    <t>meses</t>
  </si>
  <si>
    <t>Años del proyecto</t>
  </si>
  <si>
    <t>Utilidades</t>
  </si>
  <si>
    <t>Telemetría</t>
  </si>
  <si>
    <t>Ingresos IVA (USD)</t>
  </si>
  <si>
    <t>Ingresos IVA (MXN)</t>
  </si>
  <si>
    <t>TOTAL MENSUAL MXN</t>
  </si>
  <si>
    <t>CAPEX TOTAL MENSUAL</t>
  </si>
  <si>
    <t xml:space="preserve"> OPEX TOTAL MENSUAL</t>
  </si>
  <si>
    <t>FLUJO EFECTIVO IVA</t>
  </si>
  <si>
    <t>FLUJO ACUMULADO IVA</t>
  </si>
  <si>
    <t>TOTAL</t>
  </si>
  <si>
    <t>Capital de trabajo</t>
  </si>
  <si>
    <t>USD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</si>
  <si>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</si>
  <si>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</si>
  <si>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</si>
  <si>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</si>
  <si>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</si>
  <si>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</si>
  <si>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</si>
  <si>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</si>
  <si>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</si>
  <si>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</si>
  <si>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</si>
  <si>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</si>
  <si>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FINANCIAMIENTO</t>
  </si>
  <si>
    <t>Meses de Préstamo</t>
  </si>
  <si>
    <t>Préstamo</t>
  </si>
  <si>
    <t>Escoba y Trapeador</t>
  </si>
  <si>
    <t>SEGURO</t>
  </si>
  <si>
    <t>TOTAL GASOLINA MES C/IVA</t>
  </si>
  <si>
    <t>Instalación</t>
  </si>
  <si>
    <t>Ingresos sin IVA (MXN)</t>
  </si>
  <si>
    <t xml:space="preserve"> OPEX TOTAL MENSUAL REAL</t>
  </si>
  <si>
    <t>Desinstalación</t>
  </si>
  <si>
    <t>Equipo sup.</t>
  </si>
  <si>
    <t>Gas lp</t>
  </si>
  <si>
    <t>(USD/L)</t>
  </si>
  <si>
    <t>Descripcion</t>
  </si>
  <si>
    <t>FACTURACION</t>
  </si>
  <si>
    <t>ACTIVOS</t>
  </si>
  <si>
    <t>ARRENDA DE INMUEBLES Y SERV</t>
  </si>
  <si>
    <t>ARTICULOS DE SEGURIDAD</t>
  </si>
  <si>
    <t>EQUIPOS Y ENSERES</t>
  </si>
  <si>
    <t>INSUMOS AGRICOLAS</t>
  </si>
  <si>
    <t>INSUMOS DE OFICINA</t>
  </si>
  <si>
    <t>MARKETING</t>
  </si>
  <si>
    <t>MATERIALES DE SALUD</t>
  </si>
  <si>
    <t>SERV TELEFONIA CELULAR Y RADIO</t>
  </si>
  <si>
    <t>SERVICIOS DE CAPACITACION</t>
  </si>
  <si>
    <t>SERVICIOS DE SALUD</t>
  </si>
  <si>
    <t>UNIFORMES</t>
  </si>
  <si>
    <t>TENENCIA</t>
  </si>
  <si>
    <t>VERIFICACIÓN</t>
  </si>
  <si>
    <t>SINIESTROS</t>
  </si>
  <si>
    <t>MANTTO (10,000 KM)</t>
  </si>
  <si>
    <t>LLANTAS</t>
  </si>
  <si>
    <t>SUBTOTAL</t>
  </si>
  <si>
    <t>RENTA</t>
  </si>
  <si>
    <t>EQUIPO DE TRANSPORTE</t>
  </si>
  <si>
    <t>EQUIPO DE MOBILIARIO</t>
  </si>
  <si>
    <t>MAQUINARIA Y EQUIPO</t>
  </si>
  <si>
    <t>OTROS ACTIVOS</t>
  </si>
  <si>
    <t>SOFTWARE Y LICICENCIAS</t>
  </si>
  <si>
    <t>GEOLIS SA DE CV</t>
  </si>
  <si>
    <t>Total Presupuestado</t>
  </si>
  <si>
    <t>ARRENDAMIENTO DE INMUEBLES</t>
  </si>
  <si>
    <t>ENERGIA ELECTRICA</t>
  </si>
  <si>
    <t>RENTA DE CASAS NO DEDUCIBLE</t>
  </si>
  <si>
    <t>SERVICIOS DE LIMPIEZA</t>
  </si>
  <si>
    <t>SERVICIOS DE VIGILANCIA</t>
  </si>
  <si>
    <t>SERVICIOS DE FUMIGACION</t>
  </si>
  <si>
    <t>TELEFONIA FIJA</t>
  </si>
  <si>
    <t>AGUA Y ALCANTARILLADO</t>
  </si>
  <si>
    <t>ARRENDAMIENTO DE OF. MOVILES</t>
  </si>
  <si>
    <t>ROPA Y ARTICULOS DE PROTECCION</t>
  </si>
  <si>
    <t>EQUIPO DE COMPUTO (Adquisición)</t>
  </si>
  <si>
    <t>ARRENDAMIENTO DE EQ. COMPUTO</t>
  </si>
  <si>
    <t>ENSERES MENORES DIVERSOS (Acondicionamiento de casas)</t>
  </si>
  <si>
    <t>PAPELERIA Y UTILES DE OFICINA</t>
  </si>
  <si>
    <t>ARTICULOS DE ASEO Y SANITARIOS</t>
  </si>
  <si>
    <t>ARTICULOS DE CAFETERIA</t>
  </si>
  <si>
    <t>ARTICULOS DIGITALES Y DE COMPUTO</t>
  </si>
  <si>
    <t>SERVICIOS DE MERCADOTECNIA</t>
  </si>
  <si>
    <t>PUBLICIDAD Y PROPAGANDA</t>
  </si>
  <si>
    <t>ABRASIVOS</t>
  </si>
  <si>
    <t>ACEITE LUBRICANTE P/MAQUINARIA</t>
  </si>
  <si>
    <t>ACEITES Y LUBRICANTES</t>
  </si>
  <si>
    <t>AISLANTES IMPERM REFRA</t>
  </si>
  <si>
    <t>BANDA CADEN TRANS COPL</t>
  </si>
  <si>
    <t>CONEXIONES PARA TUBERIA</t>
  </si>
  <si>
    <t>EMPAQUETAD JTAS Y SELLOS</t>
  </si>
  <si>
    <t>ENVASES</t>
  </si>
  <si>
    <t>FIBRAS HILOS Y TELAS</t>
  </si>
  <si>
    <t>GRASAS</t>
  </si>
  <si>
    <t>HERRAMIENTAS MANUALES</t>
  </si>
  <si>
    <t>INSTRUM DE MEDICION Y CONTROL</t>
  </si>
  <si>
    <t>LLANTAS, CAMARAS Y ACCESORIOS</t>
  </si>
  <si>
    <t xml:space="preserve">MANGUERAS, CONEXIONES </t>
  </si>
  <si>
    <t>MATERIAL ELECTRICO</t>
  </si>
  <si>
    <t>MATERIAL PARA LA CONSTRUCCION</t>
  </si>
  <si>
    <t>MATERIALES Y ART P/MANTENIMIENTO</t>
  </si>
  <si>
    <t>METALES</t>
  </si>
  <si>
    <t>PART REP ACCES Y PROD P/VEHIC</t>
  </si>
  <si>
    <t>PARTES ACCES Y MAT P/LABORATORIO</t>
  </si>
  <si>
    <t>PARTES ACCES Y REFAC P/ LUBRICANTES</t>
  </si>
  <si>
    <t>PARTES ELECT, ACCES Y REFACC</t>
  </si>
  <si>
    <t>PARTES Y REFAC TELECOM Y VIDEO</t>
  </si>
  <si>
    <t>PARTES Y REFACCION C/INCENDIO</t>
  </si>
  <si>
    <t>PASTA PEGAMENTO OTRO COMPUESTO</t>
  </si>
  <si>
    <t>PINTURA Y OTROS RECUBRIMIENTOS</t>
  </si>
  <si>
    <t>REFAC P/INSTRUM DE MED Y CONTROL</t>
  </si>
  <si>
    <t>REFACC Y ACCES PARA VALVULAS</t>
  </si>
  <si>
    <t>REFACC Y ACCESORIO PARA HERRAMIENTA</t>
  </si>
  <si>
    <t>REFACCIONES P/MAQUINARIA</t>
  </si>
  <si>
    <t>RODAM ACCES Y SELLOS P/ ACEITE</t>
  </si>
  <si>
    <t>SUSTANCIAS QUIMICAS</t>
  </si>
  <si>
    <t>TORNILLERIA Y ARTICULO</t>
  </si>
  <si>
    <t>TUBERIAS</t>
  </si>
  <si>
    <t>VALVULAS</t>
  </si>
  <si>
    <t>MATERIAL PRIMEROS AUXILIOS</t>
  </si>
  <si>
    <t>SERV TELEFONIA CELULAR</t>
  </si>
  <si>
    <t>SERVICIO DE BANDA ANCHA</t>
  </si>
  <si>
    <t>SERVICIO DE RADIOCOMUNICACION</t>
  </si>
  <si>
    <t>ACONDICION DE CASA HABITACION</t>
  </si>
  <si>
    <t>ADICION Y MODIFIC DE MATERIAL</t>
  </si>
  <si>
    <t>ADQUISICION TARJET COMBUSTIBLE</t>
  </si>
  <si>
    <t>ANALISIS CAUSA RAIZ</t>
  </si>
  <si>
    <t>ANALISIS DE RIESGO</t>
  </si>
  <si>
    <t>ANALISIS DE VIBRACION</t>
  </si>
  <si>
    <t>BASES LICITACION Y CONCURSOS</t>
  </si>
  <si>
    <t>CARGOS EXTRAORDINARIOS</t>
  </si>
  <si>
    <t>CERTIFICACION</t>
  </si>
  <si>
    <t>COLOCACION DE PILOTE</t>
  </si>
  <si>
    <t>CORREOS Y MENSAJERIAS</t>
  </si>
  <si>
    <t>CUOTAS Y SUSCRIPCIONES</t>
  </si>
  <si>
    <t>DEDUCIBLE POR SINIESTRO</t>
  </si>
  <si>
    <t>DESARROLLO DE SOFTWARE</t>
  </si>
  <si>
    <t>FIANZAS</t>
  </si>
  <si>
    <t>FLETES  EXTRANJEROS</t>
  </si>
  <si>
    <t>FLETES NACIONALES</t>
  </si>
  <si>
    <t>GASTOS DE IMPORTACION</t>
  </si>
  <si>
    <t>GTO EXPED DE SEG/TRAMITE</t>
  </si>
  <si>
    <t>HIELO Y AGUA</t>
  </si>
  <si>
    <t>HONORARIOS A PERSONA FISICA</t>
  </si>
  <si>
    <t>IMPUESTOS Y DERECHOS</t>
  </si>
  <si>
    <t>INTERNET Y DATOS</t>
  </si>
  <si>
    <t>MANIOBRAS</t>
  </si>
  <si>
    <t>MANTENIMIENTO A VEHICULOS</t>
  </si>
  <si>
    <t>MANTTO A EQUIPOS DE SEGURIDAD</t>
  </si>
  <si>
    <t>MANTTO DE MOBILIARIO Y EQUIPO</t>
  </si>
  <si>
    <t>MANTTO PREV A EQUIPOS DE MEDICION</t>
  </si>
  <si>
    <t>MANTTO Y ACONDICION DE CAMPER</t>
  </si>
  <si>
    <t>MECANICA DE SUELOS</t>
  </si>
  <si>
    <t>OTROS DERECHOS</t>
  </si>
  <si>
    <t>PACMA PEMEX EXPLORACION</t>
  </si>
  <si>
    <t>PAGO DE RECARGOS</t>
  </si>
  <si>
    <t>RECARGA DE GASES INDUSTRIALES</t>
  </si>
  <si>
    <t>RENTA DE MAQUINARIA Y EQUIPO</t>
  </si>
  <si>
    <t>RENTA DE SANITARIOS</t>
  </si>
  <si>
    <t>REPARACIONES</t>
  </si>
  <si>
    <t>SEGUROS</t>
  </si>
  <si>
    <t>SERV DE DISEÑO Y ROTULACION</t>
  </si>
  <si>
    <t>SERV DE DISPOS DE RESIDUOS</t>
  </si>
  <si>
    <t>SERV DE MANTO A INSTALACIONES</t>
  </si>
  <si>
    <t>SERV DE RECARGA DE EXTINTORES</t>
  </si>
  <si>
    <t>SERV DE TRANSMISION DE DATOS</t>
  </si>
  <si>
    <t>SERV PROFES DE PERSONA MORAL</t>
  </si>
  <si>
    <t>SERV Y MANTTO A EQ INFORMATICO</t>
  </si>
  <si>
    <t>SERVICIO DE AUTOLAVADO</t>
  </si>
  <si>
    <t>SERVICIO DE EQPO Y MAQUINARIA</t>
  </si>
  <si>
    <t>SERVICIO REPRESENTACION LEGAL</t>
  </si>
  <si>
    <t>SERVICIOS DE BANQUETERIA</t>
  </si>
  <si>
    <t>SERVICIOS DE COPIADO</t>
  </si>
  <si>
    <t>SERVICIOS DE TAXI</t>
  </si>
  <si>
    <t>SERVICIOS PREOPERATIVOS</t>
  </si>
  <si>
    <t>SERVICIOS RADIOGRAFICOS</t>
  </si>
  <si>
    <t>TOPOGRAFIA</t>
  </si>
  <si>
    <t>VERIFICACIONES</t>
  </si>
  <si>
    <t>ASESORIA ESPECIAL INTERNA</t>
  </si>
  <si>
    <t>ASESORIA ESPECIAL OPERATIVA</t>
  </si>
  <si>
    <t>ASESORIA ESPECIAL SINDICAL</t>
  </si>
  <si>
    <t>ASESORIA ESPECIAL VIAL</t>
  </si>
  <si>
    <t>INTERESES</t>
  </si>
  <si>
    <t>PAGO DE MULTAS</t>
  </si>
  <si>
    <t>SERVICIOS MEDICOS</t>
  </si>
  <si>
    <t>ARRENDAMIENTO DE VEHIC</t>
  </si>
  <si>
    <t>COMBUSTIBLES</t>
  </si>
  <si>
    <t>ALIMENTACION</t>
  </si>
  <si>
    <t>CASETAS PUENTES Y PEAJES</t>
  </si>
  <si>
    <t>SERV DE TRANSPORTAC AEREA</t>
  </si>
  <si>
    <t>SERV DE TRANSPORTAC TERRESTRE</t>
  </si>
  <si>
    <t>SERVICIOS DE HOSPEDAJE</t>
  </si>
  <si>
    <t>ACUMULADO</t>
  </si>
  <si>
    <t>Bolsas de basura</t>
  </si>
  <si>
    <t>Bote de basura</t>
  </si>
  <si>
    <t>Kit de limpieza de baño</t>
  </si>
  <si>
    <t>Cubeta</t>
  </si>
  <si>
    <t xml:space="preserve">CAJA CHICA </t>
  </si>
  <si>
    <t>REEMBOLSOS</t>
  </si>
  <si>
    <t>TOTAL MENSUAL USD</t>
  </si>
  <si>
    <t>Paridad</t>
  </si>
  <si>
    <t xml:space="preserve">Mes </t>
  </si>
  <si>
    <t>PU [USD]</t>
  </si>
  <si>
    <t>PU [MN]</t>
  </si>
  <si>
    <t>PARTIDA</t>
  </si>
  <si>
    <t>[USD]</t>
  </si>
  <si>
    <t>[MN]</t>
  </si>
  <si>
    <t>Total [USD]</t>
  </si>
  <si>
    <t>Total Mensual [MN]</t>
  </si>
  <si>
    <t>Total Mensual [USD]</t>
  </si>
  <si>
    <t xml:space="preserve">CANTIDAD </t>
  </si>
  <si>
    <t>TOTAL  C/IVA</t>
  </si>
  <si>
    <t>DESCRIPCIÓN 1</t>
  </si>
  <si>
    <t>DESCRIPCIÓN 2</t>
  </si>
  <si>
    <t>AGUINALDO</t>
  </si>
  <si>
    <t>FONDO DE AHORRO</t>
  </si>
  <si>
    <t>VACACIONES</t>
  </si>
  <si>
    <t>UTILIDADES</t>
  </si>
  <si>
    <t>-</t>
  </si>
  <si>
    <t>SALARIO</t>
  </si>
  <si>
    <t>COSTO REAL C/IMP.</t>
  </si>
  <si>
    <t>ACTIVOS (OPERACION) (Computadoras)</t>
  </si>
  <si>
    <t>TELEFONIA Y COMUNICACIÓN</t>
  </si>
  <si>
    <t>TOTAL [MN]</t>
  </si>
  <si>
    <t>ABRASIVOS (THINER/DESENGRASANTE/W40)</t>
  </si>
  <si>
    <t>ACEITE LUBRICANTE P/MAQUINARIA (100+120)</t>
  </si>
  <si>
    <t>PARTES Y REFAC TELECOM Y VIDEO (TELEMETRÍA)</t>
  </si>
  <si>
    <t>SERV DE MANTO A INSTALACIONES (INSTALACIÓN</t>
  </si>
  <si>
    <t>GPS</t>
  </si>
  <si>
    <t>PARTIDAS</t>
  </si>
  <si>
    <t>Total  [MN]</t>
  </si>
  <si>
    <t>RESUMEN</t>
  </si>
  <si>
    <t>ISR</t>
  </si>
  <si>
    <t>Botiquin Camper</t>
  </si>
  <si>
    <t>Medicamento botiquin Camper</t>
  </si>
  <si>
    <t>Botiquin Unidad Vehicular</t>
  </si>
  <si>
    <t>Medicamento botiquin Unidad Vehicular</t>
  </si>
  <si>
    <t>Gel antibacterial</t>
  </si>
  <si>
    <t>Servicio de sanitización</t>
  </si>
  <si>
    <t>Cubrebocas</t>
  </si>
  <si>
    <t>IMPUESTOS</t>
  </si>
  <si>
    <t>Servicios médicos anuales</t>
  </si>
  <si>
    <t>Analisis médicos de contratación</t>
  </si>
  <si>
    <t xml:space="preserve">Servicios médicos </t>
  </si>
  <si>
    <t xml:space="preserve">UNIFORMES								</t>
  </si>
  <si>
    <t>TOTAL GASOLINA MES S/IVA MN</t>
  </si>
  <si>
    <t xml:space="preserve">MATERIALES (OPERACION)	</t>
  </si>
  <si>
    <t xml:space="preserve">SERVICIOS (CONSTRUCCION)	</t>
  </si>
  <si>
    <t xml:space="preserve">SERVICIOS (OPERACION)	</t>
  </si>
  <si>
    <t>NÓMINA</t>
  </si>
  <si>
    <t>EPP</t>
  </si>
  <si>
    <t>LITROS / SEMANA</t>
  </si>
  <si>
    <t>SUPERVISOR</t>
  </si>
  <si>
    <t>Camper operativo</t>
  </si>
  <si>
    <t>Botiquin Oficvina</t>
  </si>
  <si>
    <t>Servicio</t>
  </si>
  <si>
    <t>Variador de frecuencia para 300 KW/375 KVA.</t>
  </si>
  <si>
    <t>Día</t>
  </si>
  <si>
    <t>Generador de energía a gas de 300 KW/375 KVA a disposición.</t>
  </si>
  <si>
    <t>Unidad vehicular</t>
  </si>
  <si>
    <t>Material de Seguridad</t>
  </si>
  <si>
    <t>Herramienta Manual</t>
  </si>
  <si>
    <t>Supervisor</t>
  </si>
  <si>
    <t>Auxiliar Administrativo</t>
  </si>
  <si>
    <t>Seguridad</t>
  </si>
  <si>
    <t>Casa staff</t>
  </si>
  <si>
    <t>Operación</t>
  </si>
  <si>
    <t>Desengrasante</t>
  </si>
  <si>
    <t>Trapo industrial</t>
  </si>
  <si>
    <t>Cloro</t>
  </si>
  <si>
    <t>Jabon</t>
  </si>
  <si>
    <t>Sanitarios + Fosa + Recolección</t>
  </si>
  <si>
    <t>Telemetría por tercero</t>
  </si>
  <si>
    <t>Sindicato</t>
  </si>
  <si>
    <t>Sindicato Instalación</t>
  </si>
  <si>
    <t>Asesoria fin de año</t>
  </si>
  <si>
    <t>Medicamento botiquin oficina</t>
  </si>
  <si>
    <t xml:space="preserve">                                                                                                                                                                                                                              </t>
  </si>
  <si>
    <t>Fabuloso o Pino</t>
  </si>
  <si>
    <t>Rotulación</t>
  </si>
  <si>
    <t>Meses</t>
  </si>
  <si>
    <t xml:space="preserve">IMPORTE </t>
  </si>
  <si>
    <t>Ingresos Totales (MN)</t>
  </si>
  <si>
    <t>TOTAL PROYECTO (MN)</t>
  </si>
  <si>
    <t>TOTAL PROYECTO  IVA (MN)</t>
  </si>
  <si>
    <t>Ingresos Totales (MN) IVA</t>
  </si>
  <si>
    <t>MAT, SERV &amp; EQUIPO</t>
  </si>
  <si>
    <t xml:space="preserve">SERVICIOS </t>
  </si>
  <si>
    <t>SERVICIOS AGRICOLAS Y ENSERES MENORES</t>
  </si>
  <si>
    <t>Egresos Totales (MN) IVA</t>
  </si>
  <si>
    <t>Egresos Totales (MN)</t>
  </si>
  <si>
    <t>Ingresos (MN)</t>
  </si>
  <si>
    <t>TOTAL PROYECTO IVA (USD)</t>
  </si>
  <si>
    <t>Frontera - Geolis - Sitio</t>
  </si>
  <si>
    <t>Transito</t>
  </si>
  <si>
    <t>Total</t>
  </si>
  <si>
    <t>Mes 13</t>
  </si>
  <si>
    <t>Mes 14</t>
  </si>
  <si>
    <t>Mes 0</t>
  </si>
  <si>
    <t>BEH</t>
  </si>
  <si>
    <t>IMPORTE SERVICIO Y DIA</t>
  </si>
  <si>
    <t>IMPORTE TOTAL</t>
  </si>
  <si>
    <t>IMPORTE  TOTAL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</si>
  <si>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</si>
  <si>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</si>
  <si>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</si>
  <si>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</si>
  <si>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</si>
  <si>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</si>
  <si>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</si>
  <si>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</si>
  <si>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</si>
  <si>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</si>
  <si>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Marzo</t>
  </si>
  <si>
    <t>Abril</t>
  </si>
  <si>
    <t>Internet</t>
  </si>
  <si>
    <t xml:space="preserve">INVERSIÓN </t>
  </si>
  <si>
    <t>NÓMINA + EPP + UNIFORMES</t>
  </si>
  <si>
    <t>INMUEBLES</t>
  </si>
  <si>
    <t>COM Y EQ COM</t>
  </si>
  <si>
    <t>VEHÍCULOS Y COMB</t>
  </si>
  <si>
    <t>VIATICOS CAJA CHICA Y REEMBOLSO</t>
  </si>
  <si>
    <t>MAT,SERV &amp; EQUIPO</t>
  </si>
  <si>
    <t>ENSERES MENORES DIVERSOS, INSUMOS AGRICOLAS</t>
  </si>
  <si>
    <t>EQUIPO DE COMPUTO (Adquisición) ARRENDAMIENTO DE EQ. COMPUTO</t>
  </si>
  <si>
    <t>EQUIPO DE COMPUTO Y ARRENDAMIENTO DE EQ. COMPUTO</t>
  </si>
  <si>
    <t>Nómina</t>
  </si>
  <si>
    <t>INGRESOS 2022 MXN</t>
  </si>
  <si>
    <t>Egresos (MX)</t>
  </si>
  <si>
    <t>%</t>
  </si>
  <si>
    <t>OPEX mensual (MMMN)</t>
  </si>
  <si>
    <t>CAPEX total  (MMMN)</t>
  </si>
  <si>
    <t>RESULTADOS (MMMN)</t>
  </si>
  <si>
    <t>Linea de 12 a 4</t>
  </si>
  <si>
    <t>Linea de 16 a 6</t>
  </si>
  <si>
    <t>INGRESOS 2022 USD</t>
  </si>
  <si>
    <t>Patín con bomba electrocentrífuga horizontal con gasto de 10,000-20,000  BPD incluye la operación continua.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</si>
  <si>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</si>
  <si>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</si>
  <si>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</si>
  <si>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</si>
  <si>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</si>
  <si>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</si>
  <si>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</si>
  <si>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</si>
  <si>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</si>
  <si>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ENE</t>
  </si>
  <si>
    <t>FEB</t>
  </si>
  <si>
    <t>MAR</t>
  </si>
  <si>
    <t>Generador de energía a gas de 300 KW/375 KVA</t>
  </si>
  <si>
    <t>Comisionamiento Gen</t>
  </si>
  <si>
    <t>OPEX Promedio</t>
  </si>
  <si>
    <t>Opex Total</t>
  </si>
  <si>
    <t>TOTAL [USD]</t>
  </si>
  <si>
    <t>Costo día Gen Op. + Resp.</t>
  </si>
  <si>
    <t>Costo día 2 Gen Op.</t>
  </si>
  <si>
    <t xml:space="preserve">https://www.google.com/search?client=firefox-b-d&amp;q=precio+del+dolar+hoy </t>
  </si>
  <si>
    <t>MAQUINARIA Y EQUIPO 1</t>
  </si>
  <si>
    <t>MAQUINARIA Y EQUIPO 2</t>
  </si>
  <si>
    <t>MAQUINARIA Y EQUIPO 3</t>
  </si>
  <si>
    <t>MAQUINARIA Y EQUIPO 4</t>
  </si>
  <si>
    <t>MAQUINARIA Y EQUIPO 5</t>
  </si>
  <si>
    <t>MAQUINARIA Y EQUIPO 6</t>
  </si>
  <si>
    <t>MAQUINARIA Y EQUIPO 7</t>
  </si>
  <si>
    <t>M 1</t>
  </si>
  <si>
    <t>M 2</t>
  </si>
  <si>
    <t>M 3</t>
  </si>
  <si>
    <t>M 4</t>
  </si>
  <si>
    <t>M 5</t>
  </si>
  <si>
    <t>M 6</t>
  </si>
  <si>
    <t>M 7</t>
  </si>
  <si>
    <t>M 8</t>
  </si>
  <si>
    <t>M 9</t>
  </si>
  <si>
    <t>M 10</t>
  </si>
  <si>
    <t>M 11</t>
  </si>
  <si>
    <t>M 12</t>
  </si>
  <si>
    <t>IMPORTE</t>
  </si>
  <si>
    <t>Aguinaldo</t>
  </si>
  <si>
    <t>Telemetría (Trans.)</t>
  </si>
  <si>
    <t>Acesoria JE</t>
  </si>
  <si>
    <t>Comisionamiento HPS</t>
  </si>
  <si>
    <t>Servicio de diseño, interconexión eléctrica, pruebas y puesta en operación de equipos de bombeo electrocentrífugo horizontal de 10,000-20,000 BPD.</t>
  </si>
  <si>
    <t xml:space="preserve">ENE </t>
  </si>
  <si>
    <t xml:space="preserve">FEB </t>
  </si>
  <si>
    <t xml:space="preserve">MAR </t>
  </si>
  <si>
    <t xml:space="preserve">ABR </t>
  </si>
  <si>
    <t>SERVICIOS DE FOSAS Y AGUA POTABLE</t>
  </si>
  <si>
    <t>REPRESENTANTE TA</t>
  </si>
  <si>
    <t xml:space="preserve">Recolección de trapos </t>
  </si>
  <si>
    <t>Patín con bomba electrocentrífuga horizontal con gasto de 20,000-30,000  BPD incluye la operación continua.</t>
  </si>
  <si>
    <t xml:space="preserve">Triol </t>
  </si>
  <si>
    <t xml:space="preserve">Alkhoreyf </t>
  </si>
  <si>
    <t xml:space="preserve">Manometros </t>
  </si>
  <si>
    <t xml:space="preserve">VAN PARA OP </t>
  </si>
  <si>
    <t xml:space="preserve"> </t>
  </si>
  <si>
    <t>EGRESOS 2024</t>
  </si>
  <si>
    <t>DESPENSA</t>
  </si>
  <si>
    <t>VIVIENDA</t>
  </si>
  <si>
    <t>Optimizar casas staff</t>
  </si>
  <si>
    <t>MAQUINARIA Y EQUIPO 11</t>
  </si>
  <si>
    <t xml:space="preserve">Conexiones tubing </t>
  </si>
  <si>
    <t>Hoss</t>
  </si>
  <si>
    <t>RICCSSA</t>
  </si>
  <si>
    <t>Gasolina soldadores</t>
  </si>
  <si>
    <t>Fletes nacionales</t>
  </si>
  <si>
    <t>Importación Hoss</t>
  </si>
  <si>
    <t>Maniobras de posicionamiento</t>
  </si>
  <si>
    <t xml:space="preserve">Instalación </t>
  </si>
  <si>
    <t xml:space="preserve">Camionetas </t>
  </si>
  <si>
    <t>GEOLIS</t>
  </si>
  <si>
    <t>Obra mecanica</t>
  </si>
  <si>
    <t>CABO</t>
  </si>
  <si>
    <t>SOLDADOR</t>
  </si>
  <si>
    <t>TUBERO</t>
  </si>
  <si>
    <t xml:space="preserve">Conceptos extraordinarios </t>
  </si>
  <si>
    <t>No.</t>
  </si>
  <si>
    <t>DISCIPLINA</t>
  </si>
  <si>
    <t>OBRA CIVIL</t>
  </si>
  <si>
    <t>MONTO [USD]</t>
  </si>
  <si>
    <t xml:space="preserve">TOTAL </t>
  </si>
  <si>
    <t>Pintura</t>
  </si>
  <si>
    <t>ARP</t>
  </si>
  <si>
    <t xml:space="preserve">Impuestos GEN </t>
  </si>
  <si>
    <t>RESUMEN ORDINARIAS</t>
  </si>
  <si>
    <t xml:space="preserve">Geolis </t>
  </si>
  <si>
    <t>Gasolina 41</t>
  </si>
  <si>
    <t>Gasolina 42</t>
  </si>
  <si>
    <t xml:space="preserve">Oxicorte </t>
  </si>
  <si>
    <t>Maquinas de soldar y soldadores</t>
  </si>
  <si>
    <t>Corte de tuberia</t>
  </si>
  <si>
    <t xml:space="preserve">Herramienta </t>
  </si>
  <si>
    <t>Proyecto: Cambio de servicio Perdiz - Papan</t>
  </si>
  <si>
    <t>Servicios</t>
  </si>
  <si>
    <t xml:space="preserve">Servicio de obra </t>
  </si>
  <si>
    <t>OBRA ELÉCTRICA</t>
  </si>
  <si>
    <t>OBRA MECÁNICA</t>
  </si>
  <si>
    <t>INTERCONEXIÓN DE TBBA-04 (SUCCIÓN, DESCARGA, DRENAJE Y GAS COMBUSTIBLE)</t>
  </si>
  <si>
    <t>INGENIERIA</t>
  </si>
  <si>
    <t>Obra electrica</t>
  </si>
  <si>
    <t>SUPERVISOR DE OBRA</t>
  </si>
  <si>
    <t>PAILERO</t>
  </si>
  <si>
    <t>CADISTA</t>
  </si>
  <si>
    <t>ESPECIALISTA DE CALIDAD</t>
  </si>
  <si>
    <t>AUXILIAR DE CALIDAD</t>
  </si>
  <si>
    <t>AUXILIAR ADMINISTRATIO</t>
  </si>
  <si>
    <t>Electricos</t>
  </si>
  <si>
    <t>Generador</t>
  </si>
  <si>
    <t>Refaccionamiento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</si>
</sst>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6" formatCode="&quot;$&quot;#,##0;[Red]\-&quot;$&quot;#,##0"/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[$$-80A]#,##0.00"/>
    <numFmt numFmtId="165" formatCode="_-* #,##0.00_ _€_-;\-* #,##0.00_ _€_-;_-* &quot;-&quot;??_ _€_-;_-@_-"/>
    <numFmt numFmtId="166" formatCode="_(* #,##0.00_);_(* \(#,##0.00\);_(* &quot;-&quot;??_);_(@_)"/>
    <numFmt numFmtId="167" formatCode="_(&quot;$&quot;* #,##0.00_);_(&quot;$&quot;* \(#,##0.00\);_(&quot;$&quot;* &quot;-&quot;??_);_(@_)"/>
    <numFmt numFmtId="168" formatCode="_ * #,##0.00_ ;_ * \-#,##0.00_ ;_ * &quot;-&quot;??_ ;_ @_ "/>
    <numFmt numFmtId="169" formatCode="_-[$$-80A]* #,##0.00_-;\-[$$-80A]* #,##0.00_-;_-[$$-80A]* &quot;-&quot;??_-;_-@_-"/>
    <numFmt numFmtId="170" formatCode="_-&quot;$&quot;* #,##0_-;\-&quot;$&quot;* #,##0_-;_-&quot;$&quot;* &quot;-&quot;??_-;_-@_-"/>
    <numFmt numFmtId="171" formatCode="_-&quot;$&quot;* #,##0.000_-;\-&quot;$&quot;* #,##0.000_-;_-&quot;$&quot;* &quot;-&quot;??_-;_-@_-"/>
    <numFmt numFmtId="172" formatCode="0.0%"/>
    <numFmt numFmtId="173" formatCode="0.0"/>
    <numFmt numFmtId="174" formatCode="0.000"/>
  </numFmts>
  <fonts count="65" x14ac:knownFonts="1">
    <font>
      <sz val="11"/>
      <color theme="1"/>
      <name val="Corbe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Verdana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8"/>
      <name val="Calibri"/>
      <family val="2"/>
      <scheme val="minor"/>
    </font>
    <font>
      <sz val="12"/>
      <color theme="1"/>
      <name val="Corbel"/>
      <family val="2"/>
    </font>
    <font>
      <b/>
      <sz val="12"/>
      <color theme="1"/>
      <name val="Corbel"/>
      <family val="2"/>
    </font>
    <font>
      <sz val="11"/>
      <color theme="1"/>
      <name val="Corbel"/>
      <family val="2"/>
    </font>
    <font>
      <b/>
      <sz val="14"/>
      <name val="Corbel"/>
      <family val="2"/>
    </font>
    <font>
      <b/>
      <sz val="14"/>
      <color theme="0"/>
      <name val="Corbel"/>
      <family val="2"/>
    </font>
    <font>
      <sz val="12"/>
      <color indexed="8"/>
      <name val="Corbel"/>
      <family val="2"/>
    </font>
    <font>
      <b/>
      <sz val="14"/>
      <color theme="1"/>
      <name val="Corbel"/>
      <family val="2"/>
    </font>
    <font>
      <sz val="12"/>
      <color rgb="FFFF0000"/>
      <name val="Corbel"/>
      <family val="2"/>
    </font>
    <font>
      <b/>
      <sz val="12"/>
      <name val="Corbel"/>
      <family val="2"/>
    </font>
    <font>
      <sz val="18"/>
      <color theme="1"/>
      <name val="Corbel"/>
      <family val="2"/>
    </font>
    <font>
      <b/>
      <sz val="11"/>
      <color theme="1"/>
      <name val="Corbel"/>
      <family val="2"/>
    </font>
    <font>
      <b/>
      <sz val="14"/>
      <color theme="3"/>
      <name val="Corbel"/>
      <family val="2"/>
    </font>
    <font>
      <b/>
      <sz val="12"/>
      <color theme="3"/>
      <name val="Corbel"/>
      <family val="2"/>
    </font>
    <font>
      <b/>
      <sz val="12"/>
      <color theme="0" tint="-0.249977111117893"/>
      <name val="Corbel"/>
      <family val="2"/>
    </font>
    <font>
      <b/>
      <sz val="20"/>
      <color theme="3"/>
      <name val="Corbel"/>
      <family val="2"/>
    </font>
    <font>
      <b/>
      <sz val="12"/>
      <color theme="0"/>
      <name val="Corbel"/>
      <family val="2"/>
    </font>
    <font>
      <b/>
      <sz val="12"/>
      <color rgb="FF000000"/>
      <name val="Corbel"/>
      <family val="2"/>
    </font>
    <font>
      <sz val="12"/>
      <color theme="3"/>
      <name val="Corbel"/>
      <family val="2"/>
    </font>
    <font>
      <sz val="12"/>
      <name val="Corbel"/>
      <family val="2"/>
    </font>
    <font>
      <b/>
      <i/>
      <sz val="12"/>
      <name val="Corbel"/>
      <family val="2"/>
    </font>
    <font>
      <sz val="14"/>
      <color theme="1"/>
      <name val="Corbel"/>
      <family val="2"/>
    </font>
    <font>
      <b/>
      <i/>
      <sz val="14"/>
      <color theme="1"/>
      <name val="Corbel"/>
      <family val="2"/>
    </font>
    <font>
      <b/>
      <sz val="14"/>
      <color theme="0" tint="-0.34998626667073579"/>
      <name val="Corbel"/>
      <family val="2"/>
    </font>
    <font>
      <sz val="14"/>
      <color theme="4" tint="0.39997558519241921"/>
      <name val="Corbel"/>
      <family val="2"/>
    </font>
    <font>
      <sz val="12"/>
      <color rgb="FF000000"/>
      <name val="Corbel"/>
      <family val="2"/>
    </font>
    <font>
      <i/>
      <sz val="12"/>
      <name val="Corbel"/>
      <family val="2"/>
    </font>
    <font>
      <b/>
      <sz val="16"/>
      <name val="Corbel"/>
      <family val="2"/>
    </font>
    <font>
      <b/>
      <sz val="22"/>
      <color theme="3"/>
      <name val="Corbel"/>
      <family val="2"/>
    </font>
    <font>
      <b/>
      <sz val="20"/>
      <color theme="0"/>
      <name val="Corbel"/>
      <family val="2"/>
    </font>
    <font>
      <sz val="8"/>
      <name val="Corbel"/>
      <family val="2"/>
    </font>
    <font>
      <b/>
      <i/>
      <sz val="14"/>
      <color theme="1" tint="0.499984740745262"/>
      <name val="Corbel"/>
      <family val="2"/>
    </font>
    <font>
      <b/>
      <i/>
      <sz val="11"/>
      <color theme="1" tint="0.499984740745262"/>
      <name val="Corbel"/>
      <family val="2"/>
    </font>
    <font>
      <b/>
      <sz val="22"/>
      <color theme="0"/>
      <name val="Corbel"/>
      <family val="2"/>
    </font>
    <font>
      <b/>
      <i/>
      <sz val="12"/>
      <color theme="1"/>
      <name val="Corbel"/>
      <family val="2"/>
    </font>
    <font>
      <b/>
      <sz val="12"/>
      <color indexed="9"/>
      <name val="Corbel"/>
      <family val="2"/>
    </font>
    <font>
      <b/>
      <sz val="12"/>
      <color theme="1"/>
      <name val="Corbel"/>
      <family val="2"/>
    </font>
    <font>
      <b/>
      <sz val="12"/>
      <color rgb="FF000000"/>
      <name val="Corbel"/>
      <family val="2"/>
    </font>
    <font>
      <u/>
      <sz val="11"/>
      <color theme="10"/>
      <name val="Corbel"/>
      <family val="2"/>
    </font>
    <font>
      <sz val="12"/>
      <color theme="1"/>
      <name val="Corbel"/>
      <family val="2"/>
    </font>
    <font>
      <b/>
      <sz val="12"/>
      <color theme="0"/>
      <name val="Corbel"/>
      <family val="2"/>
    </font>
    <font>
      <b/>
      <sz val="12"/>
      <color theme="3"/>
      <name val="Corbel"/>
      <family val="2"/>
    </font>
    <font>
      <b/>
      <sz val="12"/>
      <name val="Corbel"/>
      <family val="2"/>
    </font>
    <font>
      <b/>
      <u/>
      <sz val="12"/>
      <color theme="10"/>
      <name val="Corbel"/>
      <family val="2"/>
    </font>
    <font>
      <sz val="12"/>
      <color indexed="8"/>
      <name val="Corbel"/>
      <family val="2"/>
    </font>
    <font>
      <sz val="12"/>
      <color rgb="FF00B050"/>
      <name val="Corbel"/>
      <family val="2"/>
    </font>
    <font>
      <b/>
      <sz val="12"/>
      <color rgb="FF00B050"/>
      <name val="Corbel"/>
      <family val="2"/>
    </font>
    <font>
      <sz val="12"/>
      <color rgb="FFFF0000"/>
      <name val="Corbel"/>
      <family val="2"/>
    </font>
    <font>
      <b/>
      <sz val="12"/>
      <color rgb="FFFF0000"/>
      <name val="Corbel"/>
      <family val="2"/>
    </font>
    <font>
      <b/>
      <sz val="12"/>
      <color indexed="8"/>
      <name val="Corbel"/>
      <family val="2"/>
    </font>
    <font>
      <b/>
      <sz val="14"/>
      <color rgb="FF00B050"/>
      <name val="Corbel"/>
      <family val="2"/>
    </font>
    <font>
      <b/>
      <sz val="12"/>
      <color theme="9" tint="-0.249977111117893"/>
      <name val="Corbel"/>
      <family val="2"/>
    </font>
    <font>
      <sz val="8"/>
      <color theme="1"/>
      <name val="Corbel"/>
      <family val="2"/>
    </font>
    <font>
      <b/>
      <sz val="12"/>
      <color theme="0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5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3"/>
      </patternFill>
    </fill>
    <fill>
      <patternFill patternType="solid">
        <fgColor indexed="2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DB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D78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B92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A8FFB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A6A6A6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DBAC00"/>
        <bgColor indexed="64"/>
      </patternFill>
    </fill>
    <fill>
      <patternFill patternType="solid">
        <fgColor rgb="FFD8B300"/>
        <bgColor indexed="64"/>
      </patternFill>
    </fill>
    <fill>
      <patternFill patternType="solid">
        <fgColor theme="2" tint="-0.749992370372631"/>
        <bgColor indexed="64"/>
      </patternFill>
    </fill>
  </fills>
  <borders count="5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hair">
        <color theme="1" tint="0.34998626667073579"/>
      </left>
      <right style="hair">
        <color theme="1" tint="0.34998626667073579"/>
      </right>
      <top style="hair">
        <color theme="1" tint="0.34998626667073579"/>
      </top>
      <bottom style="hair">
        <color theme="1" tint="0.34998626667073579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theme="1" tint="0.34998626667073579"/>
      </left>
      <right style="hair">
        <color theme="1" tint="0.34998626667073579"/>
      </right>
      <top/>
      <bottom style="hair">
        <color theme="1" tint="0.34998626667073579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hair">
        <color theme="1" tint="0.34998626667073579"/>
      </right>
      <top style="hair">
        <color theme="1" tint="0.34998626667073579"/>
      </top>
      <bottom style="hair">
        <color theme="1" tint="0.34998626667073579"/>
      </bottom>
      <diagonal/>
    </border>
    <border>
      <left style="hair">
        <color theme="1" tint="0.34998626667073579"/>
      </left>
      <right style="hair">
        <color theme="1" tint="0.34998626667073579"/>
      </right>
      <top/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  <border>
      <left/>
      <right style="hair">
        <color theme="1" tint="0.34998626667073579"/>
      </right>
      <top/>
      <bottom/>
      <diagonal/>
    </border>
    <border>
      <left/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medium">
        <color theme="1" tint="0.499984740745262"/>
      </left>
      <right/>
      <top style="medium">
        <color theme="1" tint="0.499984740745262"/>
      </top>
      <bottom style="medium">
        <color theme="1" tint="0.499984740745262"/>
      </bottom>
      <diagonal/>
    </border>
    <border>
      <left/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hair">
        <color theme="1" tint="0.34998626667073579"/>
      </left>
      <right style="hair">
        <color theme="1" tint="0.34998626667073579"/>
      </right>
      <top style="hair">
        <color theme="1" tint="0.34998626667073579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dotted">
        <color indexed="64"/>
      </left>
      <right style="dotted">
        <color indexed="64"/>
      </right>
      <top/>
      <bottom style="dotted">
        <color rgb="FF000000"/>
      </bottom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/>
      <right style="medium">
        <color theme="1" tint="0.499984740745262"/>
      </right>
      <top style="medium">
        <color theme="1" tint="0.499984740745262"/>
      </top>
      <bottom/>
      <diagonal/>
    </border>
    <border>
      <left style="medium">
        <color theme="1" tint="0.499984740745262"/>
      </left>
      <right/>
      <top/>
      <bottom/>
      <diagonal/>
    </border>
    <border>
      <left/>
      <right style="medium">
        <color theme="1" tint="0.499984740745262"/>
      </right>
      <top/>
      <bottom/>
      <diagonal/>
    </border>
    <border>
      <left style="medium">
        <color theme="1" tint="0.499984740745262"/>
      </left>
      <right/>
      <top/>
      <bottom style="medium">
        <color theme="1" tint="0.499984740745262"/>
      </bottom>
      <diagonal/>
    </border>
    <border>
      <left/>
      <right style="medium">
        <color theme="1" tint="0.499984740745262"/>
      </right>
      <top/>
      <bottom style="medium">
        <color theme="1" tint="0.49998474074526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98">
    <xf numFmtId="0" fontId="0" fillId="0" borderId="0"/>
    <xf numFmtId="44" fontId="1" fillId="0" borderId="0" applyFont="0" applyFill="0" applyBorder="0" applyAlignment="0" applyProtection="0"/>
    <xf numFmtId="0" fontId="2" fillId="0" borderId="0"/>
    <xf numFmtId="0" fontId="2" fillId="0" borderId="0" applyFont="0" applyFill="0" applyBorder="0" applyAlignment="0" applyProtection="0"/>
    <xf numFmtId="164" fontId="2" fillId="0" borderId="0"/>
    <xf numFmtId="0" fontId="2" fillId="0" borderId="0"/>
    <xf numFmtId="165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8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164" fontId="2" fillId="0" borderId="0"/>
    <xf numFmtId="0" fontId="2" fillId="0" borderId="0"/>
    <xf numFmtId="164" fontId="1" fillId="0" borderId="0"/>
    <xf numFmtId="0" fontId="1" fillId="0" borderId="0"/>
    <xf numFmtId="0" fontId="1" fillId="0" borderId="0"/>
    <xf numFmtId="164" fontId="2" fillId="0" borderId="0"/>
    <xf numFmtId="0" fontId="2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3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44" fontId="2" fillId="0" borderId="0" quotePrefix="1">
      <protection locked="0"/>
    </xf>
    <xf numFmtId="44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44" fontId="6" fillId="0" borderId="0" applyFont="0" applyFill="0" applyBorder="0" applyAlignment="0" applyProtection="0">
      <alignment vertical="top"/>
    </xf>
    <xf numFmtId="44" fontId="2" fillId="0" borderId="0" applyFont="0" applyFill="0" applyBorder="0" applyAlignment="0" applyProtection="0"/>
    <xf numFmtId="44" fontId="6" fillId="0" borderId="0" applyFont="0" applyFill="0" applyBorder="0" applyAlignment="0" applyProtection="0">
      <alignment vertical="top"/>
    </xf>
    <xf numFmtId="44" fontId="6" fillId="0" borderId="0" applyFont="0" applyFill="0" applyBorder="0" applyAlignment="0" applyProtection="0">
      <alignment vertical="top"/>
    </xf>
    <xf numFmtId="44" fontId="6" fillId="0" borderId="0" applyFont="0" applyFill="0" applyBorder="0" applyAlignment="0" applyProtection="0">
      <alignment vertical="top"/>
    </xf>
    <xf numFmtId="44" fontId="6" fillId="0" borderId="0" applyFont="0" applyFill="0" applyBorder="0" applyAlignment="0" applyProtection="0">
      <alignment vertical="top"/>
    </xf>
    <xf numFmtId="44" fontId="6" fillId="0" borderId="0" applyFont="0" applyFill="0" applyBorder="0" applyAlignment="0" applyProtection="0">
      <alignment vertical="top"/>
    </xf>
    <xf numFmtId="44" fontId="6" fillId="0" borderId="0" applyFont="0" applyFill="0" applyBorder="0" applyAlignment="0" applyProtection="0">
      <alignment vertical="top"/>
    </xf>
    <xf numFmtId="44" fontId="6" fillId="0" borderId="0" applyFont="0" applyFill="0" applyBorder="0" applyAlignment="0" applyProtection="0">
      <alignment vertical="top"/>
    </xf>
    <xf numFmtId="0" fontId="7" fillId="0" borderId="0"/>
    <xf numFmtId="0" fontId="1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7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2" fillId="0" borderId="0"/>
    <xf numFmtId="0" fontId="1" fillId="0" borderId="0"/>
    <xf numFmtId="0" fontId="1" fillId="0" borderId="0"/>
    <xf numFmtId="164" fontId="2" fillId="0" borderId="0"/>
    <xf numFmtId="0" fontId="2" fillId="0" borderId="0"/>
    <xf numFmtId="164" fontId="1" fillId="0" borderId="0"/>
    <xf numFmtId="164" fontId="2" fillId="0" borderId="0"/>
    <xf numFmtId="0" fontId="6" fillId="0" borderId="0">
      <alignment vertical="top"/>
    </xf>
    <xf numFmtId="164" fontId="1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2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6" fillId="0" borderId="0" applyNumberFormat="0" applyFill="0" applyBorder="0" applyAlignment="0" applyProtection="0"/>
  </cellStyleXfs>
  <cellXfs count="489">
    <xf numFmtId="0" fontId="0" fillId="0" borderId="0" xfId="0"/>
    <xf numFmtId="0" fontId="0" fillId="0" borderId="0" xfId="0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28" borderId="15" xfId="0" applyFont="1" applyFill="1" applyBorder="1" applyAlignment="1">
      <alignment vertical="center"/>
    </xf>
    <xf numFmtId="0" fontId="10" fillId="32" borderId="15" xfId="0" applyFont="1" applyFill="1" applyBorder="1" applyAlignment="1">
      <alignment horizontal="left" vertical="center"/>
    </xf>
    <xf numFmtId="0" fontId="10" fillId="27" borderId="15" xfId="0" applyFont="1" applyFill="1" applyBorder="1" applyAlignment="1">
      <alignment horizontal="left" vertical="center"/>
    </xf>
    <xf numFmtId="173" fontId="10" fillId="27" borderId="15" xfId="0" applyNumberFormat="1" applyFont="1" applyFill="1" applyBorder="1" applyAlignment="1">
      <alignment horizontal="center" vertical="center"/>
    </xf>
    <xf numFmtId="0" fontId="10" fillId="31" borderId="15" xfId="0" applyFont="1" applyFill="1" applyBorder="1" applyAlignment="1">
      <alignment horizontal="left" vertical="center"/>
    </xf>
    <xf numFmtId="0" fontId="10" fillId="31" borderId="15" xfId="0" applyFont="1" applyFill="1" applyBorder="1" applyAlignment="1">
      <alignment horizontal="center" vertical="center"/>
    </xf>
    <xf numFmtId="0" fontId="9" fillId="0" borderId="0" xfId="0" applyFont="1"/>
    <xf numFmtId="0" fontId="10" fillId="35" borderId="15" xfId="0" applyFont="1" applyFill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44" fontId="9" fillId="0" borderId="0" xfId="1" applyFont="1" applyAlignment="1">
      <alignment vertical="center"/>
    </xf>
    <xf numFmtId="44" fontId="9" fillId="0" borderId="0" xfId="1" applyFont="1"/>
    <xf numFmtId="0" fontId="11" fillId="0" borderId="0" xfId="0" applyFont="1"/>
    <xf numFmtId="0" fontId="15" fillId="0" borderId="0" xfId="0" applyFont="1"/>
    <xf numFmtId="44" fontId="9" fillId="0" borderId="0" xfId="0" applyNumberFormat="1" applyFont="1" applyAlignment="1">
      <alignment vertical="center"/>
    </xf>
    <xf numFmtId="0" fontId="18" fillId="0" borderId="0" xfId="0" applyFont="1" applyAlignment="1">
      <alignment horizontal="center"/>
    </xf>
    <xf numFmtId="0" fontId="10" fillId="32" borderId="22" xfId="0" applyFont="1" applyFill="1" applyBorder="1" applyAlignment="1">
      <alignment horizontal="left" vertical="center"/>
    </xf>
    <xf numFmtId="44" fontId="9" fillId="32" borderId="22" xfId="0" applyNumberFormat="1" applyFont="1" applyFill="1" applyBorder="1" applyAlignment="1">
      <alignment vertical="center"/>
    </xf>
    <xf numFmtId="0" fontId="10" fillId="27" borderId="22" xfId="0" applyFont="1" applyFill="1" applyBorder="1" applyAlignment="1">
      <alignment horizontal="left" vertical="center"/>
    </xf>
    <xf numFmtId="173" fontId="9" fillId="27" borderId="22" xfId="0" applyNumberFormat="1" applyFont="1" applyFill="1" applyBorder="1" applyAlignment="1">
      <alignment horizontal="center" vertical="center"/>
    </xf>
    <xf numFmtId="0" fontId="10" fillId="31" borderId="22" xfId="0" applyFont="1" applyFill="1" applyBorder="1" applyAlignment="1">
      <alignment horizontal="left" vertical="center"/>
    </xf>
    <xf numFmtId="0" fontId="9" fillId="31" borderId="22" xfId="0" applyFont="1" applyFill="1" applyBorder="1" applyAlignment="1">
      <alignment horizontal="center" vertical="center"/>
    </xf>
    <xf numFmtId="0" fontId="10" fillId="35" borderId="22" xfId="0" applyFont="1" applyFill="1" applyBorder="1" applyAlignment="1">
      <alignment horizontal="left" vertical="center"/>
    </xf>
    <xf numFmtId="0" fontId="9" fillId="35" borderId="22" xfId="0" applyFont="1" applyFill="1" applyBorder="1" applyAlignment="1">
      <alignment horizontal="center" vertical="center"/>
    </xf>
    <xf numFmtId="0" fontId="10" fillId="36" borderId="22" xfId="0" applyFont="1" applyFill="1" applyBorder="1" applyAlignment="1">
      <alignment horizontal="left" vertical="center"/>
    </xf>
    <xf numFmtId="44" fontId="9" fillId="36" borderId="22" xfId="0" applyNumberFormat="1" applyFont="1" applyFill="1" applyBorder="1" applyAlignment="1">
      <alignment horizontal="center" vertical="center"/>
    </xf>
    <xf numFmtId="0" fontId="10" fillId="37" borderId="22" xfId="0" applyFont="1" applyFill="1" applyBorder="1" applyAlignment="1">
      <alignment horizontal="left" vertical="center"/>
    </xf>
    <xf numFmtId="44" fontId="9" fillId="37" borderId="22" xfId="0" applyNumberFormat="1" applyFont="1" applyFill="1" applyBorder="1" applyAlignment="1">
      <alignment horizontal="center" vertical="center"/>
    </xf>
    <xf numFmtId="0" fontId="20" fillId="24" borderId="0" xfId="0" applyFont="1" applyFill="1" applyAlignment="1">
      <alignment vertical="center"/>
    </xf>
    <xf numFmtId="0" fontId="21" fillId="24" borderId="0" xfId="0" applyFont="1" applyFill="1" applyAlignment="1">
      <alignment vertical="center"/>
    </xf>
    <xf numFmtId="0" fontId="22" fillId="24" borderId="0" xfId="0" applyFont="1" applyFill="1" applyAlignment="1">
      <alignment horizontal="center" vertical="center"/>
    </xf>
    <xf numFmtId="0" fontId="23" fillId="24" borderId="0" xfId="0" applyFont="1" applyFill="1" applyAlignment="1">
      <alignment vertical="center"/>
    </xf>
    <xf numFmtId="0" fontId="24" fillId="23" borderId="0" xfId="0" applyFont="1" applyFill="1" applyAlignment="1">
      <alignment vertical="center"/>
    </xf>
    <xf numFmtId="0" fontId="9" fillId="23" borderId="0" xfId="0" applyFont="1" applyFill="1" applyAlignment="1">
      <alignment vertical="center"/>
    </xf>
    <xf numFmtId="0" fontId="26" fillId="0" borderId="0" xfId="0" applyFont="1" applyAlignment="1">
      <alignment horizontal="center" vertical="center" wrapText="1"/>
    </xf>
    <xf numFmtId="0" fontId="9" fillId="0" borderId="22" xfId="0" applyFont="1" applyBorder="1" applyAlignment="1">
      <alignment horizontal="center" vertical="center"/>
    </xf>
    <xf numFmtId="0" fontId="9" fillId="0" borderId="22" xfId="0" applyFont="1" applyBorder="1" applyAlignment="1">
      <alignment vertical="center" wrapText="1"/>
    </xf>
    <xf numFmtId="0" fontId="27" fillId="0" borderId="22" xfId="2" applyFont="1" applyBorder="1" applyAlignment="1">
      <alignment horizontal="center" vertical="center"/>
    </xf>
    <xf numFmtId="44" fontId="27" fillId="0" borderId="22" xfId="1" applyFont="1" applyFill="1" applyBorder="1" applyAlignment="1">
      <alignment horizontal="center" vertical="center"/>
    </xf>
    <xf numFmtId="44" fontId="9" fillId="0" borderId="22" xfId="1" applyFont="1" applyBorder="1" applyAlignment="1">
      <alignment vertical="center"/>
    </xf>
    <xf numFmtId="49" fontId="9" fillId="0" borderId="22" xfId="0" applyNumberFormat="1" applyFont="1" applyBorder="1" applyAlignment="1">
      <alignment vertical="center"/>
    </xf>
    <xf numFmtId="0" fontId="9" fillId="0" borderId="22" xfId="0" applyFont="1" applyBorder="1" applyAlignment="1">
      <alignment vertical="center"/>
    </xf>
    <xf numFmtId="49" fontId="9" fillId="0" borderId="0" xfId="0" applyNumberFormat="1" applyFont="1" applyAlignment="1">
      <alignment vertical="center"/>
    </xf>
    <xf numFmtId="49" fontId="9" fillId="0" borderId="23" xfId="0" applyNumberFormat="1" applyFont="1" applyBorder="1" applyAlignment="1">
      <alignment vertical="center"/>
    </xf>
    <xf numFmtId="44" fontId="9" fillId="0" borderId="0" xfId="1" applyFont="1" applyBorder="1" applyAlignment="1">
      <alignment vertical="center"/>
    </xf>
    <xf numFmtId="0" fontId="10" fillId="28" borderId="22" xfId="0" applyFont="1" applyFill="1" applyBorder="1" applyAlignment="1">
      <alignment vertical="center"/>
    </xf>
    <xf numFmtId="0" fontId="17" fillId="33" borderId="22" xfId="0" applyFont="1" applyFill="1" applyBorder="1" applyAlignment="1">
      <alignment vertical="center" wrapText="1"/>
    </xf>
    <xf numFmtId="44" fontId="10" fillId="31" borderId="22" xfId="0" applyNumberFormat="1" applyFont="1" applyFill="1" applyBorder="1" applyAlignment="1">
      <alignment vertical="center"/>
    </xf>
    <xf numFmtId="44" fontId="10" fillId="32" borderId="22" xfId="0" applyNumberFormat="1" applyFont="1" applyFill="1" applyBorder="1" applyAlignment="1">
      <alignment vertical="center"/>
    </xf>
    <xf numFmtId="0" fontId="17" fillId="24" borderId="22" xfId="0" applyFont="1" applyFill="1" applyBorder="1" applyAlignment="1">
      <alignment vertical="center" wrapText="1"/>
    </xf>
    <xf numFmtId="173" fontId="10" fillId="27" borderId="22" xfId="0" applyNumberFormat="1" applyFont="1" applyFill="1" applyBorder="1" applyAlignment="1">
      <alignment horizontal="center" vertical="center"/>
    </xf>
    <xf numFmtId="0" fontId="10" fillId="31" borderId="22" xfId="0" applyFont="1" applyFill="1" applyBorder="1" applyAlignment="1">
      <alignment horizontal="center" vertical="center"/>
    </xf>
    <xf numFmtId="170" fontId="9" fillId="0" borderId="0" xfId="0" applyNumberFormat="1" applyFont="1" applyAlignment="1">
      <alignment vertical="center"/>
    </xf>
    <xf numFmtId="44" fontId="17" fillId="24" borderId="22" xfId="0" applyNumberFormat="1" applyFont="1" applyFill="1" applyBorder="1" applyAlignment="1">
      <alignment vertical="center" wrapText="1"/>
    </xf>
    <xf numFmtId="0" fontId="10" fillId="35" borderId="22" xfId="0" applyFont="1" applyFill="1" applyBorder="1" applyAlignment="1">
      <alignment horizontal="center" vertical="center"/>
    </xf>
    <xf numFmtId="44" fontId="10" fillId="36" borderId="22" xfId="0" applyNumberFormat="1" applyFont="1" applyFill="1" applyBorder="1" applyAlignment="1">
      <alignment horizontal="center" vertical="center"/>
    </xf>
    <xf numFmtId="44" fontId="10" fillId="37" borderId="22" xfId="0" applyNumberFormat="1" applyFont="1" applyFill="1" applyBorder="1" applyAlignment="1">
      <alignment horizontal="center" vertical="center"/>
    </xf>
    <xf numFmtId="44" fontId="28" fillId="24" borderId="22" xfId="1" applyFont="1" applyFill="1" applyBorder="1" applyAlignment="1">
      <alignment horizontal="center" vertical="center"/>
    </xf>
    <xf numFmtId="0" fontId="29" fillId="0" borderId="0" xfId="0" applyFont="1" applyAlignment="1">
      <alignment horizontal="center"/>
    </xf>
    <xf numFmtId="0" fontId="29" fillId="0" borderId="0" xfId="0" applyFont="1"/>
    <xf numFmtId="9" fontId="15" fillId="0" borderId="0" xfId="0" applyNumberFormat="1" applyFont="1" applyAlignment="1">
      <alignment vertical="center"/>
    </xf>
    <xf numFmtId="0" fontId="29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29" fillId="0" borderId="0" xfId="0" applyFont="1" applyAlignment="1">
      <alignment vertical="center"/>
    </xf>
    <xf numFmtId="44" fontId="29" fillId="0" borderId="22" xfId="1" applyFont="1" applyBorder="1" applyAlignment="1">
      <alignment horizontal="center" vertical="center"/>
    </xf>
    <xf numFmtId="44" fontId="13" fillId="25" borderId="0" xfId="1" applyFont="1" applyFill="1" applyAlignment="1">
      <alignment horizontal="center" vertical="center"/>
    </xf>
    <xf numFmtId="44" fontId="29" fillId="0" borderId="0" xfId="1" applyFont="1" applyAlignment="1">
      <alignment vertical="center"/>
    </xf>
    <xf numFmtId="44" fontId="29" fillId="0" borderId="0" xfId="0" applyNumberFormat="1" applyFont="1" applyAlignment="1">
      <alignment vertical="center"/>
    </xf>
    <xf numFmtId="43" fontId="29" fillId="0" borderId="0" xfId="0" applyNumberFormat="1" applyFont="1" applyAlignment="1">
      <alignment vertical="center"/>
    </xf>
    <xf numFmtId="0" fontId="15" fillId="0" borderId="0" xfId="0" applyFont="1" applyAlignment="1">
      <alignment horizontal="center" vertical="center"/>
    </xf>
    <xf numFmtId="4" fontId="29" fillId="0" borderId="0" xfId="0" applyNumberFormat="1" applyFont="1" applyAlignment="1">
      <alignment horizontal="right" vertical="center"/>
    </xf>
    <xf numFmtId="4" fontId="15" fillId="0" borderId="0" xfId="0" applyNumberFormat="1" applyFont="1" applyAlignment="1">
      <alignment horizontal="right" vertical="center"/>
    </xf>
    <xf numFmtId="0" fontId="31" fillId="0" borderId="0" xfId="0" applyFont="1" applyAlignment="1">
      <alignment horizontal="center" vertical="center"/>
    </xf>
    <xf numFmtId="44" fontId="32" fillId="0" borderId="0" xfId="1" applyFont="1" applyAlignment="1">
      <alignment vertical="center"/>
    </xf>
    <xf numFmtId="0" fontId="29" fillId="0" borderId="0" xfId="0" applyFont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44" fontId="15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left"/>
    </xf>
    <xf numFmtId="44" fontId="12" fillId="21" borderId="0" xfId="1" applyFont="1" applyFill="1" applyAlignment="1">
      <alignment horizontal="center" vertical="center"/>
    </xf>
    <xf numFmtId="44" fontId="13" fillId="21" borderId="0" xfId="1" applyFont="1" applyFill="1" applyAlignment="1">
      <alignment horizontal="center" vertical="center"/>
    </xf>
    <xf numFmtId="0" fontId="15" fillId="28" borderId="15" xfId="0" applyFont="1" applyFill="1" applyBorder="1" applyAlignment="1">
      <alignment vertical="center"/>
    </xf>
    <xf numFmtId="44" fontId="29" fillId="0" borderId="0" xfId="0" applyNumberFormat="1" applyFont="1" applyAlignment="1">
      <alignment horizontal="center"/>
    </xf>
    <xf numFmtId="0" fontId="15" fillId="32" borderId="22" xfId="0" applyFont="1" applyFill="1" applyBorder="1" applyAlignment="1">
      <alignment horizontal="left" vertical="center"/>
    </xf>
    <xf numFmtId="44" fontId="15" fillId="32" borderId="22" xfId="0" applyNumberFormat="1" applyFont="1" applyFill="1" applyBorder="1" applyAlignment="1">
      <alignment vertical="center"/>
    </xf>
    <xf numFmtId="0" fontId="15" fillId="27" borderId="22" xfId="0" applyFont="1" applyFill="1" applyBorder="1" applyAlignment="1">
      <alignment horizontal="left" vertical="center"/>
    </xf>
    <xf numFmtId="173" fontId="15" fillId="27" borderId="22" xfId="0" applyNumberFormat="1" applyFont="1" applyFill="1" applyBorder="1" applyAlignment="1">
      <alignment horizontal="center" vertical="center"/>
    </xf>
    <xf numFmtId="0" fontId="15" fillId="31" borderId="22" xfId="0" applyFont="1" applyFill="1" applyBorder="1" applyAlignment="1">
      <alignment horizontal="left" vertical="center"/>
    </xf>
    <xf numFmtId="0" fontId="15" fillId="31" borderId="22" xfId="0" applyFont="1" applyFill="1" applyBorder="1" applyAlignment="1">
      <alignment horizontal="center" vertical="center"/>
    </xf>
    <xf numFmtId="0" fontId="15" fillId="35" borderId="22" xfId="0" applyFont="1" applyFill="1" applyBorder="1" applyAlignment="1">
      <alignment horizontal="left" vertical="center"/>
    </xf>
    <xf numFmtId="0" fontId="15" fillId="35" borderId="22" xfId="0" applyFont="1" applyFill="1" applyBorder="1" applyAlignment="1">
      <alignment horizontal="center" vertical="center"/>
    </xf>
    <xf numFmtId="0" fontId="15" fillId="36" borderId="22" xfId="0" applyFont="1" applyFill="1" applyBorder="1" applyAlignment="1">
      <alignment horizontal="left" vertical="center"/>
    </xf>
    <xf numFmtId="44" fontId="15" fillId="36" borderId="22" xfId="0" applyNumberFormat="1" applyFont="1" applyFill="1" applyBorder="1" applyAlignment="1">
      <alignment horizontal="center" vertical="center"/>
    </xf>
    <xf numFmtId="0" fontId="15" fillId="37" borderId="22" xfId="0" applyFont="1" applyFill="1" applyBorder="1" applyAlignment="1">
      <alignment horizontal="left" vertical="center"/>
    </xf>
    <xf numFmtId="44" fontId="15" fillId="37" borderId="22" xfId="0" applyNumberFormat="1" applyFont="1" applyFill="1" applyBorder="1" applyAlignment="1">
      <alignment horizontal="center" vertical="center"/>
    </xf>
    <xf numFmtId="44" fontId="15" fillId="0" borderId="0" xfId="0" applyNumberFormat="1" applyFont="1" applyAlignment="1">
      <alignment horizontal="center"/>
    </xf>
    <xf numFmtId="0" fontId="22" fillId="24" borderId="0" xfId="0" applyFont="1" applyFill="1" applyAlignment="1">
      <alignment horizontal="center"/>
    </xf>
    <xf numFmtId="0" fontId="9" fillId="0" borderId="22" xfId="0" applyFont="1" applyBorder="1"/>
    <xf numFmtId="0" fontId="17" fillId="33" borderId="22" xfId="0" applyFont="1" applyFill="1" applyBorder="1" applyAlignment="1">
      <alignment wrapText="1"/>
    </xf>
    <xf numFmtId="0" fontId="17" fillId="24" borderId="22" xfId="0" applyFont="1" applyFill="1" applyBorder="1" applyAlignment="1">
      <alignment wrapText="1"/>
    </xf>
    <xf numFmtId="44" fontId="9" fillId="0" borderId="22" xfId="1" applyFont="1" applyBorder="1" applyAlignment="1"/>
    <xf numFmtId="44" fontId="17" fillId="24" borderId="22" xfId="0" applyNumberFormat="1" applyFont="1" applyFill="1" applyBorder="1" applyAlignment="1">
      <alignment wrapText="1"/>
    </xf>
    <xf numFmtId="0" fontId="23" fillId="24" borderId="0" xfId="0" applyFont="1" applyFill="1" applyAlignment="1">
      <alignment horizontal="left" vertical="center"/>
    </xf>
    <xf numFmtId="0" fontId="9" fillId="0" borderId="22" xfId="0" applyFont="1" applyBorder="1" applyAlignment="1">
      <alignment horizontal="left" vertical="center"/>
    </xf>
    <xf numFmtId="169" fontId="9" fillId="0" borderId="22" xfId="1" applyNumberFormat="1" applyFont="1" applyFill="1" applyBorder="1" applyAlignment="1">
      <alignment horizontal="center" vertical="center"/>
    </xf>
    <xf numFmtId="9" fontId="9" fillId="0" borderId="22" xfId="202" applyFont="1" applyFill="1" applyBorder="1" applyAlignment="1">
      <alignment horizontal="center" vertical="center"/>
    </xf>
    <xf numFmtId="44" fontId="9" fillId="0" borderId="22" xfId="0" applyNumberFormat="1" applyFont="1" applyBorder="1" applyAlignment="1">
      <alignment horizontal="center" vertical="center"/>
    </xf>
    <xf numFmtId="44" fontId="9" fillId="0" borderId="22" xfId="1" applyFont="1" applyFill="1" applyBorder="1" applyAlignment="1">
      <alignment horizontal="center" vertical="center"/>
    </xf>
    <xf numFmtId="44" fontId="9" fillId="0" borderId="22" xfId="0" applyNumberFormat="1" applyFont="1" applyBorder="1" applyAlignment="1">
      <alignment vertical="center"/>
    </xf>
    <xf numFmtId="44" fontId="9" fillId="31" borderId="22" xfId="0" applyNumberFormat="1" applyFont="1" applyFill="1" applyBorder="1" applyAlignment="1">
      <alignment vertical="center"/>
    </xf>
    <xf numFmtId="0" fontId="27" fillId="0" borderId="22" xfId="0" applyFont="1" applyBorder="1" applyAlignment="1">
      <alignment vertical="center"/>
    </xf>
    <xf numFmtId="0" fontId="27" fillId="0" borderId="17" xfId="0" applyFont="1" applyBorder="1" applyAlignment="1">
      <alignment vertical="center"/>
    </xf>
    <xf numFmtId="44" fontId="9" fillId="0" borderId="0" xfId="1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169" fontId="9" fillId="0" borderId="0" xfId="1" applyNumberFormat="1" applyFont="1" applyFill="1" applyBorder="1" applyAlignment="1">
      <alignment horizontal="center" vertical="center"/>
    </xf>
    <xf numFmtId="0" fontId="9" fillId="0" borderId="0" xfId="1" applyNumberFormat="1" applyFont="1" applyFill="1" applyBorder="1" applyAlignment="1">
      <alignment horizontal="center" vertical="center"/>
    </xf>
    <xf numFmtId="44" fontId="9" fillId="0" borderId="4" xfId="0" applyNumberFormat="1" applyFont="1" applyBorder="1" applyAlignment="1">
      <alignment vertical="center"/>
    </xf>
    <xf numFmtId="44" fontId="17" fillId="0" borderId="0" xfId="0" applyNumberFormat="1" applyFont="1" applyAlignment="1">
      <alignment vertical="center" wrapText="1"/>
    </xf>
    <xf numFmtId="0" fontId="17" fillId="0" borderId="0" xfId="0" applyFont="1" applyAlignment="1">
      <alignment horizontal="center" vertical="center" wrapText="1"/>
    </xf>
    <xf numFmtId="0" fontId="17" fillId="0" borderId="0" xfId="2" applyFont="1" applyAlignment="1">
      <alignment vertical="center" wrapText="1"/>
    </xf>
    <xf numFmtId="0" fontId="17" fillId="0" borderId="0" xfId="2" applyFont="1" applyAlignment="1">
      <alignment vertical="center"/>
    </xf>
    <xf numFmtId="44" fontId="9" fillId="0" borderId="13" xfId="0" applyNumberFormat="1" applyFont="1" applyBorder="1" applyAlignment="1">
      <alignment vertical="center"/>
    </xf>
    <xf numFmtId="0" fontId="33" fillId="0" borderId="22" xfId="0" applyFont="1" applyBorder="1" applyAlignment="1">
      <alignment horizontal="left" vertical="center"/>
    </xf>
    <xf numFmtId="0" fontId="9" fillId="23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23" borderId="0" xfId="0" applyFont="1" applyFill="1" applyAlignment="1">
      <alignment vertical="center" wrapText="1"/>
    </xf>
    <xf numFmtId="0" fontId="9" fillId="0" borderId="0" xfId="0" applyFont="1" applyAlignment="1">
      <alignment vertical="center" wrapText="1"/>
    </xf>
    <xf numFmtId="44" fontId="9" fillId="0" borderId="22" xfId="1" applyFont="1" applyFill="1" applyBorder="1" applyAlignment="1">
      <alignment horizontal="left" vertical="center"/>
    </xf>
    <xf numFmtId="0" fontId="9" fillId="0" borderId="22" xfId="1" applyNumberFormat="1" applyFont="1" applyFill="1" applyBorder="1" applyAlignment="1">
      <alignment horizontal="center" vertical="center"/>
    </xf>
    <xf numFmtId="44" fontId="9" fillId="0" borderId="22" xfId="1" applyFont="1" applyBorder="1" applyAlignment="1">
      <alignment vertical="center" wrapText="1"/>
    </xf>
    <xf numFmtId="0" fontId="34" fillId="0" borderId="0" xfId="0" applyFont="1" applyAlignment="1">
      <alignment vertical="center"/>
    </xf>
    <xf numFmtId="44" fontId="9" fillId="0" borderId="0" xfId="0" applyNumberFormat="1" applyFont="1" applyAlignment="1">
      <alignment horizontal="center" vertical="center"/>
    </xf>
    <xf numFmtId="0" fontId="9" fillId="23" borderId="0" xfId="0" applyFont="1" applyFill="1"/>
    <xf numFmtId="0" fontId="9" fillId="0" borderId="22" xfId="0" applyFont="1" applyBorder="1" applyAlignment="1">
      <alignment horizontal="center"/>
    </xf>
    <xf numFmtId="44" fontId="9" fillId="0" borderId="22" xfId="0" applyNumberFormat="1" applyFont="1" applyBorder="1"/>
    <xf numFmtId="0" fontId="9" fillId="0" borderId="0" xfId="0" applyFont="1" applyAlignment="1">
      <alignment horizontal="center"/>
    </xf>
    <xf numFmtId="0" fontId="9" fillId="0" borderId="10" xfId="0" applyFont="1" applyBorder="1"/>
    <xf numFmtId="0" fontId="9" fillId="0" borderId="10" xfId="0" applyFont="1" applyBorder="1" applyAlignment="1">
      <alignment horizontal="center"/>
    </xf>
    <xf numFmtId="0" fontId="9" fillId="0" borderId="10" xfId="0" applyFont="1" applyBorder="1" applyAlignment="1">
      <alignment horizontal="center" vertical="center"/>
    </xf>
    <xf numFmtId="44" fontId="9" fillId="0" borderId="10" xfId="1" applyFont="1" applyFill="1" applyBorder="1" applyAlignment="1">
      <alignment horizontal="center"/>
    </xf>
    <xf numFmtId="44" fontId="9" fillId="0" borderId="10" xfId="0" applyNumberFormat="1" applyFont="1" applyBorder="1"/>
    <xf numFmtId="44" fontId="9" fillId="0" borderId="14" xfId="1" applyFont="1" applyFill="1" applyBorder="1" applyAlignment="1">
      <alignment horizontal="center"/>
    </xf>
    <xf numFmtId="44" fontId="9" fillId="0" borderId="14" xfId="0" applyNumberFormat="1" applyFont="1" applyBorder="1"/>
    <xf numFmtId="0" fontId="9" fillId="0" borderId="4" xfId="0" applyFont="1" applyBorder="1"/>
    <xf numFmtId="0" fontId="9" fillId="0" borderId="4" xfId="0" applyFont="1" applyBorder="1" applyAlignment="1">
      <alignment horizontal="center"/>
    </xf>
    <xf numFmtId="0" fontId="9" fillId="0" borderId="4" xfId="0" applyFont="1" applyBorder="1" applyAlignment="1">
      <alignment horizontal="center" vertical="center"/>
    </xf>
    <xf numFmtId="44" fontId="9" fillId="0" borderId="4" xfId="1" applyFont="1" applyFill="1" applyBorder="1" applyAlignment="1">
      <alignment horizontal="center"/>
    </xf>
    <xf numFmtId="44" fontId="9" fillId="0" borderId="4" xfId="0" applyNumberFormat="1" applyFont="1" applyBorder="1"/>
    <xf numFmtId="0" fontId="9" fillId="0" borderId="27" xfId="0" applyFont="1" applyBorder="1"/>
    <xf numFmtId="0" fontId="9" fillId="0" borderId="27" xfId="0" applyFont="1" applyBorder="1" applyAlignment="1">
      <alignment horizontal="center"/>
    </xf>
    <xf numFmtId="0" fontId="9" fillId="0" borderId="27" xfId="0" applyFont="1" applyBorder="1" applyAlignment="1">
      <alignment horizontal="center" vertical="center"/>
    </xf>
    <xf numFmtId="44" fontId="9" fillId="0" borderId="27" xfId="1" applyFont="1" applyFill="1" applyBorder="1" applyAlignment="1">
      <alignment horizontal="center"/>
    </xf>
    <xf numFmtId="44" fontId="9" fillId="0" borderId="27" xfId="0" applyNumberFormat="1" applyFont="1" applyBorder="1"/>
    <xf numFmtId="44" fontId="9" fillId="0" borderId="0" xfId="0" applyNumberFormat="1" applyFont="1"/>
    <xf numFmtId="44" fontId="9" fillId="0" borderId="0" xfId="1" applyFont="1" applyFill="1" applyBorder="1" applyAlignment="1">
      <alignment horizontal="center"/>
    </xf>
    <xf numFmtId="0" fontId="9" fillId="0" borderId="0" xfId="0" applyFont="1" applyAlignment="1">
      <alignment horizontal="left"/>
    </xf>
    <xf numFmtId="44" fontId="10" fillId="31" borderId="22" xfId="0" applyNumberFormat="1" applyFont="1" applyFill="1" applyBorder="1"/>
    <xf numFmtId="44" fontId="10" fillId="32" borderId="15" xfId="0" applyNumberFormat="1" applyFont="1" applyFill="1" applyBorder="1" applyAlignment="1">
      <alignment vertical="center"/>
    </xf>
    <xf numFmtId="0" fontId="10" fillId="35" borderId="15" xfId="0" applyFont="1" applyFill="1" applyBorder="1" applyAlignment="1">
      <alignment horizontal="center" vertical="center"/>
    </xf>
    <xf numFmtId="0" fontId="10" fillId="36" borderId="15" xfId="0" applyFont="1" applyFill="1" applyBorder="1" applyAlignment="1">
      <alignment horizontal="left" vertical="center"/>
    </xf>
    <xf numFmtId="44" fontId="10" fillId="36" borderId="15" xfId="0" applyNumberFormat="1" applyFont="1" applyFill="1" applyBorder="1" applyAlignment="1">
      <alignment horizontal="center" vertical="center"/>
    </xf>
    <xf numFmtId="0" fontId="10" fillId="37" borderId="15" xfId="0" applyFont="1" applyFill="1" applyBorder="1" applyAlignment="1">
      <alignment horizontal="left" vertical="center"/>
    </xf>
    <xf numFmtId="44" fontId="10" fillId="37" borderId="15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44" fontId="9" fillId="0" borderId="22" xfId="1" applyFont="1" applyFill="1" applyBorder="1" applyAlignment="1" applyProtection="1">
      <alignment horizontal="center" vertical="center"/>
    </xf>
    <xf numFmtId="44" fontId="27" fillId="0" borderId="22" xfId="1" applyFont="1" applyFill="1" applyBorder="1" applyAlignment="1">
      <alignment horizontal="right" vertical="center"/>
    </xf>
    <xf numFmtId="44" fontId="9" fillId="0" borderId="4" xfId="0" applyNumberFormat="1" applyFont="1" applyBorder="1" applyAlignment="1">
      <alignment horizontal="center" vertical="center"/>
    </xf>
    <xf numFmtId="44" fontId="9" fillId="0" borderId="14" xfId="0" applyNumberFormat="1" applyFont="1" applyBorder="1" applyAlignment="1">
      <alignment horizontal="center" vertical="center"/>
    </xf>
    <xf numFmtId="44" fontId="9" fillId="0" borderId="0" xfId="1" applyFont="1" applyFill="1" applyBorder="1" applyAlignment="1" applyProtection="1">
      <alignment horizontal="center" vertical="center"/>
    </xf>
    <xf numFmtId="0" fontId="14" fillId="0" borderId="22" xfId="0" applyFont="1" applyBorder="1" applyAlignment="1">
      <alignment horizontal="center" vertical="center" wrapText="1"/>
    </xf>
    <xf numFmtId="44" fontId="14" fillId="0" borderId="22" xfId="0" applyNumberFormat="1" applyFont="1" applyBorder="1" applyAlignment="1">
      <alignment horizontal="center" vertical="center" wrapText="1"/>
    </xf>
    <xf numFmtId="44" fontId="9" fillId="0" borderId="18" xfId="0" applyNumberFormat="1" applyFont="1" applyBorder="1" applyAlignment="1">
      <alignment horizontal="center" vertical="center"/>
    </xf>
    <xf numFmtId="6" fontId="9" fillId="0" borderId="0" xfId="1" applyNumberFormat="1" applyFont="1" applyFill="1" applyBorder="1" applyAlignment="1" applyProtection="1">
      <alignment horizontal="center" vertical="center"/>
    </xf>
    <xf numFmtId="44" fontId="14" fillId="0" borderId="0" xfId="1" applyFont="1" applyFill="1" applyBorder="1" applyAlignment="1">
      <alignment horizontal="center" vertical="center" wrapText="1"/>
    </xf>
    <xf numFmtId="44" fontId="27" fillId="0" borderId="0" xfId="2" applyNumberFormat="1" applyFont="1" applyAlignment="1">
      <alignment horizontal="right" vertical="center"/>
    </xf>
    <xf numFmtId="0" fontId="14" fillId="0" borderId="0" xfId="0" applyFont="1" applyAlignment="1">
      <alignment horizontal="center" vertical="center" wrapText="1"/>
    </xf>
    <xf numFmtId="44" fontId="10" fillId="31" borderId="22" xfId="0" applyNumberFormat="1" applyFont="1" applyFill="1" applyBorder="1" applyAlignment="1">
      <alignment horizontal="center"/>
    </xf>
    <xf numFmtId="44" fontId="10" fillId="0" borderId="22" xfId="1" applyFont="1" applyBorder="1"/>
    <xf numFmtId="0" fontId="10" fillId="0" borderId="0" xfId="0" applyFont="1"/>
    <xf numFmtId="0" fontId="10" fillId="0" borderId="0" xfId="0" applyFont="1" applyAlignment="1">
      <alignment horizontal="center"/>
    </xf>
    <xf numFmtId="44" fontId="9" fillId="0" borderId="0" xfId="1" applyFont="1" applyAlignment="1">
      <alignment horizontal="center"/>
    </xf>
    <xf numFmtId="0" fontId="10" fillId="23" borderId="0" xfId="0" applyFont="1" applyFill="1" applyAlignment="1">
      <alignment vertical="center"/>
    </xf>
    <xf numFmtId="49" fontId="9" fillId="0" borderId="22" xfId="0" applyNumberFormat="1" applyFont="1" applyBorder="1" applyAlignment="1">
      <alignment horizontal="left" vertical="center"/>
    </xf>
    <xf numFmtId="44" fontId="9" fillId="0" borderId="0" xfId="1" applyFont="1" applyAlignment="1">
      <alignment horizontal="center" vertical="center"/>
    </xf>
    <xf numFmtId="44" fontId="9" fillId="0" borderId="22" xfId="1" applyFont="1" applyBorder="1" applyAlignment="1">
      <alignment horizontal="center" vertical="center"/>
    </xf>
    <xf numFmtId="44" fontId="10" fillId="0" borderId="22" xfId="1" applyFont="1" applyBorder="1" applyAlignment="1">
      <alignment vertical="center"/>
    </xf>
    <xf numFmtId="0" fontId="10" fillId="28" borderId="22" xfId="0" applyFont="1" applyFill="1" applyBorder="1" applyAlignment="1">
      <alignment horizontal="left" vertical="center"/>
    </xf>
    <xf numFmtId="0" fontId="36" fillId="24" borderId="0" xfId="0" applyFont="1" applyFill="1" applyAlignment="1">
      <alignment vertical="center"/>
    </xf>
    <xf numFmtId="0" fontId="37" fillId="23" borderId="0" xfId="0" applyFont="1" applyFill="1" applyAlignment="1">
      <alignment vertical="center"/>
    </xf>
    <xf numFmtId="0" fontId="0" fillId="23" borderId="0" xfId="0" applyFill="1"/>
    <xf numFmtId="0" fontId="27" fillId="0" borderId="22" xfId="0" applyFont="1" applyBorder="1"/>
    <xf numFmtId="0" fontId="17" fillId="0" borderId="22" xfId="0" applyFont="1" applyBorder="1" applyAlignment="1">
      <alignment horizontal="center" vertical="center" wrapText="1"/>
    </xf>
    <xf numFmtId="44" fontId="9" fillId="0" borderId="22" xfId="1" applyFont="1" applyFill="1" applyBorder="1"/>
    <xf numFmtId="44" fontId="9" fillId="0" borderId="19" xfId="1" applyFont="1" applyFill="1" applyBorder="1"/>
    <xf numFmtId="0" fontId="9" fillId="0" borderId="15" xfId="0" applyFont="1" applyBorder="1"/>
    <xf numFmtId="0" fontId="17" fillId="0" borderId="17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44" fontId="10" fillId="32" borderId="22" xfId="0" applyNumberFormat="1" applyFont="1" applyFill="1" applyBorder="1" applyAlignment="1">
      <alignment horizontal="center" vertical="center"/>
    </xf>
    <xf numFmtId="44" fontId="9" fillId="0" borderId="22" xfId="1" applyFont="1" applyBorder="1"/>
    <xf numFmtId="0" fontId="0" fillId="0" borderId="0" xfId="0" applyAlignment="1">
      <alignment horizontal="center"/>
    </xf>
    <xf numFmtId="44" fontId="0" fillId="0" borderId="0" xfId="0" applyNumberFormat="1"/>
    <xf numFmtId="0" fontId="9" fillId="23" borderId="0" xfId="0" applyFont="1" applyFill="1" applyAlignment="1">
      <alignment wrapText="1"/>
    </xf>
    <xf numFmtId="49" fontId="9" fillId="0" borderId="22" xfId="0" applyNumberFormat="1" applyFont="1" applyBorder="1"/>
    <xf numFmtId="0" fontId="9" fillId="0" borderId="22" xfId="1" applyNumberFormat="1" applyFont="1" applyFill="1" applyBorder="1" applyAlignment="1">
      <alignment horizontal="center"/>
    </xf>
    <xf numFmtId="44" fontId="9" fillId="0" borderId="22" xfId="1" applyFont="1" applyBorder="1" applyAlignment="1">
      <alignment wrapText="1"/>
    </xf>
    <xf numFmtId="0" fontId="27" fillId="0" borderId="0" xfId="0" applyFont="1"/>
    <xf numFmtId="44" fontId="9" fillId="0" borderId="0" xfId="1" applyFont="1" applyFill="1" applyBorder="1" applyAlignment="1">
      <alignment horizontal="left"/>
    </xf>
    <xf numFmtId="0" fontId="9" fillId="0" borderId="0" xfId="1" applyNumberFormat="1" applyFont="1" applyFill="1" applyBorder="1" applyAlignment="1">
      <alignment horizontal="center"/>
    </xf>
    <xf numFmtId="44" fontId="27" fillId="0" borderId="0" xfId="1" applyFont="1" applyFill="1" applyBorder="1" applyAlignment="1">
      <alignment horizontal="center"/>
    </xf>
    <xf numFmtId="44" fontId="9" fillId="0" borderId="0" xfId="1" applyFont="1" applyAlignment="1">
      <alignment wrapText="1"/>
    </xf>
    <xf numFmtId="44" fontId="10" fillId="31" borderId="22" xfId="1" applyFont="1" applyFill="1" applyBorder="1"/>
    <xf numFmtId="44" fontId="10" fillId="0" borderId="22" xfId="1" applyFont="1" applyFill="1" applyBorder="1"/>
    <xf numFmtId="44" fontId="10" fillId="0" borderId="0" xfId="1" applyFont="1" applyFill="1"/>
    <xf numFmtId="49" fontId="9" fillId="0" borderId="0" xfId="0" applyNumberFormat="1" applyFont="1"/>
    <xf numFmtId="44" fontId="9" fillId="0" borderId="0" xfId="1" applyFont="1" applyFill="1" applyBorder="1"/>
    <xf numFmtId="0" fontId="0" fillId="23" borderId="0" xfId="0" applyFill="1" applyAlignment="1">
      <alignment horizontal="center"/>
    </xf>
    <xf numFmtId="0" fontId="17" fillId="0" borderId="0" xfId="0" applyFont="1" applyAlignment="1">
      <alignment horizontal="center" wrapText="1"/>
    </xf>
    <xf numFmtId="0" fontId="16" fillId="0" borderId="22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24" borderId="0" xfId="0" applyFont="1" applyFill="1" applyAlignment="1">
      <alignment wrapText="1"/>
    </xf>
    <xf numFmtId="0" fontId="9" fillId="23" borderId="0" xfId="0" applyFont="1" applyFill="1" applyAlignment="1">
      <alignment horizontal="center"/>
    </xf>
    <xf numFmtId="49" fontId="17" fillId="0" borderId="0" xfId="0" applyNumberFormat="1" applyFont="1" applyAlignment="1">
      <alignment horizontal="center" vertical="center" wrapText="1"/>
    </xf>
    <xf numFmtId="0" fontId="9" fillId="0" borderId="17" xfId="0" applyFont="1" applyBorder="1" applyAlignment="1">
      <alignment horizontal="left" vertical="center"/>
    </xf>
    <xf numFmtId="0" fontId="9" fillId="0" borderId="17" xfId="1" applyNumberFormat="1" applyFont="1" applyFill="1" applyBorder="1" applyAlignment="1">
      <alignment horizontal="center" vertical="center"/>
    </xf>
    <xf numFmtId="44" fontId="9" fillId="0" borderId="17" xfId="0" applyNumberFormat="1" applyFont="1" applyBorder="1"/>
    <xf numFmtId="0" fontId="9" fillId="0" borderId="15" xfId="0" applyFont="1" applyBorder="1" applyAlignment="1">
      <alignment horizontal="left" vertical="center"/>
    </xf>
    <xf numFmtId="44" fontId="27" fillId="0" borderId="15" xfId="1" applyFont="1" applyFill="1" applyBorder="1" applyAlignment="1">
      <alignment horizontal="center" vertical="center"/>
    </xf>
    <xf numFmtId="0" fontId="9" fillId="0" borderId="16" xfId="0" applyFont="1" applyBorder="1" applyAlignment="1">
      <alignment horizontal="left" vertical="center"/>
    </xf>
    <xf numFmtId="44" fontId="27" fillId="0" borderId="16" xfId="1" applyFont="1" applyFill="1" applyBorder="1" applyAlignment="1">
      <alignment horizontal="center" vertical="center"/>
    </xf>
    <xf numFmtId="0" fontId="9" fillId="0" borderId="16" xfId="0" applyFont="1" applyBorder="1"/>
    <xf numFmtId="44" fontId="27" fillId="0" borderId="0" xfId="1" applyFont="1" applyFill="1" applyBorder="1" applyAlignment="1">
      <alignment horizontal="center" vertical="center"/>
    </xf>
    <xf numFmtId="0" fontId="27" fillId="0" borderId="22" xfId="2" applyFont="1" applyBorder="1" applyAlignment="1">
      <alignment horizontal="left" vertical="center"/>
    </xf>
    <xf numFmtId="0" fontId="9" fillId="0" borderId="16" xfId="0" applyFont="1" applyBorder="1" applyAlignment="1">
      <alignment vertical="center"/>
    </xf>
    <xf numFmtId="0" fontId="9" fillId="0" borderId="15" xfId="0" applyFont="1" applyBorder="1" applyAlignment="1">
      <alignment vertical="center"/>
    </xf>
    <xf numFmtId="44" fontId="0" fillId="0" borderId="0" xfId="1" applyFont="1"/>
    <xf numFmtId="0" fontId="39" fillId="0" borderId="0" xfId="0" applyFont="1" applyAlignment="1">
      <alignment horizontal="center"/>
    </xf>
    <xf numFmtId="0" fontId="40" fillId="0" borderId="0" xfId="0" applyFont="1" applyAlignment="1">
      <alignment horizontal="center"/>
    </xf>
    <xf numFmtId="0" fontId="10" fillId="44" borderId="22" xfId="0" applyFont="1" applyFill="1" applyBorder="1" applyAlignment="1">
      <alignment horizontal="left" vertical="center"/>
    </xf>
    <xf numFmtId="9" fontId="10" fillId="44" borderId="22" xfId="202" applyFont="1" applyFill="1" applyBorder="1" applyAlignment="1">
      <alignment horizontal="center" vertical="center"/>
    </xf>
    <xf numFmtId="2" fontId="0" fillId="0" borderId="0" xfId="0" applyNumberFormat="1"/>
    <xf numFmtId="4" fontId="0" fillId="0" borderId="0" xfId="1" applyNumberFormat="1" applyFont="1"/>
    <xf numFmtId="4" fontId="0" fillId="0" borderId="0" xfId="0" applyNumberFormat="1"/>
    <xf numFmtId="0" fontId="19" fillId="0" borderId="0" xfId="0" applyFont="1"/>
    <xf numFmtId="0" fontId="19" fillId="0" borderId="0" xfId="0" applyFont="1" applyAlignment="1">
      <alignment horizontal="center"/>
    </xf>
    <xf numFmtId="0" fontId="25" fillId="0" borderId="0" xfId="0" applyFont="1" applyAlignment="1">
      <alignment vertical="center"/>
    </xf>
    <xf numFmtId="44" fontId="9" fillId="0" borderId="26" xfId="1" applyFont="1" applyFill="1" applyBorder="1" applyAlignment="1">
      <alignment vertical="center"/>
    </xf>
    <xf numFmtId="0" fontId="43" fillId="29" borderId="0" xfId="0" applyFont="1" applyFill="1" applyAlignment="1">
      <alignment vertical="center"/>
    </xf>
    <xf numFmtId="0" fontId="17" fillId="30" borderId="2" xfId="0" applyFont="1" applyFill="1" applyBorder="1" applyAlignment="1">
      <alignment horizontal="center" vertical="center"/>
    </xf>
    <xf numFmtId="0" fontId="17" fillId="39" borderId="2" xfId="0" applyFont="1" applyFill="1" applyBorder="1" applyAlignment="1">
      <alignment vertical="center"/>
    </xf>
    <xf numFmtId="43" fontId="17" fillId="39" borderId="2" xfId="201" applyFont="1" applyFill="1" applyBorder="1" applyAlignment="1">
      <alignment vertical="center"/>
    </xf>
    <xf numFmtId="0" fontId="34" fillId="0" borderId="2" xfId="0" applyFont="1" applyBorder="1" applyAlignment="1">
      <alignment vertical="center"/>
    </xf>
    <xf numFmtId="43" fontId="34" fillId="0" borderId="2" xfId="201" applyFont="1" applyFill="1" applyBorder="1" applyAlignment="1">
      <alignment vertical="center"/>
    </xf>
    <xf numFmtId="9" fontId="17" fillId="34" borderId="12" xfId="202" applyFont="1" applyFill="1" applyBorder="1" applyAlignment="1">
      <alignment vertical="center"/>
    </xf>
    <xf numFmtId="0" fontId="34" fillId="24" borderId="2" xfId="0" applyFont="1" applyFill="1" applyBorder="1" applyAlignment="1">
      <alignment vertical="center"/>
    </xf>
    <xf numFmtId="43" fontId="34" fillId="24" borderId="2" xfId="201" applyFont="1" applyFill="1" applyBorder="1" applyAlignment="1">
      <alignment vertical="center"/>
    </xf>
    <xf numFmtId="0" fontId="17" fillId="34" borderId="2" xfId="0" applyFont="1" applyFill="1" applyBorder="1" applyAlignment="1">
      <alignment vertical="center"/>
    </xf>
    <xf numFmtId="43" fontId="17" fillId="34" borderId="2" xfId="201" applyFont="1" applyFill="1" applyBorder="1" applyAlignment="1">
      <alignment vertical="center"/>
    </xf>
    <xf numFmtId="43" fontId="34" fillId="0" borderId="2" xfId="201" applyFont="1" applyBorder="1" applyAlignment="1">
      <alignment vertical="center"/>
    </xf>
    <xf numFmtId="0" fontId="17" fillId="33" borderId="2" xfId="0" applyFont="1" applyFill="1" applyBorder="1" applyAlignment="1">
      <alignment vertical="center"/>
    </xf>
    <xf numFmtId="43" fontId="17" fillId="33" borderId="2" xfId="201" applyFont="1" applyFill="1" applyBorder="1" applyAlignment="1">
      <alignment vertical="center"/>
    </xf>
    <xf numFmtId="43" fontId="17" fillId="31" borderId="2" xfId="201" applyFont="1" applyFill="1" applyBorder="1" applyAlignment="1">
      <alignment vertical="center"/>
    </xf>
    <xf numFmtId="43" fontId="10" fillId="0" borderId="0" xfId="0" applyNumberFormat="1" applyFont="1" applyAlignment="1">
      <alignment vertical="center"/>
    </xf>
    <xf numFmtId="49" fontId="34" fillId="0" borderId="2" xfId="0" applyNumberFormat="1" applyFont="1" applyBorder="1" applyAlignment="1">
      <alignment vertical="center"/>
    </xf>
    <xf numFmtId="43" fontId="17" fillId="30" borderId="2" xfId="201" applyFont="1" applyFill="1" applyBorder="1" applyAlignment="1">
      <alignment horizontal="center" vertical="center"/>
    </xf>
    <xf numFmtId="0" fontId="10" fillId="28" borderId="2" xfId="0" applyFont="1" applyFill="1" applyBorder="1" applyAlignment="1">
      <alignment horizontal="center" vertical="center"/>
    </xf>
    <xf numFmtId="43" fontId="10" fillId="28" borderId="2" xfId="0" applyNumberFormat="1" applyFont="1" applyFill="1" applyBorder="1" applyAlignment="1">
      <alignment vertical="center"/>
    </xf>
    <xf numFmtId="172" fontId="10" fillId="26" borderId="2" xfId="202" applyNumberFormat="1" applyFont="1" applyFill="1" applyBorder="1" applyAlignment="1">
      <alignment horizontal="center" vertical="center"/>
    </xf>
    <xf numFmtId="172" fontId="10" fillId="0" borderId="0" xfId="202" applyNumberFormat="1" applyFont="1" applyAlignment="1">
      <alignment horizontal="center" vertical="center"/>
    </xf>
    <xf numFmtId="0" fontId="43" fillId="29" borderId="0" xfId="0" applyFont="1" applyFill="1" applyAlignment="1">
      <alignment horizontal="center" vertical="center"/>
    </xf>
    <xf numFmtId="0" fontId="44" fillId="0" borderId="0" xfId="0" applyFont="1" applyAlignment="1">
      <alignment vertical="center"/>
    </xf>
    <xf numFmtId="0" fontId="9" fillId="28" borderId="0" xfId="0" applyFont="1" applyFill="1" applyAlignment="1">
      <alignment vertical="center"/>
    </xf>
    <xf numFmtId="0" fontId="9" fillId="28" borderId="0" xfId="0" applyFont="1" applyFill="1" applyAlignment="1">
      <alignment horizontal="center" vertical="center"/>
    </xf>
    <xf numFmtId="0" fontId="44" fillId="0" borderId="0" xfId="0" applyFont="1" applyAlignment="1">
      <alignment horizontal="center" vertical="center"/>
    </xf>
    <xf numFmtId="44" fontId="0" fillId="26" borderId="0" xfId="0" applyNumberFormat="1" applyFill="1"/>
    <xf numFmtId="0" fontId="10" fillId="40" borderId="22" xfId="0" applyFont="1" applyFill="1" applyBorder="1" applyAlignment="1">
      <alignment horizontal="center" vertical="center"/>
    </xf>
    <xf numFmtId="0" fontId="44" fillId="22" borderId="0" xfId="0" applyFont="1" applyFill="1" applyAlignment="1">
      <alignment horizontal="center" vertical="center"/>
    </xf>
    <xf numFmtId="8" fontId="44" fillId="22" borderId="2" xfId="0" applyNumberFormat="1" applyFont="1" applyFill="1" applyBorder="1" applyAlignment="1">
      <alignment horizontal="left" vertical="center" wrapText="1"/>
    </xf>
    <xf numFmtId="44" fontId="44" fillId="22" borderId="2" xfId="1" applyFont="1" applyFill="1" applyBorder="1" applyAlignment="1">
      <alignment horizontal="left" vertical="center" wrapText="1"/>
    </xf>
    <xf numFmtId="0" fontId="44" fillId="27" borderId="0" xfId="0" applyFont="1" applyFill="1" applyAlignment="1">
      <alignment horizontal="center" vertical="center"/>
    </xf>
    <xf numFmtId="0" fontId="44" fillId="45" borderId="0" xfId="0" applyFont="1" applyFill="1" applyAlignment="1">
      <alignment horizontal="center" vertical="center"/>
    </xf>
    <xf numFmtId="17" fontId="48" fillId="42" borderId="22" xfId="0" applyNumberFormat="1" applyFont="1" applyFill="1" applyBorder="1" applyAlignment="1">
      <alignment horizontal="center" vertical="center" wrapText="1"/>
    </xf>
    <xf numFmtId="0" fontId="49" fillId="43" borderId="22" xfId="0" applyFont="1" applyFill="1" applyBorder="1" applyAlignment="1">
      <alignment horizontal="center" vertical="center" wrapText="1"/>
    </xf>
    <xf numFmtId="17" fontId="47" fillId="22" borderId="15" xfId="0" applyNumberFormat="1" applyFont="1" applyFill="1" applyBorder="1" applyAlignment="1">
      <alignment horizontal="left" vertical="center" wrapText="1"/>
    </xf>
    <xf numFmtId="0" fontId="47" fillId="0" borderId="0" xfId="0" applyFont="1" applyAlignment="1">
      <alignment vertical="center"/>
    </xf>
    <xf numFmtId="44" fontId="47" fillId="28" borderId="15" xfId="0" applyNumberFormat="1" applyFont="1" applyFill="1" applyBorder="1" applyAlignment="1">
      <alignment horizontal="left" vertical="center" wrapText="1"/>
    </xf>
    <xf numFmtId="44" fontId="47" fillId="22" borderId="15" xfId="0" applyNumberFormat="1" applyFont="1" applyFill="1" applyBorder="1" applyAlignment="1">
      <alignment horizontal="left" vertical="center" wrapText="1"/>
    </xf>
    <xf numFmtId="0" fontId="44" fillId="22" borderId="0" xfId="0" applyFont="1" applyFill="1" applyAlignment="1">
      <alignment vertical="center" wrapText="1"/>
    </xf>
    <xf numFmtId="17" fontId="47" fillId="22" borderId="0" xfId="0" applyNumberFormat="1" applyFont="1" applyFill="1" applyAlignment="1">
      <alignment horizontal="center" vertical="center" wrapText="1"/>
    </xf>
    <xf numFmtId="1" fontId="47" fillId="22" borderId="0" xfId="0" applyNumberFormat="1" applyFont="1" applyFill="1" applyAlignment="1">
      <alignment horizontal="center" vertical="center"/>
    </xf>
    <xf numFmtId="44" fontId="47" fillId="22" borderId="0" xfId="0" applyNumberFormat="1" applyFont="1" applyFill="1" applyAlignment="1">
      <alignment horizontal="left" vertical="center" wrapText="1"/>
    </xf>
    <xf numFmtId="0" fontId="47" fillId="22" borderId="0" xfId="0" applyFont="1" applyFill="1" applyAlignment="1">
      <alignment horizontal="center" vertical="center"/>
    </xf>
    <xf numFmtId="17" fontId="47" fillId="22" borderId="0" xfId="0" applyNumberFormat="1" applyFont="1" applyFill="1" applyAlignment="1">
      <alignment horizontal="left" vertical="center" wrapText="1"/>
    </xf>
    <xf numFmtId="44" fontId="44" fillId="31" borderId="22" xfId="0" applyNumberFormat="1" applyFont="1" applyFill="1" applyBorder="1" applyAlignment="1">
      <alignment vertical="center"/>
    </xf>
    <xf numFmtId="44" fontId="47" fillId="0" borderId="22" xfId="1" applyFont="1" applyBorder="1" applyAlignment="1">
      <alignment vertical="center"/>
    </xf>
    <xf numFmtId="0" fontId="47" fillId="0" borderId="0" xfId="0" applyFont="1"/>
    <xf numFmtId="15" fontId="47" fillId="22" borderId="0" xfId="0" applyNumberFormat="1" applyFont="1" applyFill="1" applyAlignment="1">
      <alignment horizontal="center" vertical="center"/>
    </xf>
    <xf numFmtId="44" fontId="50" fillId="24" borderId="22" xfId="0" applyNumberFormat="1" applyFont="1" applyFill="1" applyBorder="1" applyAlignment="1">
      <alignment vertical="center" wrapText="1"/>
    </xf>
    <xf numFmtId="0" fontId="47" fillId="22" borderId="0" xfId="0" applyFont="1" applyFill="1" applyAlignment="1">
      <alignment vertical="center"/>
    </xf>
    <xf numFmtId="0" fontId="44" fillId="32" borderId="34" xfId="0" applyFont="1" applyFill="1" applyBorder="1" applyAlignment="1">
      <alignment horizontal="left" vertical="center"/>
    </xf>
    <xf numFmtId="44" fontId="44" fillId="32" borderId="35" xfId="0" applyNumberFormat="1" applyFont="1" applyFill="1" applyBorder="1" applyAlignment="1">
      <alignment horizontal="center" vertical="center"/>
    </xf>
    <xf numFmtId="0" fontId="44" fillId="27" borderId="34" xfId="0" applyFont="1" applyFill="1" applyBorder="1" applyAlignment="1">
      <alignment horizontal="left" vertical="center"/>
    </xf>
    <xf numFmtId="173" fontId="44" fillId="27" borderId="35" xfId="0" applyNumberFormat="1" applyFont="1" applyFill="1" applyBorder="1" applyAlignment="1">
      <alignment horizontal="center" vertical="center"/>
    </xf>
    <xf numFmtId="0" fontId="44" fillId="31" borderId="34" xfId="0" applyFont="1" applyFill="1" applyBorder="1" applyAlignment="1">
      <alignment horizontal="left" vertical="center"/>
    </xf>
    <xf numFmtId="0" fontId="44" fillId="31" borderId="35" xfId="0" applyFont="1" applyFill="1" applyBorder="1" applyAlignment="1">
      <alignment horizontal="center" vertical="center"/>
    </xf>
    <xf numFmtId="0" fontId="44" fillId="35" borderId="34" xfId="0" applyFont="1" applyFill="1" applyBorder="1" applyAlignment="1">
      <alignment horizontal="left" vertical="center"/>
    </xf>
    <xf numFmtId="44" fontId="44" fillId="35" borderId="35" xfId="1" applyFont="1" applyFill="1" applyBorder="1" applyAlignment="1">
      <alignment horizontal="center" vertical="center"/>
    </xf>
    <xf numFmtId="0" fontId="44" fillId="28" borderId="34" xfId="0" applyFont="1" applyFill="1" applyBorder="1" applyAlignment="1">
      <alignment vertical="center"/>
    </xf>
    <xf numFmtId="44" fontId="44" fillId="28" borderId="35" xfId="1" applyFont="1" applyFill="1" applyBorder="1" applyAlignment="1">
      <alignment horizontal="center" vertical="center"/>
    </xf>
    <xf numFmtId="0" fontId="44" fillId="32" borderId="36" xfId="0" applyFont="1" applyFill="1" applyBorder="1" applyAlignment="1">
      <alignment horizontal="left" vertical="center"/>
    </xf>
    <xf numFmtId="44" fontId="44" fillId="32" borderId="37" xfId="0" applyNumberFormat="1" applyFont="1" applyFill="1" applyBorder="1" applyAlignment="1">
      <alignment horizontal="center" vertical="center"/>
    </xf>
    <xf numFmtId="44" fontId="44" fillId="28" borderId="20" xfId="1" applyFont="1" applyFill="1" applyBorder="1" applyAlignment="1">
      <alignment horizontal="center" vertical="center"/>
    </xf>
    <xf numFmtId="44" fontId="44" fillId="27" borderId="20" xfId="1" applyFont="1" applyFill="1" applyBorder="1" applyAlignment="1">
      <alignment horizontal="center" vertical="center"/>
    </xf>
    <xf numFmtId="0" fontId="44" fillId="28" borderId="40" xfId="0" applyFont="1" applyFill="1" applyBorder="1" applyAlignment="1">
      <alignment horizontal="center" vertical="center" wrapText="1"/>
    </xf>
    <xf numFmtId="0" fontId="44" fillId="22" borderId="40" xfId="0" applyFont="1" applyFill="1" applyBorder="1" applyAlignment="1">
      <alignment horizontal="center" vertical="center"/>
    </xf>
    <xf numFmtId="17" fontId="47" fillId="22" borderId="40" xfId="0" applyNumberFormat="1" applyFont="1" applyFill="1" applyBorder="1" applyAlignment="1">
      <alignment horizontal="center" vertical="center" wrapText="1"/>
    </xf>
    <xf numFmtId="1" fontId="47" fillId="22" borderId="40" xfId="0" applyNumberFormat="1" applyFont="1" applyFill="1" applyBorder="1" applyAlignment="1">
      <alignment horizontal="center" vertical="center"/>
    </xf>
    <xf numFmtId="44" fontId="47" fillId="22" borderId="40" xfId="1" applyFont="1" applyFill="1" applyBorder="1" applyAlignment="1">
      <alignment horizontal="center" vertical="center" wrapText="1"/>
    </xf>
    <xf numFmtId="0" fontId="52" fillId="0" borderId="0" xfId="166" applyFont="1" applyAlignment="1">
      <alignment vertical="center"/>
    </xf>
    <xf numFmtId="0" fontId="45" fillId="0" borderId="0" xfId="0" applyFont="1" applyAlignment="1">
      <alignment vertical="center"/>
    </xf>
    <xf numFmtId="44" fontId="47" fillId="0" borderId="4" xfId="1" applyFont="1" applyBorder="1" applyAlignment="1">
      <alignment vertical="center"/>
    </xf>
    <xf numFmtId="44" fontId="44" fillId="0" borderId="0" xfId="1" applyFont="1" applyAlignment="1">
      <alignment vertical="center"/>
    </xf>
    <xf numFmtId="44" fontId="47" fillId="0" borderId="0" xfId="0" applyNumberFormat="1" applyFont="1" applyAlignment="1">
      <alignment vertical="center"/>
    </xf>
    <xf numFmtId="44" fontId="44" fillId="0" borderId="0" xfId="0" applyNumberFormat="1" applyFont="1" applyAlignment="1">
      <alignment vertical="center"/>
    </xf>
    <xf numFmtId="44" fontId="47" fillId="0" borderId="27" xfId="1" applyFont="1" applyBorder="1" applyAlignment="1">
      <alignment vertical="center"/>
    </xf>
    <xf numFmtId="0" fontId="54" fillId="0" borderId="0" xfId="166" applyFont="1" applyAlignment="1">
      <alignment horizontal="left" vertical="center"/>
    </xf>
    <xf numFmtId="0" fontId="55" fillId="0" borderId="0" xfId="166" applyFont="1" applyAlignment="1">
      <alignment vertical="center"/>
    </xf>
    <xf numFmtId="44" fontId="47" fillId="0" borderId="0" xfId="1" applyFont="1" applyAlignment="1">
      <alignment vertical="center"/>
    </xf>
    <xf numFmtId="0" fontId="56" fillId="0" borderId="0" xfId="166" applyFont="1" applyAlignment="1">
      <alignment vertical="center"/>
    </xf>
    <xf numFmtId="0" fontId="56" fillId="0" borderId="0" xfId="166" applyFont="1" applyAlignment="1">
      <alignment horizontal="left" vertical="center"/>
    </xf>
    <xf numFmtId="0" fontId="55" fillId="0" borderId="0" xfId="166" applyFont="1" applyAlignment="1">
      <alignment horizontal="left" vertical="center"/>
    </xf>
    <xf numFmtId="0" fontId="55" fillId="24" borderId="28" xfId="166" applyFont="1" applyFill="1" applyBorder="1" applyAlignment="1">
      <alignment vertical="center"/>
    </xf>
    <xf numFmtId="44" fontId="47" fillId="41" borderId="5" xfId="1" applyFont="1" applyFill="1" applyBorder="1" applyAlignment="1">
      <alignment vertical="center"/>
    </xf>
    <xf numFmtId="44" fontId="47" fillId="41" borderId="7" xfId="1" applyFont="1" applyFill="1" applyBorder="1" applyAlignment="1">
      <alignment vertical="center"/>
    </xf>
    <xf numFmtId="44" fontId="47" fillId="0" borderId="5" xfId="1" applyFont="1" applyBorder="1" applyAlignment="1">
      <alignment vertical="center"/>
    </xf>
    <xf numFmtId="44" fontId="47" fillId="0" borderId="7" xfId="1" applyFont="1" applyBorder="1" applyAlignment="1">
      <alignment vertical="center"/>
    </xf>
    <xf numFmtId="0" fontId="47" fillId="22" borderId="5" xfId="166" applyFont="1" applyFill="1" applyBorder="1" applyAlignment="1">
      <alignment vertical="center"/>
    </xf>
    <xf numFmtId="44" fontId="55" fillId="0" borderId="5" xfId="1" applyFont="1" applyBorder="1" applyAlignment="1">
      <alignment vertical="center"/>
    </xf>
    <xf numFmtId="44" fontId="55" fillId="0" borderId="7" xfId="1" applyFont="1" applyBorder="1" applyAlignment="1">
      <alignment vertical="center"/>
    </xf>
    <xf numFmtId="44" fontId="55" fillId="0" borderId="0" xfId="1" applyFont="1" applyAlignment="1">
      <alignment vertical="center"/>
    </xf>
    <xf numFmtId="169" fontId="47" fillId="0" borderId="0" xfId="0" applyNumberFormat="1" applyFont="1" applyAlignment="1">
      <alignment vertical="center"/>
    </xf>
    <xf numFmtId="0" fontId="47" fillId="0" borderId="0" xfId="166" applyFont="1" applyAlignment="1">
      <alignment vertical="center"/>
    </xf>
    <xf numFmtId="44" fontId="55" fillId="0" borderId="0" xfId="202" applyNumberFormat="1" applyFont="1" applyBorder="1" applyAlignment="1">
      <alignment horizontal="center" vertical="center"/>
    </xf>
    <xf numFmtId="2" fontId="47" fillId="0" borderId="0" xfId="202" applyNumberFormat="1" applyFont="1" applyBorder="1" applyAlignment="1">
      <alignment horizontal="center" vertical="center"/>
    </xf>
    <xf numFmtId="0" fontId="57" fillId="0" borderId="0" xfId="166" applyFont="1" applyAlignment="1">
      <alignment horizontal="center" vertical="center"/>
    </xf>
    <xf numFmtId="0" fontId="53" fillId="0" borderId="0" xfId="0" applyFont="1" applyAlignment="1">
      <alignment vertical="center" wrapText="1"/>
    </xf>
    <xf numFmtId="0" fontId="58" fillId="0" borderId="0" xfId="166" applyFont="1" applyAlignment="1">
      <alignment horizontal="center" vertical="center"/>
    </xf>
    <xf numFmtId="0" fontId="54" fillId="24" borderId="5" xfId="166" applyFont="1" applyFill="1" applyBorder="1" applyAlignment="1">
      <alignment horizontal="left" vertical="center"/>
    </xf>
    <xf numFmtId="0" fontId="54" fillId="24" borderId="28" xfId="166" applyFont="1" applyFill="1" applyBorder="1" applyAlignment="1">
      <alignment horizontal="left" vertical="center"/>
    </xf>
    <xf numFmtId="0" fontId="47" fillId="0" borderId="0" xfId="166" applyFont="1" applyAlignment="1">
      <alignment horizontal="center" vertical="center"/>
    </xf>
    <xf numFmtId="44" fontId="47" fillId="0" borderId="0" xfId="166" applyNumberFormat="1" applyFont="1" applyAlignment="1">
      <alignment horizontal="center" vertical="center"/>
    </xf>
    <xf numFmtId="44" fontId="47" fillId="0" borderId="0" xfId="166" applyNumberFormat="1" applyFont="1" applyAlignment="1">
      <alignment vertical="center"/>
    </xf>
    <xf numFmtId="171" fontId="47" fillId="0" borderId="0" xfId="166" applyNumberFormat="1" applyFont="1" applyAlignment="1">
      <alignment horizontal="center" vertical="center"/>
    </xf>
    <xf numFmtId="172" fontId="47" fillId="0" borderId="0" xfId="202" applyNumberFormat="1" applyFont="1" applyBorder="1" applyAlignment="1">
      <alignment horizontal="center" vertical="center"/>
    </xf>
    <xf numFmtId="173" fontId="47" fillId="0" borderId="0" xfId="201" applyNumberFormat="1" applyFont="1" applyBorder="1" applyAlignment="1">
      <alignment horizontal="center" vertical="center"/>
    </xf>
    <xf numFmtId="174" fontId="47" fillId="0" borderId="0" xfId="166" applyNumberFormat="1" applyFont="1" applyAlignment="1">
      <alignment horizontal="center" vertical="center"/>
    </xf>
    <xf numFmtId="44" fontId="44" fillId="27" borderId="0" xfId="1" applyFont="1" applyFill="1" applyAlignment="1">
      <alignment vertical="center"/>
    </xf>
    <xf numFmtId="0" fontId="10" fillId="47" borderId="22" xfId="0" applyFont="1" applyFill="1" applyBorder="1" applyAlignment="1">
      <alignment horizontal="center" vertical="center" wrapText="1"/>
    </xf>
    <xf numFmtId="0" fontId="10" fillId="48" borderId="22" xfId="0" applyFont="1" applyFill="1" applyBorder="1" applyAlignment="1">
      <alignment horizontal="center" vertical="center" wrapText="1"/>
    </xf>
    <xf numFmtId="0" fontId="25" fillId="48" borderId="22" xfId="0" applyFont="1" applyFill="1" applyBorder="1" applyAlignment="1">
      <alignment horizontal="center" vertical="center" wrapText="1" readingOrder="1"/>
    </xf>
    <xf numFmtId="0" fontId="10" fillId="23" borderId="22" xfId="0" applyFont="1" applyFill="1" applyBorder="1" applyAlignment="1">
      <alignment horizontal="center" vertical="center" wrapText="1"/>
    </xf>
    <xf numFmtId="44" fontId="9" fillId="44" borderId="22" xfId="0" applyNumberFormat="1" applyFont="1" applyFill="1" applyBorder="1" applyAlignment="1">
      <alignment vertical="center"/>
    </xf>
    <xf numFmtId="0" fontId="9" fillId="31" borderId="0" xfId="0" applyFont="1" applyFill="1" applyAlignment="1">
      <alignment horizontal="center" vertical="center"/>
    </xf>
    <xf numFmtId="0" fontId="9" fillId="44" borderId="0" xfId="0" applyFont="1" applyFill="1" applyAlignment="1">
      <alignment horizontal="center" vertical="center"/>
    </xf>
    <xf numFmtId="44" fontId="9" fillId="0" borderId="0" xfId="1" applyFont="1" applyAlignment="1">
      <alignment horizontal="left" vertical="center"/>
    </xf>
    <xf numFmtId="0" fontId="25" fillId="49" borderId="26" xfId="0" applyFont="1" applyFill="1" applyBorder="1" applyAlignment="1">
      <alignment horizontal="center" vertical="center" wrapText="1"/>
    </xf>
    <xf numFmtId="0" fontId="25" fillId="49" borderId="31" xfId="0" applyFont="1" applyFill="1" applyBorder="1" applyAlignment="1">
      <alignment horizontal="center" vertical="center" wrapText="1"/>
    </xf>
    <xf numFmtId="0" fontId="25" fillId="50" borderId="31" xfId="0" applyFont="1" applyFill="1" applyBorder="1" applyAlignment="1">
      <alignment horizontal="center" vertical="center" wrapText="1"/>
    </xf>
    <xf numFmtId="0" fontId="25" fillId="50" borderId="31" xfId="0" applyFont="1" applyFill="1" applyBorder="1" applyAlignment="1">
      <alignment horizontal="center" vertical="center" wrapText="1" readingOrder="1"/>
    </xf>
    <xf numFmtId="0" fontId="25" fillId="51" borderId="31" xfId="0" applyFont="1" applyFill="1" applyBorder="1" applyAlignment="1">
      <alignment horizontal="center" vertical="center" wrapText="1"/>
    </xf>
    <xf numFmtId="44" fontId="27" fillId="28" borderId="0" xfId="1" applyFont="1" applyFill="1" applyBorder="1" applyAlignment="1">
      <alignment horizontal="right" vertical="center"/>
    </xf>
    <xf numFmtId="44" fontId="9" fillId="28" borderId="0" xfId="1" applyFont="1" applyFill="1" applyBorder="1" applyAlignment="1" applyProtection="1">
      <alignment horizontal="center" vertical="center"/>
    </xf>
    <xf numFmtId="44" fontId="9" fillId="28" borderId="0" xfId="1" applyFont="1" applyFill="1" applyBorder="1" applyAlignment="1">
      <alignment horizontal="center" vertical="center"/>
    </xf>
    <xf numFmtId="0" fontId="9" fillId="28" borderId="10" xfId="0" applyFont="1" applyFill="1" applyBorder="1" applyAlignment="1">
      <alignment horizontal="center" vertical="center"/>
    </xf>
    <xf numFmtId="44" fontId="17" fillId="0" borderId="0" xfId="1" applyFont="1" applyAlignment="1">
      <alignment horizontal="center" vertical="center" wrapText="1"/>
    </xf>
    <xf numFmtId="44" fontId="9" fillId="0" borderId="15" xfId="1" applyFont="1" applyBorder="1" applyAlignment="1">
      <alignment horizontal="left" vertical="center"/>
    </xf>
    <xf numFmtId="10" fontId="17" fillId="34" borderId="12" xfId="202" applyNumberFormat="1" applyFont="1" applyFill="1" applyBorder="1" applyAlignment="1">
      <alignment horizontal="center" vertical="center"/>
    </xf>
    <xf numFmtId="44" fontId="44" fillId="24" borderId="20" xfId="1" applyFont="1" applyFill="1" applyBorder="1" applyAlignment="1">
      <alignment vertical="center"/>
    </xf>
    <xf numFmtId="44" fontId="44" fillId="24" borderId="33" xfId="1" applyFont="1" applyFill="1" applyBorder="1" applyAlignment="1">
      <alignment vertical="center"/>
    </xf>
    <xf numFmtId="44" fontId="44" fillId="24" borderId="21" xfId="1" applyFont="1" applyFill="1" applyBorder="1" applyAlignment="1">
      <alignment vertical="center"/>
    </xf>
    <xf numFmtId="0" fontId="54" fillId="0" borderId="42" xfId="166" applyFont="1" applyBorder="1" applyAlignment="1">
      <alignment horizontal="right" vertical="center"/>
    </xf>
    <xf numFmtId="44" fontId="44" fillId="0" borderId="43" xfId="0" applyNumberFormat="1" applyFont="1" applyBorder="1" applyAlignment="1">
      <alignment vertical="center"/>
    </xf>
    <xf numFmtId="0" fontId="56" fillId="0" borderId="44" xfId="166" applyFont="1" applyBorder="1" applyAlignment="1">
      <alignment horizontal="right" vertical="center"/>
    </xf>
    <xf numFmtId="44" fontId="44" fillId="0" borderId="45" xfId="0" applyNumberFormat="1" applyFont="1" applyBorder="1" applyAlignment="1">
      <alignment vertical="center"/>
    </xf>
    <xf numFmtId="0" fontId="59" fillId="0" borderId="46" xfId="166" applyFont="1" applyBorder="1" applyAlignment="1">
      <alignment horizontal="right" vertical="center"/>
    </xf>
    <xf numFmtId="44" fontId="44" fillId="0" borderId="47" xfId="0" applyNumberFormat="1" applyFont="1" applyBorder="1" applyAlignment="1">
      <alignment vertical="center"/>
    </xf>
    <xf numFmtId="0" fontId="10" fillId="27" borderId="0" xfId="0" applyFont="1" applyFill="1" applyAlignment="1">
      <alignment horizontal="center" vertical="center"/>
    </xf>
    <xf numFmtId="0" fontId="10" fillId="45" borderId="0" xfId="0" applyFont="1" applyFill="1" applyAlignment="1">
      <alignment horizontal="center" vertical="center"/>
    </xf>
    <xf numFmtId="17" fontId="24" fillId="42" borderId="22" xfId="0" applyNumberFormat="1" applyFont="1" applyFill="1" applyBorder="1" applyAlignment="1">
      <alignment horizontal="center" vertical="center" wrapText="1"/>
    </xf>
    <xf numFmtId="0" fontId="21" fillId="43" borderId="22" xfId="0" applyFont="1" applyFill="1" applyBorder="1" applyAlignment="1">
      <alignment horizontal="center" vertical="center" wrapText="1"/>
    </xf>
    <xf numFmtId="1" fontId="47" fillId="0" borderId="40" xfId="0" applyNumberFormat="1" applyFont="1" applyBorder="1" applyAlignment="1">
      <alignment horizontal="center" vertical="center"/>
    </xf>
    <xf numFmtId="0" fontId="44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9" fillId="52" borderId="22" xfId="0" applyFont="1" applyFill="1" applyBorder="1" applyAlignment="1">
      <alignment vertical="center"/>
    </xf>
    <xf numFmtId="0" fontId="27" fillId="52" borderId="22" xfId="2" applyFont="1" applyFill="1" applyBorder="1" applyAlignment="1">
      <alignment horizontal="center" vertical="center"/>
    </xf>
    <xf numFmtId="0" fontId="9" fillId="53" borderId="22" xfId="0" applyFont="1" applyFill="1" applyBorder="1" applyAlignment="1">
      <alignment horizontal="left" vertical="center"/>
    </xf>
    <xf numFmtId="44" fontId="47" fillId="22" borderId="0" xfId="0" applyNumberFormat="1" applyFont="1" applyFill="1" applyAlignment="1">
      <alignment horizontal="center" vertical="center"/>
    </xf>
    <xf numFmtId="44" fontId="47" fillId="0" borderId="0" xfId="0" applyNumberFormat="1" applyFont="1"/>
    <xf numFmtId="43" fontId="9" fillId="0" borderId="0" xfId="0" applyNumberFormat="1" applyFont="1" applyAlignment="1">
      <alignment vertical="center"/>
    </xf>
    <xf numFmtId="44" fontId="44" fillId="0" borderId="0" xfId="0" applyNumberFormat="1" applyFont="1" applyAlignment="1">
      <alignment vertical="center" wrapText="1"/>
    </xf>
    <xf numFmtId="0" fontId="60" fillId="0" borderId="22" xfId="0" applyFont="1" applyBorder="1" applyAlignment="1">
      <alignment horizontal="left" vertical="center" wrapText="1"/>
    </xf>
    <xf numFmtId="0" fontId="62" fillId="28" borderId="2" xfId="0" applyFont="1" applyFill="1" applyBorder="1" applyAlignment="1">
      <alignment horizontal="center" vertical="center"/>
    </xf>
    <xf numFmtId="44" fontId="62" fillId="37" borderId="2" xfId="1" applyFont="1" applyFill="1" applyBorder="1" applyAlignment="1">
      <alignment horizontal="center" vertical="center" wrapText="1"/>
    </xf>
    <xf numFmtId="0" fontId="63" fillId="22" borderId="2" xfId="0" applyFont="1" applyFill="1" applyBorder="1" applyAlignment="1">
      <alignment horizontal="center" vertical="center"/>
    </xf>
    <xf numFmtId="44" fontId="63" fillId="0" borderId="2" xfId="1" applyFont="1" applyFill="1" applyBorder="1" applyAlignment="1">
      <alignment horizontal="left" vertical="center" wrapText="1"/>
    </xf>
    <xf numFmtId="2" fontId="63" fillId="22" borderId="3" xfId="0" applyNumberFormat="1" applyFont="1" applyFill="1" applyBorder="1" applyAlignment="1">
      <alignment horizontal="center" vertical="center" wrapText="1"/>
    </xf>
    <xf numFmtId="44" fontId="64" fillId="0" borderId="2" xfId="1" applyFont="1" applyFill="1" applyBorder="1" applyAlignment="1">
      <alignment horizontal="left" vertical="center" wrapText="1"/>
    </xf>
    <xf numFmtId="0" fontId="43" fillId="29" borderId="0" xfId="0" applyFont="1" applyFill="1" applyAlignment="1">
      <alignment vertical="center"/>
    </xf>
    <xf numFmtId="0" fontId="10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9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61" fillId="54" borderId="48" xfId="0" applyFont="1" applyFill="1" applyBorder="1" applyAlignment="1">
      <alignment horizontal="center" vertical="center"/>
    </xf>
    <xf numFmtId="0" fontId="61" fillId="54" borderId="6" xfId="0" applyFont="1" applyFill="1" applyBorder="1" applyAlignment="1">
      <alignment horizontal="center" vertical="center"/>
    </xf>
    <xf numFmtId="0" fontId="61" fillId="54" borderId="12" xfId="0" applyFont="1" applyFill="1" applyBorder="1" applyAlignment="1">
      <alignment horizontal="center" vertical="center"/>
    </xf>
    <xf numFmtId="0" fontId="61" fillId="54" borderId="0" xfId="0" applyFont="1" applyFill="1" applyAlignment="1">
      <alignment horizontal="center" vertical="center"/>
    </xf>
    <xf numFmtId="0" fontId="50" fillId="33" borderId="40" xfId="0" applyFont="1" applyFill="1" applyBorder="1" applyAlignment="1">
      <alignment horizontal="right" vertical="center" wrapText="1"/>
    </xf>
    <xf numFmtId="2" fontId="10" fillId="22" borderId="40" xfId="0" applyNumberFormat="1" applyFont="1" applyFill="1" applyBorder="1" applyAlignment="1">
      <alignment horizontal="left" vertical="center" wrapText="1"/>
    </xf>
    <xf numFmtId="0" fontId="44" fillId="22" borderId="40" xfId="0" applyFont="1" applyFill="1" applyBorder="1" applyAlignment="1">
      <alignment horizontal="left" vertical="center" wrapText="1"/>
    </xf>
    <xf numFmtId="0" fontId="44" fillId="28" borderId="40" xfId="0" applyFont="1" applyFill="1" applyBorder="1" applyAlignment="1">
      <alignment horizontal="center" vertical="center" wrapText="1"/>
    </xf>
    <xf numFmtId="0" fontId="10" fillId="0" borderId="40" xfId="0" applyFont="1" applyBorder="1" applyAlignment="1">
      <alignment horizontal="center" vertical="center" wrapText="1"/>
    </xf>
    <xf numFmtId="0" fontId="44" fillId="0" borderId="40" xfId="0" applyFont="1" applyBorder="1" applyAlignment="1">
      <alignment horizontal="center" vertical="center" wrapText="1"/>
    </xf>
    <xf numFmtId="0" fontId="44" fillId="22" borderId="2" xfId="0" applyFont="1" applyFill="1" applyBorder="1" applyAlignment="1">
      <alignment horizontal="left" vertical="center"/>
    </xf>
    <xf numFmtId="0" fontId="10" fillId="22" borderId="40" xfId="0" applyFont="1" applyFill="1" applyBorder="1" applyAlignment="1">
      <alignment horizontal="left" vertical="center" wrapText="1"/>
    </xf>
    <xf numFmtId="0" fontId="51" fillId="46" borderId="32" xfId="397" applyFont="1" applyFill="1" applyBorder="1" applyAlignment="1">
      <alignment horizontal="left" vertical="center" wrapText="1"/>
    </xf>
    <xf numFmtId="0" fontId="51" fillId="46" borderId="11" xfId="397" applyFont="1" applyFill="1" applyBorder="1" applyAlignment="1">
      <alignment horizontal="left" vertical="center" wrapText="1"/>
    </xf>
    <xf numFmtId="0" fontId="51" fillId="46" borderId="8" xfId="397" applyFont="1" applyFill="1" applyBorder="1" applyAlignment="1">
      <alignment horizontal="left" vertical="center" wrapText="1"/>
    </xf>
    <xf numFmtId="0" fontId="51" fillId="46" borderId="9" xfId="397" applyFont="1" applyFill="1" applyBorder="1" applyAlignment="1">
      <alignment horizontal="left" vertical="center" wrapText="1"/>
    </xf>
    <xf numFmtId="15" fontId="44" fillId="27" borderId="20" xfId="0" applyNumberFormat="1" applyFont="1" applyFill="1" applyBorder="1" applyAlignment="1">
      <alignment horizontal="center" vertical="center"/>
    </xf>
    <xf numFmtId="15" fontId="44" fillId="27" borderId="21" xfId="0" applyNumberFormat="1" applyFont="1" applyFill="1" applyBorder="1" applyAlignment="1">
      <alignment horizontal="center" vertical="center"/>
    </xf>
    <xf numFmtId="15" fontId="44" fillId="28" borderId="20" xfId="0" applyNumberFormat="1" applyFont="1" applyFill="1" applyBorder="1" applyAlignment="1">
      <alignment horizontal="center" vertical="center"/>
    </xf>
    <xf numFmtId="15" fontId="44" fillId="28" borderId="21" xfId="0" applyNumberFormat="1" applyFont="1" applyFill="1" applyBorder="1" applyAlignment="1">
      <alignment horizontal="center" vertical="center"/>
    </xf>
    <xf numFmtId="0" fontId="44" fillId="28" borderId="38" xfId="0" applyFont="1" applyFill="1" applyBorder="1" applyAlignment="1">
      <alignment horizontal="center" vertical="center"/>
    </xf>
    <xf numFmtId="0" fontId="44" fillId="28" borderId="39" xfId="0" applyFont="1" applyFill="1" applyBorder="1" applyAlignment="1">
      <alignment horizontal="center" vertical="center"/>
    </xf>
    <xf numFmtId="0" fontId="50" fillId="24" borderId="40" xfId="0" applyFont="1" applyFill="1" applyBorder="1" applyAlignment="1">
      <alignment horizontal="right" vertical="center" wrapText="1"/>
    </xf>
    <xf numFmtId="0" fontId="47" fillId="0" borderId="0" xfId="166" applyFont="1" applyAlignment="1">
      <alignment horizontal="left" vertical="center"/>
    </xf>
    <xf numFmtId="0" fontId="47" fillId="27" borderId="0" xfId="0" applyFont="1" applyFill="1" applyAlignment="1">
      <alignment horizontal="center" vertical="center" wrapText="1"/>
    </xf>
    <xf numFmtId="0" fontId="47" fillId="0" borderId="0" xfId="166" applyFont="1" applyAlignment="1">
      <alignment horizontal="center" vertical="center"/>
    </xf>
    <xf numFmtId="0" fontId="12" fillId="0" borderId="22" xfId="0" applyFont="1" applyBorder="1" applyAlignment="1">
      <alignment horizontal="left" vertical="center" wrapText="1"/>
    </xf>
    <xf numFmtId="0" fontId="15" fillId="0" borderId="22" xfId="0" applyFont="1" applyBorder="1" applyAlignment="1">
      <alignment horizontal="left" vertical="center" wrapText="1"/>
    </xf>
    <xf numFmtId="0" fontId="15" fillId="0" borderId="0" xfId="0" applyFont="1" applyAlignment="1">
      <alignment horizontal="center" vertical="center" wrapText="1"/>
    </xf>
    <xf numFmtId="0" fontId="13" fillId="25" borderId="0" xfId="0" applyFont="1" applyFill="1" applyAlignment="1">
      <alignment horizontal="center" vertical="center" wrapText="1"/>
    </xf>
    <xf numFmtId="0" fontId="15" fillId="0" borderId="22" xfId="0" applyFont="1" applyBorder="1" applyAlignment="1">
      <alignment horizontal="left" vertical="center"/>
    </xf>
    <xf numFmtId="0" fontId="15" fillId="0" borderId="29" xfId="0" applyFont="1" applyBorder="1" applyAlignment="1">
      <alignment horizontal="left" vertical="center"/>
    </xf>
    <xf numFmtId="0" fontId="15" fillId="0" borderId="30" xfId="0" applyFont="1" applyBorder="1" applyAlignment="1">
      <alignment horizontal="left" vertical="center"/>
    </xf>
    <xf numFmtId="0" fontId="41" fillId="23" borderId="0" xfId="0" applyFont="1" applyFill="1" applyAlignment="1">
      <alignment horizontal="center" vertical="center" wrapText="1"/>
    </xf>
    <xf numFmtId="0" fontId="25" fillId="28" borderId="22" xfId="0" applyFont="1" applyFill="1" applyBorder="1" applyAlignment="1">
      <alignment horizontal="center" vertical="center" wrapText="1" readingOrder="1"/>
    </xf>
    <xf numFmtId="0" fontId="17" fillId="23" borderId="22" xfId="2" applyFont="1" applyFill="1" applyBorder="1" applyAlignment="1">
      <alignment horizontal="center" vertical="center" wrapText="1"/>
    </xf>
    <xf numFmtId="0" fontId="25" fillId="48" borderId="22" xfId="0" applyFont="1" applyFill="1" applyBorder="1" applyAlignment="1">
      <alignment horizontal="center" vertical="center" wrapText="1" readingOrder="1"/>
    </xf>
    <xf numFmtId="0" fontId="25" fillId="47" borderId="22" xfId="0" applyFont="1" applyFill="1" applyBorder="1" applyAlignment="1">
      <alignment horizontal="center" vertical="center" wrapText="1" readingOrder="1"/>
    </xf>
    <xf numFmtId="0" fontId="22" fillId="24" borderId="0" xfId="0" applyFont="1" applyFill="1" applyAlignment="1">
      <alignment horizontal="center" vertical="center"/>
    </xf>
    <xf numFmtId="0" fontId="25" fillId="48" borderId="24" xfId="0" applyFont="1" applyFill="1" applyBorder="1" applyAlignment="1">
      <alignment horizontal="center" vertical="center" wrapText="1" readingOrder="1"/>
    </xf>
    <xf numFmtId="0" fontId="25" fillId="48" borderId="26" xfId="0" applyFont="1" applyFill="1" applyBorder="1" applyAlignment="1">
      <alignment horizontal="center" vertical="center" wrapText="1" readingOrder="1"/>
    </xf>
    <xf numFmtId="0" fontId="17" fillId="28" borderId="22" xfId="2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10" fillId="31" borderId="22" xfId="0" applyFont="1" applyFill="1" applyBorder="1" applyAlignment="1">
      <alignment horizontal="center" vertical="center"/>
    </xf>
    <xf numFmtId="0" fontId="10" fillId="31" borderId="22" xfId="0" applyFont="1" applyFill="1" applyBorder="1" applyAlignment="1">
      <alignment horizontal="center" vertical="center" wrapText="1"/>
    </xf>
    <xf numFmtId="0" fontId="10" fillId="44" borderId="22" xfId="0" applyFont="1" applyFill="1" applyBorder="1" applyAlignment="1">
      <alignment horizontal="center" vertical="center" wrapText="1"/>
    </xf>
    <xf numFmtId="0" fontId="10" fillId="38" borderId="22" xfId="0" applyFont="1" applyFill="1" applyBorder="1" applyAlignment="1">
      <alignment horizontal="center" vertical="center"/>
    </xf>
    <xf numFmtId="4" fontId="17" fillId="28" borderId="22" xfId="0" applyNumberFormat="1" applyFont="1" applyFill="1" applyBorder="1" applyAlignment="1">
      <alignment horizontal="center" vertical="center" wrapText="1"/>
    </xf>
    <xf numFmtId="0" fontId="17" fillId="28" borderId="22" xfId="2" applyFont="1" applyFill="1" applyBorder="1" applyAlignment="1">
      <alignment horizontal="center" vertical="center"/>
    </xf>
    <xf numFmtId="0" fontId="10" fillId="44" borderId="24" xfId="0" applyFont="1" applyFill="1" applyBorder="1" applyAlignment="1">
      <alignment horizontal="center" vertical="center" wrapText="1"/>
    </xf>
    <xf numFmtId="0" fontId="10" fillId="44" borderId="25" xfId="0" applyFont="1" applyFill="1" applyBorder="1" applyAlignment="1">
      <alignment horizontal="center" vertical="center" wrapText="1"/>
    </xf>
    <xf numFmtId="0" fontId="10" fillId="44" borderId="26" xfId="0" applyFont="1" applyFill="1" applyBorder="1" applyAlignment="1">
      <alignment horizontal="center" vertical="center" wrapText="1"/>
    </xf>
    <xf numFmtId="0" fontId="10" fillId="28" borderId="22" xfId="2" applyFont="1" applyFill="1" applyBorder="1" applyAlignment="1">
      <alignment horizontal="center" vertical="center" wrapText="1"/>
    </xf>
    <xf numFmtId="0" fontId="17" fillId="28" borderId="22" xfId="0" applyFont="1" applyFill="1" applyBorder="1" applyAlignment="1">
      <alignment horizontal="center" vertical="center" wrapText="1"/>
    </xf>
    <xf numFmtId="0" fontId="35" fillId="24" borderId="22" xfId="0" applyFont="1" applyFill="1" applyBorder="1" applyAlignment="1">
      <alignment horizontal="center" vertical="center"/>
    </xf>
    <xf numFmtId="0" fontId="25" fillId="49" borderId="24" xfId="0" applyFont="1" applyFill="1" applyBorder="1" applyAlignment="1">
      <alignment horizontal="center" vertical="center" wrapText="1" readingOrder="1"/>
    </xf>
    <xf numFmtId="0" fontId="25" fillId="49" borderId="26" xfId="0" applyFont="1" applyFill="1" applyBorder="1" applyAlignment="1">
      <alignment horizontal="center" vertical="center" wrapText="1" readingOrder="1"/>
    </xf>
    <xf numFmtId="0" fontId="25" fillId="50" borderId="24" xfId="0" applyFont="1" applyFill="1" applyBorder="1" applyAlignment="1">
      <alignment horizontal="center" vertical="center" wrapText="1" readingOrder="1"/>
    </xf>
    <xf numFmtId="0" fontId="25" fillId="50" borderId="41" xfId="0" applyFont="1" applyFill="1" applyBorder="1" applyAlignment="1">
      <alignment horizontal="center" vertical="center" wrapText="1" readingOrder="1"/>
    </xf>
    <xf numFmtId="0" fontId="17" fillId="51" borderId="24" xfId="0" applyFont="1" applyFill="1" applyBorder="1" applyAlignment="1">
      <alignment horizontal="center" vertical="center" wrapText="1"/>
    </xf>
    <xf numFmtId="0" fontId="17" fillId="51" borderId="26" xfId="0" applyFont="1" applyFill="1" applyBorder="1" applyAlignment="1">
      <alignment horizontal="center" vertical="center" wrapText="1"/>
    </xf>
    <xf numFmtId="0" fontId="17" fillId="28" borderId="24" xfId="0" applyFont="1" applyFill="1" applyBorder="1" applyAlignment="1">
      <alignment horizontal="center" vertical="center" wrapText="1"/>
    </xf>
    <xf numFmtId="0" fontId="10" fillId="28" borderId="22" xfId="0" applyFont="1" applyFill="1" applyBorder="1" applyAlignment="1">
      <alignment horizontal="center" vertical="center" wrapText="1"/>
    </xf>
    <xf numFmtId="0" fontId="17" fillId="28" borderId="25" xfId="0" applyFont="1" applyFill="1" applyBorder="1" applyAlignment="1">
      <alignment horizontal="center" vertical="center" wrapText="1"/>
    </xf>
    <xf numFmtId="0" fontId="17" fillId="28" borderId="26" xfId="0" applyFont="1" applyFill="1" applyBorder="1" applyAlignment="1">
      <alignment horizontal="center" vertical="center" wrapText="1"/>
    </xf>
    <xf numFmtId="0" fontId="10" fillId="28" borderId="0" xfId="2" applyFont="1" applyFill="1" applyAlignment="1">
      <alignment horizontal="center" vertical="center" wrapText="1"/>
    </xf>
    <xf numFmtId="0" fontId="10" fillId="28" borderId="23" xfId="2" applyFont="1" applyFill="1" applyBorder="1" applyAlignment="1">
      <alignment horizontal="center" vertical="center" wrapText="1"/>
    </xf>
    <xf numFmtId="0" fontId="15" fillId="0" borderId="22" xfId="0" applyFont="1" applyBorder="1" applyAlignment="1">
      <alignment horizontal="center"/>
    </xf>
    <xf numFmtId="0" fontId="10" fillId="40" borderId="22" xfId="0" applyFont="1" applyFill="1" applyBorder="1" applyAlignment="1">
      <alignment horizontal="center" vertical="center"/>
    </xf>
    <xf numFmtId="44" fontId="10" fillId="40" borderId="22" xfId="0" applyNumberFormat="1" applyFont="1" applyFill="1" applyBorder="1" applyAlignment="1">
      <alignment horizontal="center" vertical="center"/>
    </xf>
    <xf numFmtId="0" fontId="17" fillId="28" borderId="0" xfId="0" applyFont="1" applyFill="1" applyAlignment="1">
      <alignment horizontal="center" vertical="center" wrapText="1"/>
    </xf>
    <xf numFmtId="0" fontId="17" fillId="28" borderId="23" xfId="0" applyFont="1" applyFill="1" applyBorder="1" applyAlignment="1">
      <alignment horizontal="center" vertical="center" wrapText="1"/>
    </xf>
  </cellXfs>
  <cellStyles count="398">
    <cellStyle name="20% - Énfasis1 2" xfId="49" xr:uid="{00000000-0005-0000-0000-000000000000}"/>
    <cellStyle name="20% - Énfasis1 2 2" xfId="50" xr:uid="{00000000-0005-0000-0000-000001000000}"/>
    <cellStyle name="20% - Énfasis1 2 2 2" xfId="79" xr:uid="{00000000-0005-0000-0000-000002000000}"/>
    <cellStyle name="20% - Énfasis1 2 2 3" xfId="106" xr:uid="{00000000-0005-0000-0000-000003000000}"/>
    <cellStyle name="20% - Énfasis1 2 2 4" xfId="107" xr:uid="{00000000-0005-0000-0000-000004000000}"/>
    <cellStyle name="20% - Énfasis1 2 3" xfId="78" xr:uid="{00000000-0005-0000-0000-000005000000}"/>
    <cellStyle name="20% - Énfasis1 2 4" xfId="108" xr:uid="{00000000-0005-0000-0000-000006000000}"/>
    <cellStyle name="20% - Énfasis1 2 5" xfId="109" xr:uid="{00000000-0005-0000-0000-000007000000}"/>
    <cellStyle name="20% - Énfasis2 2" xfId="51" xr:uid="{00000000-0005-0000-0000-000008000000}"/>
    <cellStyle name="20% - Énfasis2 2 2" xfId="52" xr:uid="{00000000-0005-0000-0000-000009000000}"/>
    <cellStyle name="20% - Énfasis2 2 2 2" xfId="81" xr:uid="{00000000-0005-0000-0000-00000A000000}"/>
    <cellStyle name="20% - Énfasis2 2 2 3" xfId="110" xr:uid="{00000000-0005-0000-0000-00000B000000}"/>
    <cellStyle name="20% - Énfasis2 2 2 4" xfId="111" xr:uid="{00000000-0005-0000-0000-00000C000000}"/>
    <cellStyle name="20% - Énfasis2 2 3" xfId="80" xr:uid="{00000000-0005-0000-0000-00000D000000}"/>
    <cellStyle name="20% - Énfasis2 2 4" xfId="112" xr:uid="{00000000-0005-0000-0000-00000E000000}"/>
    <cellStyle name="20% - Énfasis2 2 5" xfId="113" xr:uid="{00000000-0005-0000-0000-00000F000000}"/>
    <cellStyle name="20% - Énfasis3 2" xfId="53" xr:uid="{00000000-0005-0000-0000-000010000000}"/>
    <cellStyle name="20% - Énfasis3 2 2" xfId="54" xr:uid="{00000000-0005-0000-0000-000011000000}"/>
    <cellStyle name="20% - Énfasis3 2 2 2" xfId="83" xr:uid="{00000000-0005-0000-0000-000012000000}"/>
    <cellStyle name="20% - Énfasis3 2 2 3" xfId="114" xr:uid="{00000000-0005-0000-0000-000013000000}"/>
    <cellStyle name="20% - Énfasis3 2 2 4" xfId="115" xr:uid="{00000000-0005-0000-0000-000014000000}"/>
    <cellStyle name="20% - Énfasis3 2 3" xfId="82" xr:uid="{00000000-0005-0000-0000-000015000000}"/>
    <cellStyle name="20% - Énfasis3 2 4" xfId="116" xr:uid="{00000000-0005-0000-0000-000016000000}"/>
    <cellStyle name="20% - Énfasis3 2 5" xfId="117" xr:uid="{00000000-0005-0000-0000-000017000000}"/>
    <cellStyle name="20% - Énfasis4 2" xfId="55" xr:uid="{00000000-0005-0000-0000-000018000000}"/>
    <cellStyle name="20% - Énfasis4 2 2" xfId="56" xr:uid="{00000000-0005-0000-0000-000019000000}"/>
    <cellStyle name="20% - Énfasis4 2 2 2" xfId="85" xr:uid="{00000000-0005-0000-0000-00001A000000}"/>
    <cellStyle name="20% - Énfasis4 2 2 3" xfId="118" xr:uid="{00000000-0005-0000-0000-00001B000000}"/>
    <cellStyle name="20% - Énfasis4 2 2 4" xfId="119" xr:uid="{00000000-0005-0000-0000-00001C000000}"/>
    <cellStyle name="20% - Énfasis4 2 3" xfId="84" xr:uid="{00000000-0005-0000-0000-00001D000000}"/>
    <cellStyle name="20% - Énfasis4 2 4" xfId="120" xr:uid="{00000000-0005-0000-0000-00001E000000}"/>
    <cellStyle name="20% - Énfasis4 2 5" xfId="121" xr:uid="{00000000-0005-0000-0000-00001F000000}"/>
    <cellStyle name="20% - Énfasis5 2" xfId="57" xr:uid="{00000000-0005-0000-0000-000020000000}"/>
    <cellStyle name="20% - Énfasis5 2 2" xfId="58" xr:uid="{00000000-0005-0000-0000-000021000000}"/>
    <cellStyle name="20% - Énfasis5 2 2 2" xfId="87" xr:uid="{00000000-0005-0000-0000-000022000000}"/>
    <cellStyle name="20% - Énfasis5 2 2 3" xfId="122" xr:uid="{00000000-0005-0000-0000-000023000000}"/>
    <cellStyle name="20% - Énfasis5 2 2 4" xfId="123" xr:uid="{00000000-0005-0000-0000-000024000000}"/>
    <cellStyle name="20% - Énfasis5 2 3" xfId="86" xr:uid="{00000000-0005-0000-0000-000025000000}"/>
    <cellStyle name="20% - Énfasis5 2 4" xfId="124" xr:uid="{00000000-0005-0000-0000-000026000000}"/>
    <cellStyle name="20% - Énfasis5 2 5" xfId="125" xr:uid="{00000000-0005-0000-0000-000027000000}"/>
    <cellStyle name="20% - Énfasis6 2" xfId="59" xr:uid="{00000000-0005-0000-0000-000028000000}"/>
    <cellStyle name="20% - Énfasis6 2 2" xfId="60" xr:uid="{00000000-0005-0000-0000-000029000000}"/>
    <cellStyle name="20% - Énfasis6 2 2 2" xfId="89" xr:uid="{00000000-0005-0000-0000-00002A000000}"/>
    <cellStyle name="20% - Énfasis6 2 2 3" xfId="126" xr:uid="{00000000-0005-0000-0000-00002B000000}"/>
    <cellStyle name="20% - Énfasis6 2 2 4" xfId="127" xr:uid="{00000000-0005-0000-0000-00002C000000}"/>
    <cellStyle name="20% - Énfasis6 2 3" xfId="88" xr:uid="{00000000-0005-0000-0000-00002D000000}"/>
    <cellStyle name="20% - Énfasis6 2 4" xfId="128" xr:uid="{00000000-0005-0000-0000-00002E000000}"/>
    <cellStyle name="20% - Énfasis6 2 5" xfId="129" xr:uid="{00000000-0005-0000-0000-00002F000000}"/>
    <cellStyle name="40% - Énfasis1 2" xfId="61" xr:uid="{00000000-0005-0000-0000-000030000000}"/>
    <cellStyle name="40% - Énfasis1 2 2" xfId="62" xr:uid="{00000000-0005-0000-0000-000031000000}"/>
    <cellStyle name="40% - Énfasis1 2 2 2" xfId="91" xr:uid="{00000000-0005-0000-0000-000032000000}"/>
    <cellStyle name="40% - Énfasis1 2 2 3" xfId="130" xr:uid="{00000000-0005-0000-0000-000033000000}"/>
    <cellStyle name="40% - Énfasis1 2 2 4" xfId="131" xr:uid="{00000000-0005-0000-0000-000034000000}"/>
    <cellStyle name="40% - Énfasis1 2 3" xfId="90" xr:uid="{00000000-0005-0000-0000-000035000000}"/>
    <cellStyle name="40% - Énfasis1 2 4" xfId="132" xr:uid="{00000000-0005-0000-0000-000036000000}"/>
    <cellStyle name="40% - Énfasis1 2 5" xfId="133" xr:uid="{00000000-0005-0000-0000-000037000000}"/>
    <cellStyle name="40% - Énfasis2 2" xfId="63" xr:uid="{00000000-0005-0000-0000-000038000000}"/>
    <cellStyle name="40% - Énfasis2 2 2" xfId="64" xr:uid="{00000000-0005-0000-0000-000039000000}"/>
    <cellStyle name="40% - Énfasis2 2 2 2" xfId="93" xr:uid="{00000000-0005-0000-0000-00003A000000}"/>
    <cellStyle name="40% - Énfasis2 2 2 3" xfId="134" xr:uid="{00000000-0005-0000-0000-00003B000000}"/>
    <cellStyle name="40% - Énfasis2 2 2 4" xfId="135" xr:uid="{00000000-0005-0000-0000-00003C000000}"/>
    <cellStyle name="40% - Énfasis2 2 3" xfId="92" xr:uid="{00000000-0005-0000-0000-00003D000000}"/>
    <cellStyle name="40% - Énfasis2 2 4" xfId="136" xr:uid="{00000000-0005-0000-0000-00003E000000}"/>
    <cellStyle name="40% - Énfasis2 2 5" xfId="137" xr:uid="{00000000-0005-0000-0000-00003F000000}"/>
    <cellStyle name="40% - Énfasis3 2" xfId="65" xr:uid="{00000000-0005-0000-0000-000040000000}"/>
    <cellStyle name="40% - Énfasis3 2 2" xfId="66" xr:uid="{00000000-0005-0000-0000-000041000000}"/>
    <cellStyle name="40% - Énfasis3 2 2 2" xfId="95" xr:uid="{00000000-0005-0000-0000-000042000000}"/>
    <cellStyle name="40% - Énfasis3 2 2 3" xfId="138" xr:uid="{00000000-0005-0000-0000-000043000000}"/>
    <cellStyle name="40% - Énfasis3 2 2 4" xfId="139" xr:uid="{00000000-0005-0000-0000-000044000000}"/>
    <cellStyle name="40% - Énfasis3 2 3" xfId="94" xr:uid="{00000000-0005-0000-0000-000045000000}"/>
    <cellStyle name="40% - Énfasis3 2 4" xfId="140" xr:uid="{00000000-0005-0000-0000-000046000000}"/>
    <cellStyle name="40% - Énfasis3 2 5" xfId="141" xr:uid="{00000000-0005-0000-0000-000047000000}"/>
    <cellStyle name="40% - Énfasis4 2" xfId="67" xr:uid="{00000000-0005-0000-0000-000048000000}"/>
    <cellStyle name="40% - Énfasis4 2 2" xfId="68" xr:uid="{00000000-0005-0000-0000-000049000000}"/>
    <cellStyle name="40% - Énfasis4 2 2 2" xfId="97" xr:uid="{00000000-0005-0000-0000-00004A000000}"/>
    <cellStyle name="40% - Énfasis4 2 2 3" xfId="142" xr:uid="{00000000-0005-0000-0000-00004B000000}"/>
    <cellStyle name="40% - Énfasis4 2 2 4" xfId="143" xr:uid="{00000000-0005-0000-0000-00004C000000}"/>
    <cellStyle name="40% - Énfasis4 2 3" xfId="96" xr:uid="{00000000-0005-0000-0000-00004D000000}"/>
    <cellStyle name="40% - Énfasis4 2 4" xfId="144" xr:uid="{00000000-0005-0000-0000-00004E000000}"/>
    <cellStyle name="40% - Énfasis4 2 5" xfId="145" xr:uid="{00000000-0005-0000-0000-00004F000000}"/>
    <cellStyle name="40% - Énfasis5 2" xfId="69" xr:uid="{00000000-0005-0000-0000-000050000000}"/>
    <cellStyle name="40% - Énfasis5 2 2" xfId="70" xr:uid="{00000000-0005-0000-0000-000051000000}"/>
    <cellStyle name="40% - Énfasis5 2 2 2" xfId="99" xr:uid="{00000000-0005-0000-0000-000052000000}"/>
    <cellStyle name="40% - Énfasis5 2 2 3" xfId="146" xr:uid="{00000000-0005-0000-0000-000053000000}"/>
    <cellStyle name="40% - Énfasis5 2 2 4" xfId="147" xr:uid="{00000000-0005-0000-0000-000054000000}"/>
    <cellStyle name="40% - Énfasis5 2 3" xfId="98" xr:uid="{00000000-0005-0000-0000-000055000000}"/>
    <cellStyle name="40% - Énfasis5 2 4" xfId="148" xr:uid="{00000000-0005-0000-0000-000056000000}"/>
    <cellStyle name="40% - Énfasis5 2 5" xfId="149" xr:uid="{00000000-0005-0000-0000-000057000000}"/>
    <cellStyle name="40% - Énfasis6 2" xfId="71" xr:uid="{00000000-0005-0000-0000-000058000000}"/>
    <cellStyle name="40% - Énfasis6 2 2" xfId="72" xr:uid="{00000000-0005-0000-0000-000059000000}"/>
    <cellStyle name="40% - Énfasis6 2 2 2" xfId="101" xr:uid="{00000000-0005-0000-0000-00005A000000}"/>
    <cellStyle name="40% - Énfasis6 2 2 3" xfId="150" xr:uid="{00000000-0005-0000-0000-00005B000000}"/>
    <cellStyle name="40% - Énfasis6 2 2 4" xfId="151" xr:uid="{00000000-0005-0000-0000-00005C000000}"/>
    <cellStyle name="40% - Énfasis6 2 3" xfId="100" xr:uid="{00000000-0005-0000-0000-00005D000000}"/>
    <cellStyle name="40% - Énfasis6 2 4" xfId="152" xr:uid="{00000000-0005-0000-0000-00005E000000}"/>
    <cellStyle name="40% - Énfasis6 2 5" xfId="153" xr:uid="{00000000-0005-0000-0000-00005F000000}"/>
    <cellStyle name="Currency_BOMBAS CONFIANZA" xfId="3" xr:uid="{00000000-0005-0000-0000-000060000000}"/>
    <cellStyle name="Excel Built-in Normal" xfId="4" xr:uid="{00000000-0005-0000-0000-000061000000}"/>
    <cellStyle name="Excel Built-in Normal 2" xfId="5" xr:uid="{00000000-0005-0000-0000-000062000000}"/>
    <cellStyle name="Hipervínculo" xfId="102" builtinId="8" hidden="1"/>
    <cellStyle name="Hipervínculo" xfId="104" builtinId="8" hidden="1"/>
    <cellStyle name="Hipervínculo" xfId="203" builtinId="8" hidden="1"/>
    <cellStyle name="Hipervínculo" xfId="205" builtinId="8" hidden="1"/>
    <cellStyle name="Hipervínculo" xfId="207" builtinId="8" hidden="1"/>
    <cellStyle name="Hipervínculo" xfId="209" builtinId="8" hidden="1"/>
    <cellStyle name="Hipervínculo" xfId="211" builtinId="8" hidden="1"/>
    <cellStyle name="Hipervínculo" xfId="213" builtinId="8" hidden="1"/>
    <cellStyle name="Hipervínculo" xfId="215" builtinId="8" hidden="1"/>
    <cellStyle name="Hipervínculo" xfId="217" builtinId="8" hidden="1"/>
    <cellStyle name="Hipervínculo" xfId="219" builtinId="8" hidden="1"/>
    <cellStyle name="Hipervínculo" xfId="221" builtinId="8" hidden="1"/>
    <cellStyle name="Hipervínculo" xfId="223" builtinId="8" hidden="1"/>
    <cellStyle name="Hipervínculo" xfId="225" builtinId="8" hidden="1"/>
    <cellStyle name="Hipervínculo" xfId="227" builtinId="8" hidden="1"/>
    <cellStyle name="Hipervínculo" xfId="229" builtinId="8" hidden="1"/>
    <cellStyle name="Hipervínculo" xfId="231" builtinId="8" hidden="1"/>
    <cellStyle name="Hipervínculo" xfId="233" builtinId="8" hidden="1"/>
    <cellStyle name="Hipervínculo" xfId="235" builtinId="8" hidden="1"/>
    <cellStyle name="Hipervínculo" xfId="237" builtinId="8" hidden="1"/>
    <cellStyle name="Hipervínculo" xfId="239" builtinId="8" hidden="1"/>
    <cellStyle name="Hipervínculo" xfId="241" builtinId="8" hidden="1"/>
    <cellStyle name="Hipervínculo" xfId="243" builtinId="8" hidden="1"/>
    <cellStyle name="Hipervínculo" xfId="245" builtinId="8" hidden="1"/>
    <cellStyle name="Hipervínculo" xfId="247" builtinId="8" hidden="1"/>
    <cellStyle name="Hipervínculo" xfId="249" builtinId="8" hidden="1"/>
    <cellStyle name="Hipervínculo" xfId="251" builtinId="8" hidden="1"/>
    <cellStyle name="Hipervínculo" xfId="253" builtinId="8" hidden="1"/>
    <cellStyle name="Hipervínculo" xfId="255" builtinId="8" hidden="1"/>
    <cellStyle name="Hipervínculo" xfId="257" builtinId="8" hidden="1"/>
    <cellStyle name="Hipervínculo" xfId="259" builtinId="8" hidden="1"/>
    <cellStyle name="Hipervínculo" xfId="261" builtinId="8" hidden="1"/>
    <cellStyle name="Hipervínculo" xfId="263" builtinId="8" hidden="1"/>
    <cellStyle name="Hipervínculo" xfId="265" builtinId="8" hidden="1"/>
    <cellStyle name="Hipervínculo" xfId="267" builtinId="8" hidden="1"/>
    <cellStyle name="Hipervínculo" xfId="269" builtinId="8" hidden="1"/>
    <cellStyle name="Hipervínculo" xfId="271" builtinId="8" hidden="1"/>
    <cellStyle name="Hipervínculo" xfId="273" builtinId="8" hidden="1"/>
    <cellStyle name="Hipervínculo" xfId="275" builtinId="8" hidden="1"/>
    <cellStyle name="Hipervínculo" xfId="277" builtinId="8" hidden="1"/>
    <cellStyle name="Hipervínculo" xfId="279" builtinId="8" hidden="1"/>
    <cellStyle name="Hipervínculo" xfId="281" builtinId="8" hidden="1"/>
    <cellStyle name="Hipervínculo" xfId="283" builtinId="8" hidden="1"/>
    <cellStyle name="Hipervínculo" xfId="285" builtinId="8" hidden="1"/>
    <cellStyle name="Hipervínculo" xfId="287" builtinId="8" hidden="1"/>
    <cellStyle name="Hipervínculo" xfId="289" builtinId="8" hidden="1"/>
    <cellStyle name="Hipervínculo" xfId="291" builtinId="8" hidden="1"/>
    <cellStyle name="Hipervínculo" xfId="293" builtinId="8" hidden="1"/>
    <cellStyle name="Hipervínculo" xfId="295" builtinId="8" hidden="1"/>
    <cellStyle name="Hipervínculo" xfId="297" builtinId="8" hidden="1"/>
    <cellStyle name="Hipervínculo" xfId="299" builtinId="8" hidden="1"/>
    <cellStyle name="Hipervínculo" xfId="301" builtinId="8" hidden="1"/>
    <cellStyle name="Hipervínculo" xfId="303" builtinId="8" hidden="1"/>
    <cellStyle name="Hipervínculo" xfId="305" builtinId="8" hidden="1"/>
    <cellStyle name="Hipervínculo" xfId="307" builtinId="8" hidden="1"/>
    <cellStyle name="Hipervínculo" xfId="309" builtinId="8" hidden="1"/>
    <cellStyle name="Hipervínculo" xfId="311" builtinId="8" hidden="1"/>
    <cellStyle name="Hipervínculo" xfId="313" builtinId="8" hidden="1"/>
    <cellStyle name="Hipervínculo" xfId="315" builtinId="8" hidden="1"/>
    <cellStyle name="Hipervínculo" xfId="317" builtinId="8" hidden="1"/>
    <cellStyle name="Hipervínculo" xfId="319" builtinId="8" hidden="1"/>
    <cellStyle name="Hipervínculo" xfId="321" builtinId="8" hidden="1"/>
    <cellStyle name="Hipervínculo" xfId="323" builtinId="8" hidden="1"/>
    <cellStyle name="Hipervínculo" xfId="325" builtinId="8" hidden="1"/>
    <cellStyle name="Hipervínculo" xfId="327" builtinId="8" hidden="1"/>
    <cellStyle name="Hipervínculo" xfId="329" builtinId="8" hidden="1"/>
    <cellStyle name="Hipervínculo" xfId="331" builtinId="8" hidden="1"/>
    <cellStyle name="Hipervínculo" xfId="333" builtinId="8" hidden="1"/>
    <cellStyle name="Hipervínculo" xfId="335" builtinId="8" hidden="1"/>
    <cellStyle name="Hipervínculo" xfId="337" builtinId="8" hidden="1"/>
    <cellStyle name="Hipervínculo" xfId="339" builtinId="8" hidden="1"/>
    <cellStyle name="Hipervínculo" xfId="341" builtinId="8" hidden="1"/>
    <cellStyle name="Hipervínculo" xfId="343" builtinId="8" hidden="1"/>
    <cellStyle name="Hipervínculo" xfId="345" builtinId="8" hidden="1"/>
    <cellStyle name="Hipervínculo" xfId="347" builtinId="8" hidden="1"/>
    <cellStyle name="Hipervínculo" xfId="349" builtinId="8" hidden="1"/>
    <cellStyle name="Hipervínculo" xfId="351" builtinId="8" hidden="1"/>
    <cellStyle name="Hipervínculo" xfId="353" builtinId="8" hidden="1"/>
    <cellStyle name="Hipervínculo" xfId="355" builtinId="8" hidden="1"/>
    <cellStyle name="Hipervínculo" xfId="357" builtinId="8" hidden="1"/>
    <cellStyle name="Hipervínculo" xfId="359" builtinId="8" hidden="1"/>
    <cellStyle name="Hipervínculo" xfId="361" builtinId="8" hidden="1"/>
    <cellStyle name="Hipervínculo" xfId="363" builtinId="8" hidden="1"/>
    <cellStyle name="Hipervínculo" xfId="365" builtinId="8" hidden="1"/>
    <cellStyle name="Hipervínculo" xfId="367" builtinId="8" hidden="1"/>
    <cellStyle name="Hipervínculo" xfId="369" builtinId="8" hidden="1"/>
    <cellStyle name="Hipervínculo" xfId="371" builtinId="8" hidden="1"/>
    <cellStyle name="Hipervínculo" xfId="373" builtinId="8" hidden="1"/>
    <cellStyle name="Hipervínculo" xfId="375" builtinId="8" hidden="1"/>
    <cellStyle name="Hipervínculo" xfId="377" builtinId="8" hidden="1"/>
    <cellStyle name="Hipervínculo" xfId="379" builtinId="8" hidden="1"/>
    <cellStyle name="Hipervínculo" xfId="381" builtinId="8" hidden="1"/>
    <cellStyle name="Hipervínculo" xfId="383" builtinId="8" hidden="1"/>
    <cellStyle name="Hipervínculo" xfId="385" builtinId="8" hidden="1"/>
    <cellStyle name="Hipervínculo" xfId="387" builtinId="8" hidden="1"/>
    <cellStyle name="Hipervínculo" xfId="389" builtinId="8" hidden="1"/>
    <cellStyle name="Hipervínculo" xfId="391" builtinId="8" hidden="1"/>
    <cellStyle name="Hipervínculo" xfId="393" builtinId="8" hidden="1"/>
    <cellStyle name="Hipervínculo" xfId="395" builtinId="8" hidden="1"/>
    <cellStyle name="Hipervínculo" xfId="397" builtinId="8"/>
    <cellStyle name="Hipervínculo visitado" xfId="103" builtinId="9" hidden="1"/>
    <cellStyle name="Hipervínculo visitado" xfId="105" builtinId="9" hidden="1"/>
    <cellStyle name="Hipervínculo visitado" xfId="204" builtinId="9" hidden="1"/>
    <cellStyle name="Hipervínculo visitado" xfId="206" builtinId="9" hidden="1"/>
    <cellStyle name="Hipervínculo visitado" xfId="208" builtinId="9" hidden="1"/>
    <cellStyle name="Hipervínculo visitado" xfId="210" builtinId="9" hidden="1"/>
    <cellStyle name="Hipervínculo visitado" xfId="212" builtinId="9" hidden="1"/>
    <cellStyle name="Hipervínculo visitado" xfId="214" builtinId="9" hidden="1"/>
    <cellStyle name="Hipervínculo visitado" xfId="216" builtinId="9" hidden="1"/>
    <cellStyle name="Hipervínculo visitado" xfId="218" builtinId="9" hidden="1"/>
    <cellStyle name="Hipervínculo visitado" xfId="220" builtinId="9" hidden="1"/>
    <cellStyle name="Hipervínculo visitado" xfId="222" builtinId="9" hidden="1"/>
    <cellStyle name="Hipervínculo visitado" xfId="224" builtinId="9" hidden="1"/>
    <cellStyle name="Hipervínculo visitado" xfId="226" builtinId="9" hidden="1"/>
    <cellStyle name="Hipervínculo visitado" xfId="228" builtinId="9" hidden="1"/>
    <cellStyle name="Hipervínculo visitado" xfId="230" builtinId="9" hidden="1"/>
    <cellStyle name="Hipervínculo visitado" xfId="232" builtinId="9" hidden="1"/>
    <cellStyle name="Hipervínculo visitado" xfId="234" builtinId="9" hidden="1"/>
    <cellStyle name="Hipervínculo visitado" xfId="236" builtinId="9" hidden="1"/>
    <cellStyle name="Hipervínculo visitado" xfId="238" builtinId="9" hidden="1"/>
    <cellStyle name="Hipervínculo visitado" xfId="240" builtinId="9" hidden="1"/>
    <cellStyle name="Hipervínculo visitado" xfId="242" builtinId="9" hidden="1"/>
    <cellStyle name="Hipervínculo visitado" xfId="244" builtinId="9" hidden="1"/>
    <cellStyle name="Hipervínculo visitado" xfId="246" builtinId="9" hidden="1"/>
    <cellStyle name="Hipervínculo visitado" xfId="248" builtinId="9" hidden="1"/>
    <cellStyle name="Hipervínculo visitado" xfId="250" builtinId="9" hidden="1"/>
    <cellStyle name="Hipervínculo visitado" xfId="252" builtinId="9" hidden="1"/>
    <cellStyle name="Hipervínculo visitado" xfId="254" builtinId="9" hidden="1"/>
    <cellStyle name="Hipervínculo visitado" xfId="256" builtinId="9" hidden="1"/>
    <cellStyle name="Hipervínculo visitado" xfId="258" builtinId="9" hidden="1"/>
    <cellStyle name="Hipervínculo visitado" xfId="260" builtinId="9" hidden="1"/>
    <cellStyle name="Hipervínculo visitado" xfId="262" builtinId="9" hidden="1"/>
    <cellStyle name="Hipervínculo visitado" xfId="264" builtinId="9" hidden="1"/>
    <cellStyle name="Hipervínculo visitado" xfId="266" builtinId="9" hidden="1"/>
    <cellStyle name="Hipervínculo visitado" xfId="268" builtinId="9" hidden="1"/>
    <cellStyle name="Hipervínculo visitado" xfId="270" builtinId="9" hidden="1"/>
    <cellStyle name="Hipervínculo visitado" xfId="272" builtinId="9" hidden="1"/>
    <cellStyle name="Hipervínculo visitado" xfId="274" builtinId="9" hidden="1"/>
    <cellStyle name="Hipervínculo visitado" xfId="276" builtinId="9" hidden="1"/>
    <cellStyle name="Hipervínculo visitado" xfId="278" builtinId="9" hidden="1"/>
    <cellStyle name="Hipervínculo visitado" xfId="280" builtinId="9" hidden="1"/>
    <cellStyle name="Hipervínculo visitado" xfId="282" builtinId="9" hidden="1"/>
    <cellStyle name="Hipervínculo visitado" xfId="284" builtinId="9" hidden="1"/>
    <cellStyle name="Hipervínculo visitado" xfId="286" builtinId="9" hidden="1"/>
    <cellStyle name="Hipervínculo visitado" xfId="288" builtinId="9" hidden="1"/>
    <cellStyle name="Hipervínculo visitado" xfId="290" builtinId="9" hidden="1"/>
    <cellStyle name="Hipervínculo visitado" xfId="292" builtinId="9" hidden="1"/>
    <cellStyle name="Hipervínculo visitado" xfId="294" builtinId="9" hidden="1"/>
    <cellStyle name="Hipervínculo visitado" xfId="296" builtinId="9" hidden="1"/>
    <cellStyle name="Hipervínculo visitado" xfId="298" builtinId="9" hidden="1"/>
    <cellStyle name="Hipervínculo visitado" xfId="300" builtinId="9" hidden="1"/>
    <cellStyle name="Hipervínculo visitado" xfId="302" builtinId="9" hidden="1"/>
    <cellStyle name="Hipervínculo visitado" xfId="304" builtinId="9" hidden="1"/>
    <cellStyle name="Hipervínculo visitado" xfId="306" builtinId="9" hidden="1"/>
    <cellStyle name="Hipervínculo visitado" xfId="308" builtinId="9" hidden="1"/>
    <cellStyle name="Hipervínculo visitado" xfId="310" builtinId="9" hidden="1"/>
    <cellStyle name="Hipervínculo visitado" xfId="312" builtinId="9" hidden="1"/>
    <cellStyle name="Hipervínculo visitado" xfId="314" builtinId="9" hidden="1"/>
    <cellStyle name="Hipervínculo visitado" xfId="316" builtinId="9" hidden="1"/>
    <cellStyle name="Hipervínculo visitado" xfId="318" builtinId="9" hidden="1"/>
    <cellStyle name="Hipervínculo visitado" xfId="320" builtinId="9" hidden="1"/>
    <cellStyle name="Hipervínculo visitado" xfId="322" builtinId="9" hidden="1"/>
    <cellStyle name="Hipervínculo visitado" xfId="324" builtinId="9" hidden="1"/>
    <cellStyle name="Hipervínculo visitado" xfId="326" builtinId="9" hidden="1"/>
    <cellStyle name="Hipervínculo visitado" xfId="328" builtinId="9" hidden="1"/>
    <cellStyle name="Hipervínculo visitado" xfId="330" builtinId="9" hidden="1"/>
    <cellStyle name="Hipervínculo visitado" xfId="332" builtinId="9" hidden="1"/>
    <cellStyle name="Hipervínculo visitado" xfId="334" builtinId="9" hidden="1"/>
    <cellStyle name="Hipervínculo visitado" xfId="336" builtinId="9" hidden="1"/>
    <cellStyle name="Hipervínculo visitado" xfId="338" builtinId="9" hidden="1"/>
    <cellStyle name="Hipervínculo visitado" xfId="340" builtinId="9" hidden="1"/>
    <cellStyle name="Hipervínculo visitado" xfId="342" builtinId="9" hidden="1"/>
    <cellStyle name="Hipervínculo visitado" xfId="344" builtinId="9" hidden="1"/>
    <cellStyle name="Hipervínculo visitado" xfId="346" builtinId="9" hidden="1"/>
    <cellStyle name="Hipervínculo visitado" xfId="348" builtinId="9" hidden="1"/>
    <cellStyle name="Hipervínculo visitado" xfId="350" builtinId="9" hidden="1"/>
    <cellStyle name="Hipervínculo visitado" xfId="352" builtinId="9" hidden="1"/>
    <cellStyle name="Hipervínculo visitado" xfId="354" builtinId="9" hidden="1"/>
    <cellStyle name="Hipervínculo visitado" xfId="356" builtinId="9" hidden="1"/>
    <cellStyle name="Hipervínculo visitado" xfId="358" builtinId="9" hidden="1"/>
    <cellStyle name="Hipervínculo visitado" xfId="360" builtinId="9" hidden="1"/>
    <cellStyle name="Hipervínculo visitado" xfId="362" builtinId="9" hidden="1"/>
    <cellStyle name="Hipervínculo visitado" xfId="364" builtinId="9" hidden="1"/>
    <cellStyle name="Hipervínculo visitado" xfId="366" builtinId="9" hidden="1"/>
    <cellStyle name="Hipervínculo visitado" xfId="368" builtinId="9" hidden="1"/>
    <cellStyle name="Hipervínculo visitado" xfId="370" builtinId="9" hidden="1"/>
    <cellStyle name="Hipervínculo visitado" xfId="372" builtinId="9" hidden="1"/>
    <cellStyle name="Hipervínculo visitado" xfId="374" builtinId="9" hidden="1"/>
    <cellStyle name="Hipervínculo visitado" xfId="376" builtinId="9" hidden="1"/>
    <cellStyle name="Hipervínculo visitado" xfId="378" builtinId="9" hidden="1"/>
    <cellStyle name="Hipervínculo visitado" xfId="380" builtinId="9" hidden="1"/>
    <cellStyle name="Hipervínculo visitado" xfId="382" builtinId="9" hidden="1"/>
    <cellStyle name="Hipervínculo visitado" xfId="384" builtinId="9" hidden="1"/>
    <cellStyle name="Hipervínculo visitado" xfId="386" builtinId="9" hidden="1"/>
    <cellStyle name="Hipervínculo visitado" xfId="388" builtinId="9" hidden="1"/>
    <cellStyle name="Hipervínculo visitado" xfId="390" builtinId="9" hidden="1"/>
    <cellStyle name="Hipervínculo visitado" xfId="392" builtinId="9" hidden="1"/>
    <cellStyle name="Hipervínculo visitado" xfId="394" builtinId="9" hidden="1"/>
    <cellStyle name="Hipervínculo visitado" xfId="396" builtinId="9" hidden="1"/>
    <cellStyle name="Millares" xfId="201" builtinId="3"/>
    <cellStyle name="Millares 2" xfId="6" xr:uid="{00000000-0005-0000-0000-00002A010000}"/>
    <cellStyle name="Millares 2 2" xfId="7" xr:uid="{00000000-0005-0000-0000-00002B010000}"/>
    <cellStyle name="Millares 4" xfId="8" xr:uid="{00000000-0005-0000-0000-00002C010000}"/>
    <cellStyle name="Millares 5" xfId="9" xr:uid="{00000000-0005-0000-0000-00002D010000}"/>
    <cellStyle name="Moneda" xfId="1" builtinId="4"/>
    <cellStyle name="Moneda 2" xfId="10" xr:uid="{00000000-0005-0000-0000-00002F010000}"/>
    <cellStyle name="Moneda 2 2" xfId="154" xr:uid="{00000000-0005-0000-0000-000030010000}"/>
    <cellStyle name="Moneda 2 3" xfId="155" xr:uid="{00000000-0005-0000-0000-000031010000}"/>
    <cellStyle name="Moneda 3" xfId="11" xr:uid="{00000000-0005-0000-0000-000032010000}"/>
    <cellStyle name="Moneda 3 2" xfId="12" xr:uid="{00000000-0005-0000-0000-000033010000}"/>
    <cellStyle name="Moneda 3 3" xfId="156" xr:uid="{00000000-0005-0000-0000-000034010000}"/>
    <cellStyle name="Moneda 3 4" xfId="157" xr:uid="{00000000-0005-0000-0000-000035010000}"/>
    <cellStyle name="Moneda 4" xfId="13" xr:uid="{00000000-0005-0000-0000-000036010000}"/>
    <cellStyle name="Moneda 5" xfId="14" xr:uid="{00000000-0005-0000-0000-000037010000}"/>
    <cellStyle name="Moneda 5 2" xfId="158" xr:uid="{00000000-0005-0000-0000-000038010000}"/>
    <cellStyle name="Moneda 6" xfId="159" xr:uid="{00000000-0005-0000-0000-000039010000}"/>
    <cellStyle name="Moneda 6 2" xfId="160" xr:uid="{00000000-0005-0000-0000-00003A010000}"/>
    <cellStyle name="Moneda 6 3" xfId="161" xr:uid="{00000000-0005-0000-0000-00003B010000}"/>
    <cellStyle name="Moneda 6 3 2" xfId="162" xr:uid="{00000000-0005-0000-0000-00003C010000}"/>
    <cellStyle name="Moneda 6 3 3" xfId="163" xr:uid="{00000000-0005-0000-0000-00003D010000}"/>
    <cellStyle name="Moneda 6 3 4" xfId="164" xr:uid="{00000000-0005-0000-0000-00003E010000}"/>
    <cellStyle name="Moneda 6 3 5" xfId="165" xr:uid="{00000000-0005-0000-0000-00003F010000}"/>
    <cellStyle name="Normal" xfId="0" builtinId="0" customBuiltin="1"/>
    <cellStyle name="Normal 10" xfId="166" xr:uid="{00000000-0005-0000-0000-000041010000}"/>
    <cellStyle name="Normal 10 2" xfId="167" xr:uid="{00000000-0005-0000-0000-000042010000}"/>
    <cellStyle name="Normal 10 3" xfId="168" xr:uid="{00000000-0005-0000-0000-000043010000}"/>
    <cellStyle name="Normal 10 3 2" xfId="169" xr:uid="{00000000-0005-0000-0000-000044010000}"/>
    <cellStyle name="Normal 10 3 3" xfId="170" xr:uid="{00000000-0005-0000-0000-000045010000}"/>
    <cellStyle name="Normal 10 3 4" xfId="171" xr:uid="{00000000-0005-0000-0000-000046010000}"/>
    <cellStyle name="Normal 10 3 5" xfId="172" xr:uid="{00000000-0005-0000-0000-000047010000}"/>
    <cellStyle name="Normal 2" xfId="2" xr:uid="{00000000-0005-0000-0000-000048010000}"/>
    <cellStyle name="Normal 2 2" xfId="15" xr:uid="{00000000-0005-0000-0000-000049010000}"/>
    <cellStyle name="Normal 2 2 2" xfId="16" xr:uid="{00000000-0005-0000-0000-00004A010000}"/>
    <cellStyle name="Normal 2 2 3" xfId="173" xr:uid="{00000000-0005-0000-0000-00004B010000}"/>
    <cellStyle name="Normal 2 2 3 2" xfId="174" xr:uid="{00000000-0005-0000-0000-00004C010000}"/>
    <cellStyle name="Normal 2 2 3 3" xfId="175" xr:uid="{00000000-0005-0000-0000-00004D010000}"/>
    <cellStyle name="Normal 2 2 3 3 2" xfId="176" xr:uid="{00000000-0005-0000-0000-00004E010000}"/>
    <cellStyle name="Normal 2 2 3 3 3" xfId="177" xr:uid="{00000000-0005-0000-0000-00004F010000}"/>
    <cellStyle name="Normal 2 2 3 3 4" xfId="178" xr:uid="{00000000-0005-0000-0000-000050010000}"/>
    <cellStyle name="Normal 2 2 3 3 5" xfId="179" xr:uid="{00000000-0005-0000-0000-000051010000}"/>
    <cellStyle name="Normal 2 3" xfId="17" xr:uid="{00000000-0005-0000-0000-000052010000}"/>
    <cellStyle name="Normal 2 3 2" xfId="18" xr:uid="{00000000-0005-0000-0000-000053010000}"/>
    <cellStyle name="Normal 2 4" xfId="19" xr:uid="{00000000-0005-0000-0000-000054010000}"/>
    <cellStyle name="Normal 2 5" xfId="20" xr:uid="{00000000-0005-0000-0000-000055010000}"/>
    <cellStyle name="Normal 2 6" xfId="21" xr:uid="{00000000-0005-0000-0000-000056010000}"/>
    <cellStyle name="Normal 2 7" xfId="22" xr:uid="{00000000-0005-0000-0000-000057010000}"/>
    <cellStyle name="Normal 2 8" xfId="180" xr:uid="{00000000-0005-0000-0000-000058010000}"/>
    <cellStyle name="Normal 2 8 2" xfId="181" xr:uid="{00000000-0005-0000-0000-000059010000}"/>
    <cellStyle name="Normal 2 8 3" xfId="182" xr:uid="{00000000-0005-0000-0000-00005A010000}"/>
    <cellStyle name="Normal 2 8 3 2" xfId="183" xr:uid="{00000000-0005-0000-0000-00005B010000}"/>
    <cellStyle name="Normal 2 8 3 3" xfId="184" xr:uid="{00000000-0005-0000-0000-00005C010000}"/>
    <cellStyle name="Normal 2 8 3 4" xfId="185" xr:uid="{00000000-0005-0000-0000-00005D010000}"/>
    <cellStyle name="Normal 2 8 3 5" xfId="186" xr:uid="{00000000-0005-0000-0000-00005E010000}"/>
    <cellStyle name="Normal 2 9" xfId="187" xr:uid="{00000000-0005-0000-0000-00005F010000}"/>
    <cellStyle name="Normal 23" xfId="23" xr:uid="{00000000-0005-0000-0000-000060010000}"/>
    <cellStyle name="Normal 3" xfId="24" xr:uid="{00000000-0005-0000-0000-000061010000}"/>
    <cellStyle name="Normal 3 2" xfId="25" xr:uid="{00000000-0005-0000-0000-000062010000}"/>
    <cellStyle name="Normal 3 2 2" xfId="188" xr:uid="{00000000-0005-0000-0000-000063010000}"/>
    <cellStyle name="Normal 3 3" xfId="189" xr:uid="{00000000-0005-0000-0000-000064010000}"/>
    <cellStyle name="Normal 3 4" xfId="190" xr:uid="{00000000-0005-0000-0000-000065010000}"/>
    <cellStyle name="Normal 4" xfId="26" xr:uid="{00000000-0005-0000-0000-000066010000}"/>
    <cellStyle name="Normal 4 2" xfId="73" xr:uid="{00000000-0005-0000-0000-000067010000}"/>
    <cellStyle name="Normal 4 3" xfId="191" xr:uid="{00000000-0005-0000-0000-000068010000}"/>
    <cellStyle name="Normal 4 4" xfId="192" xr:uid="{00000000-0005-0000-0000-000069010000}"/>
    <cellStyle name="Normal 45" xfId="27" xr:uid="{00000000-0005-0000-0000-00006A010000}"/>
    <cellStyle name="Normal 46" xfId="28" xr:uid="{00000000-0005-0000-0000-00006B010000}"/>
    <cellStyle name="Normal 5" xfId="29" xr:uid="{00000000-0005-0000-0000-00006C010000}"/>
    <cellStyle name="Normal 5 2" xfId="30" xr:uid="{00000000-0005-0000-0000-00006D010000}"/>
    <cellStyle name="Normal 5 3" xfId="193" xr:uid="{00000000-0005-0000-0000-00006E010000}"/>
    <cellStyle name="Normal 5 4" xfId="194" xr:uid="{00000000-0005-0000-0000-00006F010000}"/>
    <cellStyle name="Normal 50" xfId="31" xr:uid="{00000000-0005-0000-0000-000070010000}"/>
    <cellStyle name="Normal 52" xfId="32" xr:uid="{00000000-0005-0000-0000-000071010000}"/>
    <cellStyle name="Normal 6" xfId="33" xr:uid="{00000000-0005-0000-0000-000072010000}"/>
    <cellStyle name="Normal 6 2" xfId="195" xr:uid="{00000000-0005-0000-0000-000073010000}"/>
    <cellStyle name="Normal 6 3" xfId="196" xr:uid="{00000000-0005-0000-0000-000074010000}"/>
    <cellStyle name="Normal 6 3 2" xfId="197" xr:uid="{00000000-0005-0000-0000-000075010000}"/>
    <cellStyle name="Normal 6 3 3" xfId="198" xr:uid="{00000000-0005-0000-0000-000076010000}"/>
    <cellStyle name="Normal 60" xfId="34" xr:uid="{00000000-0005-0000-0000-000077010000}"/>
    <cellStyle name="Normal 7" xfId="35" xr:uid="{00000000-0005-0000-0000-000078010000}"/>
    <cellStyle name="Normal 70" xfId="36" xr:uid="{00000000-0005-0000-0000-000079010000}"/>
    <cellStyle name="Normal 71" xfId="37" xr:uid="{00000000-0005-0000-0000-00007A010000}"/>
    <cellStyle name="Normal 73" xfId="38" xr:uid="{00000000-0005-0000-0000-00007B010000}"/>
    <cellStyle name="Normal 8" xfId="39" xr:uid="{00000000-0005-0000-0000-00007C010000}"/>
    <cellStyle name="Normal 81" xfId="40" xr:uid="{00000000-0005-0000-0000-00007D010000}"/>
    <cellStyle name="Normal 82" xfId="41" xr:uid="{00000000-0005-0000-0000-00007E010000}"/>
    <cellStyle name="Normal 86" xfId="42" xr:uid="{00000000-0005-0000-0000-00007F010000}"/>
    <cellStyle name="Normal 88" xfId="43" xr:uid="{00000000-0005-0000-0000-000080010000}"/>
    <cellStyle name="Normal 9" xfId="44" xr:uid="{00000000-0005-0000-0000-000081010000}"/>
    <cellStyle name="Normal 9 2" xfId="199" xr:uid="{00000000-0005-0000-0000-000082010000}"/>
    <cellStyle name="Normal 92" xfId="45" xr:uid="{00000000-0005-0000-0000-000083010000}"/>
    <cellStyle name="Normal 94" xfId="46" xr:uid="{00000000-0005-0000-0000-000084010000}"/>
    <cellStyle name="Notas 2" xfId="74" xr:uid="{00000000-0005-0000-0000-000085010000}"/>
    <cellStyle name="Notas 2 2" xfId="75" xr:uid="{00000000-0005-0000-0000-000086010000}"/>
    <cellStyle name="Notas 3" xfId="76" xr:uid="{00000000-0005-0000-0000-000087010000}"/>
    <cellStyle name="Notas 3 2" xfId="77" xr:uid="{00000000-0005-0000-0000-000088010000}"/>
    <cellStyle name="Porcentaje" xfId="202" builtinId="5"/>
    <cellStyle name="Porcentaje 2" xfId="47" xr:uid="{00000000-0005-0000-0000-00008A010000}"/>
    <cellStyle name="Porcentual 2" xfId="48" xr:uid="{00000000-0005-0000-0000-00008B010000}"/>
    <cellStyle name="Porcentual 3" xfId="200" xr:uid="{00000000-0005-0000-0000-00008C010000}"/>
  </cellStyles>
  <dxfs count="4">
    <dxf>
      <font>
        <b/>
        <i val="0"/>
        <color rgb="FFFF0000"/>
      </font>
    </dxf>
    <dxf>
      <font>
        <b/>
        <i val="0"/>
        <color auto="1"/>
      </font>
    </dxf>
    <dxf>
      <font>
        <b/>
        <i val="0"/>
        <color rgb="FFFF0000"/>
      </font>
    </dxf>
    <dxf>
      <font>
        <b/>
        <i val="0"/>
        <color auto="1"/>
      </font>
    </dxf>
  </dxfs>
  <tableStyles count="0" defaultTableStyle="TableStyleMedium2" defaultPivotStyle="PivotStyleLight16"/>
  <colors>
    <mruColors>
      <color rgb="FFDBAC00"/>
      <color rgb="FF008F00"/>
      <color rgb="FFA8FFB4"/>
      <color rgb="FF00FA00"/>
      <color rgb="FFFFFD78"/>
      <color rgb="FFFFB926"/>
      <color rgb="FFB5B204"/>
      <color rgb="FFFFFC00"/>
      <color rgb="FFFFFDB7"/>
      <color rgb="FFF4FF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589491376539227"/>
          <c:y val="0.11270582852691859"/>
          <c:w val="0.72315035648703307"/>
          <c:h val="0.72111264427335342"/>
        </c:manualLayout>
      </c:layout>
      <c:barChart>
        <c:barDir val="col"/>
        <c:grouping val="clustered"/>
        <c:varyColors val="0"/>
        <c:ser>
          <c:idx val="0"/>
          <c:order val="0"/>
          <c:tx>
            <c:v>Flujo de efectivo</c:v>
          </c:tx>
          <c:spPr>
            <a:solidFill>
              <a:schemeClr val="tx1">
                <a:lumMod val="65000"/>
                <a:lumOff val="35000"/>
              </a:schemeClr>
            </a:solidFill>
          </c:spPr>
          <c:invertIfNegative val="0"/>
          <c:cat>
            <c:strRef>
              <c:f>FLUJO!$C$4:$N$4</c:f>
              <c:strCache>
                <c:ptCount val="12"/>
                <c:pt idx="2">
                  <c:v>ENE </c:v>
                </c:pt>
                <c:pt idx="3">
                  <c:v>FEB </c:v>
                </c:pt>
                <c:pt idx="4">
                  <c:v>MAR </c:v>
                </c:pt>
                <c:pt idx="5">
                  <c:v>ABR 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AGO</c:v>
                </c:pt>
                <c:pt idx="10">
                  <c:v>SEP</c:v>
                </c:pt>
                <c:pt idx="11">
                  <c:v>OCT</c:v>
                </c:pt>
              </c:strCache>
            </c:strRef>
          </c:cat>
          <c:val>
            <c:numRef>
              <c:f>FLUJO!$C$25:$N$25</c:f>
              <c:numCache>
                <c:formatCode>_("$"* #,##0.00_);_("$"* \(#,##0.00\);_("$"* "-"??_);_(@_)</c:formatCode>
                <c:ptCount val="12"/>
                <c:pt idx="0">
                  <c:v>-2514659.1923050471</c:v>
                </c:pt>
                <c:pt idx="1">
                  <c:v>17801422.204026315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1E-024A-844C-34FDE27EB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6863312"/>
        <c:axId val="186863872"/>
      </c:barChart>
      <c:lineChart>
        <c:grouping val="standard"/>
        <c:varyColors val="0"/>
        <c:ser>
          <c:idx val="1"/>
          <c:order val="1"/>
          <c:tx>
            <c:v>Flujo acumulado</c:v>
          </c:tx>
          <c:spPr>
            <a:ln w="57150" cmpd="sng">
              <a:solidFill>
                <a:srgbClr val="FFC000"/>
              </a:solidFill>
            </a:ln>
          </c:spPr>
          <c:marker>
            <c:spPr>
              <a:solidFill>
                <a:srgbClr val="FFC000"/>
              </a:solidFill>
              <a:ln w="57150" cmpd="sng">
                <a:solidFill>
                  <a:srgbClr val="FFC000"/>
                </a:solidFill>
              </a:ln>
            </c:spPr>
          </c:marker>
          <c:dLbls>
            <c:dLbl>
              <c:idx val="59"/>
              <c:layout>
                <c:manualLayout>
                  <c:x val="-2.1805156163978601E-2"/>
                  <c:y val="5.62540516991452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E1E-024A-844C-34FDE27EBE8D}"/>
                </c:ext>
              </c:extLst>
            </c:dLbl>
            <c:dLbl>
              <c:idx val="66"/>
              <c:layout>
                <c:manualLayout>
                  <c:x val="0"/>
                  <c:y val="5.26247580411359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E1E-024A-844C-34FDE27EBE8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FLUJO!$C$4:$N$4</c:f>
              <c:strCache>
                <c:ptCount val="12"/>
                <c:pt idx="2">
                  <c:v>ENE </c:v>
                </c:pt>
                <c:pt idx="3">
                  <c:v>FEB </c:v>
                </c:pt>
                <c:pt idx="4">
                  <c:v>MAR </c:v>
                </c:pt>
                <c:pt idx="5">
                  <c:v>ABR 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AGO</c:v>
                </c:pt>
                <c:pt idx="10">
                  <c:v>SEP</c:v>
                </c:pt>
                <c:pt idx="11">
                  <c:v>OCT</c:v>
                </c:pt>
              </c:strCache>
            </c:strRef>
          </c:cat>
          <c:val>
            <c:numRef>
              <c:f>FLUJO!$C$29:$N$29</c:f>
              <c:numCache>
                <c:formatCode>_("$"* #,##0.00_);_("$"* \(#,##0.00\);_("$"* "-"??_);_(@_)</c:formatCode>
                <c:ptCount val="12"/>
                <c:pt idx="0">
                  <c:v>-2514659.1923050471</c:v>
                </c:pt>
                <c:pt idx="1">
                  <c:v>15286763.011721268</c:v>
                </c:pt>
                <c:pt idx="2">
                  <c:v>15286763.011721268</c:v>
                </c:pt>
                <c:pt idx="3">
                  <c:v>15286763.011721268</c:v>
                </c:pt>
                <c:pt idx="4">
                  <c:v>15286763.011721268</c:v>
                </c:pt>
                <c:pt idx="5">
                  <c:v>15286763.011721268</c:v>
                </c:pt>
                <c:pt idx="6">
                  <c:v>15286763.011721268</c:v>
                </c:pt>
                <c:pt idx="7">
                  <c:v>15286763.011721268</c:v>
                </c:pt>
                <c:pt idx="8">
                  <c:v>15286763.011721268</c:v>
                </c:pt>
                <c:pt idx="9">
                  <c:v>15286763.011721268</c:v>
                </c:pt>
                <c:pt idx="10">
                  <c:v>15286763.011721268</c:v>
                </c:pt>
                <c:pt idx="11">
                  <c:v>15286763.011721268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E1E-024A-844C-34FDE27EB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864992"/>
        <c:axId val="186864432"/>
      </c:lineChart>
      <c:catAx>
        <c:axId val="186863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s-MX"/>
          </a:p>
        </c:txPr>
        <c:crossAx val="186863872"/>
        <c:crosses val="autoZero"/>
        <c:auto val="1"/>
        <c:lblAlgn val="ctr"/>
        <c:lblOffset val="100"/>
        <c:noMultiLvlLbl val="1"/>
      </c:catAx>
      <c:valAx>
        <c:axId val="186863872"/>
        <c:scaling>
          <c:orientation val="minMax"/>
        </c:scaling>
        <c:delete val="0"/>
        <c:axPos val="l"/>
        <c:majorGridlines/>
        <c:numFmt formatCode="_(&quot;$&quot;* #,##0.00_);_(&quot;$&quot;* \(#,##0.00\);_(&quot;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2400"/>
            </a:pPr>
            <a:endParaRPr lang="es-MX"/>
          </a:p>
        </c:txPr>
        <c:crossAx val="186863312"/>
        <c:crosses val="autoZero"/>
        <c:crossBetween val="between"/>
        <c:dispUnits>
          <c:builtInUnit val="millions"/>
          <c:dispUnitsLbl/>
        </c:dispUnits>
      </c:valAx>
      <c:valAx>
        <c:axId val="186864432"/>
        <c:scaling>
          <c:orientation val="minMax"/>
        </c:scaling>
        <c:delete val="0"/>
        <c:axPos val="r"/>
        <c:numFmt formatCode="_(&quot;$&quot;* #,##0.00_);_(&quot;$&quot;* \(#,##0.00\);_(&quot;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2400"/>
            </a:pPr>
            <a:endParaRPr lang="es-MX"/>
          </a:p>
        </c:txPr>
        <c:crossAx val="186864992"/>
        <c:crosses val="max"/>
        <c:crossBetween val="between"/>
      </c:valAx>
      <c:catAx>
        <c:axId val="1868649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6864432"/>
        <c:crosses val="autoZero"/>
        <c:auto val="1"/>
        <c:lblAlgn val="ctr"/>
        <c:lblOffset val="100"/>
        <c:tickLblSkip val="1"/>
        <c:tickMarkSkip val="1"/>
        <c:noMultiLvlLbl val="1"/>
      </c:catAx>
    </c:plotArea>
    <c:legend>
      <c:legendPos val="r"/>
      <c:layout>
        <c:manualLayout>
          <c:xMode val="edge"/>
          <c:yMode val="edge"/>
          <c:x val="0.28189644222537608"/>
          <c:y val="0.89992737126116673"/>
          <c:w val="0.52736807695790267"/>
          <c:h val="9.839529494940924E-2"/>
        </c:manualLayout>
      </c:layout>
      <c:overlay val="0"/>
      <c:txPr>
        <a:bodyPr/>
        <a:lstStyle/>
        <a:p>
          <a:pPr>
            <a:defRPr sz="3200"/>
          </a:pPr>
          <a:endParaRPr lang="es-MX"/>
        </a:p>
      </c:txPr>
    </c:legend>
    <c:plotVisOnly val="1"/>
    <c:dispBlanksAs val="gap"/>
    <c:showDLblsOverMax val="0"/>
  </c:chart>
  <c:spPr>
    <a:ln w="6350" cmpd="sng"/>
  </c:spPr>
  <c:txPr>
    <a:bodyPr/>
    <a:lstStyle/>
    <a:p>
      <a:pPr>
        <a:defRPr sz="1800">
          <a:latin typeface="Avenir Book" panose="02000503020000020003" pitchFamily="2" charset="0"/>
        </a:defRPr>
      </a:pPr>
      <a:endParaRPr lang="es-MX"/>
    </a:p>
  </c:txPr>
  <c:printSettings>
    <c:headerFooter/>
    <c:pageMargins b="1" l="0.75" r="0.75" t="1" header="0.5" footer="0.5"/>
    <c:pageSetup paperSize="0" orientation="portrait" horizontalDpi="-4" verticalDpi="-4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19680549250127519"/>
          <c:y val="6.8537482952116313E-2"/>
          <c:w val="0.75706166808387831"/>
          <c:h val="0.86709533223433033"/>
        </c:manualLayout>
      </c:layout>
      <c:lineChart>
        <c:grouping val="standard"/>
        <c:varyColors val="0"/>
        <c:ser>
          <c:idx val="0"/>
          <c:order val="0"/>
          <c:tx>
            <c:strRef>
              <c:f>'GRÁFICA II'!$B$33</c:f>
              <c:strCache>
                <c:ptCount val="1"/>
                <c:pt idx="0">
                  <c:v>ARRENDA DE INMUEBLES Y SERV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II'!$C$33:$Q$33</c:f>
              <c:numCache>
                <c:formatCode>#,##0.00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A1-8641-B2BE-81F2B98F6301}"/>
            </c:ext>
          </c:extLst>
        </c:ser>
        <c:ser>
          <c:idx val="1"/>
          <c:order val="1"/>
          <c:tx>
            <c:strRef>
              <c:f>'GRÁFICA II'!$B$34</c:f>
              <c:strCache>
                <c:ptCount val="1"/>
                <c:pt idx="0">
                  <c:v>ARTICULOS DE SEGURIDAD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II'!$C$34:$Q$34</c:f>
              <c:numCache>
                <c:formatCode>#,##0.00</c:formatCode>
                <c:ptCount val="15"/>
                <c:pt idx="0">
                  <c:v>233794.17749999999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0A1-8641-B2BE-81F2B98F6301}"/>
            </c:ext>
          </c:extLst>
        </c:ser>
        <c:ser>
          <c:idx val="2"/>
          <c:order val="2"/>
          <c:tx>
            <c:strRef>
              <c:f>'GRÁFICA II'!$B$35</c:f>
              <c:strCache>
                <c:ptCount val="1"/>
                <c:pt idx="0">
                  <c:v>EQUIPO DE COMPUTO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II'!$C$35:$Q$35</c:f>
              <c:numCache>
                <c:formatCode>#,##0.00</c:formatCode>
                <c:ptCount val="15"/>
                <c:pt idx="0">
                  <c:v>0</c:v>
                </c:pt>
                <c:pt idx="1">
                  <c:v>32526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0A1-8641-B2BE-81F2B98F6301}"/>
            </c:ext>
          </c:extLst>
        </c:ser>
        <c:ser>
          <c:idx val="3"/>
          <c:order val="3"/>
          <c:tx>
            <c:strRef>
              <c:f>'GRÁFICA II'!$B$36</c:f>
              <c:strCache>
                <c:ptCount val="1"/>
                <c:pt idx="0">
                  <c:v>EQUIPOS Y ENSERES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II'!$C$36:$Q$36</c:f>
              <c:numCache>
                <c:formatCode>#,##0.00</c:formatCode>
                <c:ptCount val="15"/>
                <c:pt idx="0">
                  <c:v>5028.7599999999993</c:v>
                </c:pt>
                <c:pt idx="1">
                  <c:v>5028.7599999999993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0A1-8641-B2BE-81F2B98F6301}"/>
            </c:ext>
          </c:extLst>
        </c:ser>
        <c:ser>
          <c:idx val="4"/>
          <c:order val="4"/>
          <c:tx>
            <c:strRef>
              <c:f>'GRÁFICA II'!$B$37</c:f>
              <c:strCache>
                <c:ptCount val="1"/>
                <c:pt idx="0">
                  <c:v>INSUMOS AGRICOLAS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II'!$C$37:$Q$37</c:f>
              <c:numCache>
                <c:formatCode>#,##0.00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0A1-8641-B2BE-81F2B98F6301}"/>
            </c:ext>
          </c:extLst>
        </c:ser>
        <c:ser>
          <c:idx val="5"/>
          <c:order val="5"/>
          <c:tx>
            <c:strRef>
              <c:f>'GRÁFICA II'!$B$38</c:f>
              <c:strCache>
                <c:ptCount val="1"/>
                <c:pt idx="0">
                  <c:v>INSUMOS DE OFICINA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II'!$C$38:$Q$38</c:f>
              <c:numCache>
                <c:formatCode>#,##0.00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0A1-8641-B2BE-81F2B98F6301}"/>
            </c:ext>
          </c:extLst>
        </c:ser>
        <c:ser>
          <c:idx val="6"/>
          <c:order val="6"/>
          <c:tx>
            <c:strRef>
              <c:f>'GRÁFICA II'!$B$39</c:f>
              <c:strCache>
                <c:ptCount val="1"/>
                <c:pt idx="0">
                  <c:v>MARKETING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II'!$C$39:$Q$39</c:f>
              <c:numCache>
                <c:formatCode>#,##0.00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0A1-8641-B2BE-81F2B98F6301}"/>
            </c:ext>
          </c:extLst>
        </c:ser>
        <c:ser>
          <c:idx val="7"/>
          <c:order val="7"/>
          <c:tx>
            <c:strRef>
              <c:f>'GRÁFICA II'!$B$40</c:f>
              <c:strCache>
                <c:ptCount val="1"/>
                <c:pt idx="0">
                  <c:v>MATERIALES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II'!$C$40:$Q$40</c:f>
              <c:numCache>
                <c:formatCode>#,##0.00</c:formatCode>
                <c:ptCount val="15"/>
                <c:pt idx="0">
                  <c:v>10498.67</c:v>
                </c:pt>
                <c:pt idx="1">
                  <c:v>10498.67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0A1-8641-B2BE-81F2B98F6301}"/>
            </c:ext>
          </c:extLst>
        </c:ser>
        <c:ser>
          <c:idx val="8"/>
          <c:order val="8"/>
          <c:tx>
            <c:strRef>
              <c:f>'GRÁFICA II'!$B$41</c:f>
              <c:strCache>
                <c:ptCount val="1"/>
                <c:pt idx="0">
                  <c:v>MATERIALES DE SALUD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II'!$C$41:$Q$41</c:f>
              <c:numCache>
                <c:formatCode>#,##0.00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0A1-8641-B2BE-81F2B98F6301}"/>
            </c:ext>
          </c:extLst>
        </c:ser>
        <c:ser>
          <c:idx val="10"/>
          <c:order val="10"/>
          <c:tx>
            <c:strRef>
              <c:f>'GRÁFICA II'!$B$43</c:f>
              <c:strCache>
                <c:ptCount val="1"/>
                <c:pt idx="0">
                  <c:v>SERV TELEFONIA CELULAR Y RADIO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II'!$C$43:$Q$43</c:f>
              <c:numCache>
                <c:formatCode>#,##0.00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0A1-8641-B2BE-81F2B98F6301}"/>
            </c:ext>
          </c:extLst>
        </c:ser>
        <c:ser>
          <c:idx val="12"/>
          <c:order val="12"/>
          <c:tx>
            <c:strRef>
              <c:f>'GRÁFICA II'!$B$45</c:f>
              <c:strCache>
                <c:ptCount val="1"/>
                <c:pt idx="0">
                  <c:v>SERVICIOS DE CAPACITACION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II'!$C$45:$Q$45</c:f>
              <c:numCache>
                <c:formatCode>#,##0.00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0A1-8641-B2BE-81F2B98F6301}"/>
            </c:ext>
          </c:extLst>
        </c:ser>
        <c:ser>
          <c:idx val="13"/>
          <c:order val="13"/>
          <c:tx>
            <c:strRef>
              <c:f>'GRÁFICA II'!$B$46</c:f>
              <c:strCache>
                <c:ptCount val="1"/>
                <c:pt idx="0">
                  <c:v>SERVICIOS DE SALUD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II'!$C$46:$Q$46</c:f>
              <c:numCache>
                <c:formatCode>#,##0.00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0A1-8641-B2BE-81F2B98F6301}"/>
            </c:ext>
          </c:extLst>
        </c:ser>
        <c:ser>
          <c:idx val="14"/>
          <c:order val="14"/>
          <c:tx>
            <c:strRef>
              <c:f>'GRÁFICA II'!$B$47</c:f>
              <c:strCache>
                <c:ptCount val="1"/>
                <c:pt idx="0">
                  <c:v>UNIFORMES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II'!$C$47:$Q$47</c:f>
              <c:numCache>
                <c:formatCode>#,##0.00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0A1-8641-B2BE-81F2B98F6301}"/>
            </c:ext>
          </c:extLst>
        </c:ser>
        <c:ser>
          <c:idx val="15"/>
          <c:order val="15"/>
          <c:tx>
            <c:strRef>
              <c:f>'GRÁFICA II'!$B$48</c:f>
              <c:strCache>
                <c:ptCount val="1"/>
                <c:pt idx="0">
                  <c:v>VEHICULOS Y COMBUSTIBLE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II'!$C$48:$Q$48</c:f>
              <c:numCache>
                <c:formatCode>#,##0.00</c:formatCode>
                <c:ptCount val="15"/>
                <c:pt idx="0">
                  <c:v>150400</c:v>
                </c:pt>
                <c:pt idx="1">
                  <c:v>150400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0A1-8641-B2BE-81F2B98F6301}"/>
            </c:ext>
          </c:extLst>
        </c:ser>
        <c:ser>
          <c:idx val="16"/>
          <c:order val="16"/>
          <c:tx>
            <c:strRef>
              <c:f>'GRÁFICA II'!$B$49</c:f>
              <c:strCache>
                <c:ptCount val="1"/>
                <c:pt idx="0">
                  <c:v>VIATICOS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II'!$C$49:$Q$49</c:f>
              <c:numCache>
                <c:formatCode>#,##0.00</c:formatCode>
                <c:ptCount val="15"/>
                <c:pt idx="0">
                  <c:v>806647.14910000004</c:v>
                </c:pt>
                <c:pt idx="1">
                  <c:v>806647.14910000004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0A1-8641-B2BE-81F2B98F63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5975200"/>
        <c:axId val="1952720656"/>
      </c:lineChart>
      <c:lineChart>
        <c:grouping val="standard"/>
        <c:varyColors val="0"/>
        <c:ser>
          <c:idx val="9"/>
          <c:order val="9"/>
          <c:tx>
            <c:strRef>
              <c:f>'GRÁFICA II'!$B$42</c:f>
              <c:strCache>
                <c:ptCount val="1"/>
                <c:pt idx="0">
                  <c:v>NOMINA Y ADICIONALES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II'!$C$42:$Q$42</c:f>
              <c:numCache>
                <c:formatCode>#,##0.00</c:formatCode>
                <c:ptCount val="15"/>
                <c:pt idx="0">
                  <c:v>417404.60526315786</c:v>
                </c:pt>
                <c:pt idx="1">
                  <c:v>678534.53947368416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0A1-8641-B2BE-81F2B98F6301}"/>
            </c:ext>
          </c:extLst>
        </c:ser>
        <c:ser>
          <c:idx val="11"/>
          <c:order val="11"/>
          <c:tx>
            <c:strRef>
              <c:f>'GRÁFICA II'!$B$44</c:f>
              <c:strCache>
                <c:ptCount val="1"/>
                <c:pt idx="0">
                  <c:v>SERVICIOS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II'!$C$44:$Q$44</c:f>
              <c:numCache>
                <c:formatCode>#,##0.00</c:formatCode>
                <c:ptCount val="15"/>
                <c:pt idx="0">
                  <c:v>1959720.8087999998</c:v>
                </c:pt>
                <c:pt idx="1">
                  <c:v>1281872.4687999999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0A1-8641-B2BE-81F2B98F63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8248464"/>
        <c:axId val="1933070368"/>
      </c:lineChart>
      <c:catAx>
        <c:axId val="1955975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52720656"/>
        <c:crosses val="autoZero"/>
        <c:auto val="1"/>
        <c:lblAlgn val="ctr"/>
        <c:lblOffset val="100"/>
        <c:noMultiLvlLbl val="0"/>
      </c:catAx>
      <c:valAx>
        <c:axId val="1952720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55975200"/>
        <c:crosses val="autoZero"/>
        <c:crossBetween val="between"/>
      </c:valAx>
      <c:valAx>
        <c:axId val="1933070368"/>
        <c:scaling>
          <c:orientation val="minMax"/>
        </c:scaling>
        <c:delete val="0"/>
        <c:axPos val="r"/>
        <c:numFmt formatCode="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58248464"/>
        <c:crosses val="max"/>
        <c:crossBetween val="between"/>
      </c:valAx>
      <c:catAx>
        <c:axId val="19582484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330703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6.2011806281708068E-3"/>
          <c:y val="4.0599349520281186E-2"/>
          <c:w val="0.12634555033863432"/>
          <c:h val="0.9013638133379761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FLUJO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12699</xdr:colOff>
      <xdr:row>1</xdr:row>
      <xdr:rowOff>63499</xdr:rowOff>
    </xdr:from>
    <xdr:to>
      <xdr:col>33</xdr:col>
      <xdr:colOff>76200</xdr:colOff>
      <xdr:row>90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241022</xdr:colOff>
      <xdr:row>0</xdr:row>
      <xdr:rowOff>120511</xdr:rowOff>
    </xdr:from>
    <xdr:to>
      <xdr:col>16</xdr:col>
      <xdr:colOff>444964</xdr:colOff>
      <xdr:row>30</xdr:row>
      <xdr:rowOff>41344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6B6FF16C-7E3D-21AB-C6A0-14BF4E251F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710046</xdr:colOff>
      <xdr:row>40</xdr:row>
      <xdr:rowOff>121227</xdr:rowOff>
    </xdr:from>
    <xdr:to>
      <xdr:col>1</xdr:col>
      <xdr:colOff>2996046</xdr:colOff>
      <xdr:row>47</xdr:row>
      <xdr:rowOff>51954</xdr:rowOff>
    </xdr:to>
    <xdr:sp macro="" textlink="">
      <xdr:nvSpPr>
        <xdr:cNvPr id="2" name="Pentágono regular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935182" y="15032182"/>
          <a:ext cx="2286000" cy="1264227"/>
        </a:xfrm>
        <a:prstGeom prst="pentagon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2000" b="1">
              <a:solidFill>
                <a:sysClr val="windowText" lastClr="000000"/>
              </a:solidFill>
            </a:rPr>
            <a:t>PREMISAS</a:t>
          </a:r>
          <a:endParaRPr lang="es-MX" sz="1100" b="1">
            <a:solidFill>
              <a:sysClr val="windowText" lastClr="000000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:/10.10.3.201/Users/imejial/AppData/Local/Microsoft/Windows/Temporary%20Internet%20Files/Content.Outlook/A4OMUGPP/Nuvoil%20Competencias%20Laborales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:/10.10.3.201/Users/imejial/AppData/Local/Microsoft/Windows/Temporary%20Internet%20Files/Content.Outlook/A4OMUGPP/Nuvoil%20Competencias%20Laborales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palacioss/Documents/Geolis/01%20PEMEX/1.%20BECH%20RMNE/3.%20Cronograma%20Proyecto/Cronograma%20de%20Ejecuci&#243;n%20de%20BEC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 Competencias"/>
      <sheetName val="Portada"/>
      <sheetName val="BD1"/>
      <sheetName val="BD2"/>
      <sheetName val="Formato"/>
      <sheetName val="Listado"/>
      <sheetName val="TDat"/>
      <sheetName val="Form_Largo1 "/>
      <sheetName val="GR"/>
      <sheetName val="Eval_Puesto"/>
      <sheetName val="Dic Competencias"/>
      <sheetName val="BD Eval"/>
      <sheetName val="Info Eval"/>
      <sheetName val="Datos"/>
    </sheetNames>
    <sheetDataSet>
      <sheetData sheetId="0" refreshError="1">
        <row r="14">
          <cell r="F14" t="str">
            <v>Calidad</v>
          </cell>
        </row>
        <row r="15">
          <cell r="F15" t="str">
            <v>Administración</v>
          </cell>
        </row>
        <row r="16">
          <cell r="F16" t="str">
            <v>Compras</v>
          </cell>
        </row>
        <row r="17">
          <cell r="F17" t="str">
            <v>Construcción</v>
          </cell>
        </row>
        <row r="20">
          <cell r="F20" t="str">
            <v>Contabilidad</v>
          </cell>
        </row>
        <row r="22">
          <cell r="F22" t="str">
            <v>Contabilidad y finanzas</v>
          </cell>
        </row>
        <row r="23">
          <cell r="F23" t="str">
            <v>Desarrollo de negocios</v>
          </cell>
        </row>
        <row r="26">
          <cell r="F26" t="str">
            <v>Mantenimiento Especializado y Transporte (MET)</v>
          </cell>
        </row>
        <row r="28">
          <cell r="F28" t="str">
            <v>Mercadotecnia</v>
          </cell>
        </row>
        <row r="29">
          <cell r="F29" t="str">
            <v>Operaciones</v>
          </cell>
        </row>
        <row r="30">
          <cell r="F30" t="str">
            <v>Operaciones (Deshidratación)</v>
          </cell>
        </row>
        <row r="32">
          <cell r="F32" t="str">
            <v>Planeación, Control y Seguimiento</v>
          </cell>
        </row>
        <row r="33">
          <cell r="F33" t="str">
            <v>Telemetría</v>
          </cell>
        </row>
        <row r="35">
          <cell r="F35" t="str">
            <v>Recursos humanos</v>
          </cell>
        </row>
        <row r="40">
          <cell r="F40" t="str">
            <v>Seguridad, salud ocupacional y protección ambiental</v>
          </cell>
        </row>
        <row r="41">
          <cell r="F41" t="str">
            <v>Tecnologías de información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 Competencia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Schedule"/>
      <sheetName val="ProjectSchedule "/>
      <sheetName val="25_06al_12_07_2020 (2)"/>
      <sheetName val="13_07 al al_15_08_2020"/>
      <sheetName val="13_07 al al_15_08_2020 (2)"/>
      <sheetName val="About"/>
    </sheetNames>
    <sheetDataSet>
      <sheetData sheetId="0">
        <row r="2">
          <cell r="I2">
            <v>43957</v>
          </cell>
        </row>
        <row r="3">
          <cell r="I3">
            <v>1</v>
          </cell>
        </row>
      </sheetData>
      <sheetData sheetId="1" refreshError="1"/>
      <sheetData sheetId="2" refreshError="1"/>
      <sheetData sheetId="3" refreshError="1"/>
      <sheetData sheetId="4"/>
      <sheetData sheetId="5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google.com/search?client=firefox-b-d&amp;q=precio+del+dolar+hoy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D579"/>
  </sheetPr>
  <dimension ref="A1:U201"/>
  <sheetViews>
    <sheetView zoomScale="53" zoomScaleNormal="55" workbookViewId="0">
      <pane xSplit="2" ySplit="7" topLeftCell="C13" activePane="bottomRight" state="frozen"/>
      <selection activeCell="D27" sqref="D27"/>
      <selection pane="topRight" activeCell="D27" sqref="D27"/>
      <selection pane="bottomLeft" activeCell="D27" sqref="D27"/>
      <selection pane="bottomRight" activeCell="D194" sqref="D194:G196"/>
    </sheetView>
  </sheetViews>
  <sheetFormatPr baseColWidth="10" defaultRowHeight="20.149999999999999" customHeight="1" outlineLevelRow="1" x14ac:dyDescent="0.35"/>
  <cols>
    <col min="1" max="1" width="54.58203125" style="2" bestFit="1" customWidth="1"/>
    <col min="2" max="2" width="20.08203125" style="2" bestFit="1" customWidth="1"/>
    <col min="3" max="3" width="25" style="2" customWidth="1"/>
    <col min="4" max="4" width="16.08203125" style="2" bestFit="1" customWidth="1"/>
    <col min="5" max="5" width="18.25" style="2" bestFit="1" customWidth="1"/>
    <col min="6" max="6" width="17.58203125" style="2" bestFit="1" customWidth="1"/>
    <col min="7" max="10" width="18.25" style="2" bestFit="1" customWidth="1"/>
    <col min="11" max="11" width="17.58203125" style="2" bestFit="1" customWidth="1"/>
    <col min="12" max="12" width="18.58203125" style="2" bestFit="1" customWidth="1"/>
    <col min="13" max="14" width="17.58203125" style="2" bestFit="1" customWidth="1"/>
    <col min="15" max="15" width="18.25" style="2" bestFit="1" customWidth="1"/>
    <col min="16" max="16" width="19.5" style="2" bestFit="1" customWidth="1"/>
    <col min="17" max="17" width="13.58203125" style="2" customWidth="1"/>
    <col min="18" max="18" width="10.83203125" style="2"/>
    <col min="19" max="19" width="86.33203125" style="2" bestFit="1" customWidth="1"/>
    <col min="20" max="229" width="10.83203125" style="2"/>
    <col min="230" max="230" width="34.08203125" style="2" customWidth="1"/>
    <col min="231" max="269" width="15.58203125" style="2" customWidth="1"/>
    <col min="270" max="485" width="10.83203125" style="2"/>
    <col min="486" max="486" width="34.08203125" style="2" customWidth="1"/>
    <col min="487" max="525" width="15.58203125" style="2" customWidth="1"/>
    <col min="526" max="741" width="10.83203125" style="2"/>
    <col min="742" max="742" width="34.08203125" style="2" customWidth="1"/>
    <col min="743" max="781" width="15.58203125" style="2" customWidth="1"/>
    <col min="782" max="997" width="10.83203125" style="2"/>
    <col min="998" max="998" width="34.08203125" style="2" customWidth="1"/>
    <col min="999" max="1037" width="15.58203125" style="2" customWidth="1"/>
    <col min="1038" max="1253" width="10.83203125" style="2"/>
    <col min="1254" max="1254" width="34.08203125" style="2" customWidth="1"/>
    <col min="1255" max="1293" width="15.58203125" style="2" customWidth="1"/>
    <col min="1294" max="1509" width="10.83203125" style="2"/>
    <col min="1510" max="1510" width="34.08203125" style="2" customWidth="1"/>
    <col min="1511" max="1549" width="15.58203125" style="2" customWidth="1"/>
    <col min="1550" max="1765" width="10.83203125" style="2"/>
    <col min="1766" max="1766" width="34.08203125" style="2" customWidth="1"/>
    <col min="1767" max="1805" width="15.58203125" style="2" customWidth="1"/>
    <col min="1806" max="2021" width="10.83203125" style="2"/>
    <col min="2022" max="2022" width="34.08203125" style="2" customWidth="1"/>
    <col min="2023" max="2061" width="15.58203125" style="2" customWidth="1"/>
    <col min="2062" max="2277" width="10.83203125" style="2"/>
    <col min="2278" max="2278" width="34.08203125" style="2" customWidth="1"/>
    <col min="2279" max="2317" width="15.58203125" style="2" customWidth="1"/>
    <col min="2318" max="2533" width="10.83203125" style="2"/>
    <col min="2534" max="2534" width="34.08203125" style="2" customWidth="1"/>
    <col min="2535" max="2573" width="15.58203125" style="2" customWidth="1"/>
    <col min="2574" max="2789" width="10.83203125" style="2"/>
    <col min="2790" max="2790" width="34.08203125" style="2" customWidth="1"/>
    <col min="2791" max="2829" width="15.58203125" style="2" customWidth="1"/>
    <col min="2830" max="3045" width="10.83203125" style="2"/>
    <col min="3046" max="3046" width="34.08203125" style="2" customWidth="1"/>
    <col min="3047" max="3085" width="15.58203125" style="2" customWidth="1"/>
    <col min="3086" max="3301" width="10.83203125" style="2"/>
    <col min="3302" max="3302" width="34.08203125" style="2" customWidth="1"/>
    <col min="3303" max="3341" width="15.58203125" style="2" customWidth="1"/>
    <col min="3342" max="3557" width="10.83203125" style="2"/>
    <col min="3558" max="3558" width="34.08203125" style="2" customWidth="1"/>
    <col min="3559" max="3597" width="15.58203125" style="2" customWidth="1"/>
    <col min="3598" max="3813" width="10.83203125" style="2"/>
    <col min="3814" max="3814" width="34.08203125" style="2" customWidth="1"/>
    <col min="3815" max="3853" width="15.58203125" style="2" customWidth="1"/>
    <col min="3854" max="4069" width="10.83203125" style="2"/>
    <col min="4070" max="4070" width="34.08203125" style="2" customWidth="1"/>
    <col min="4071" max="4109" width="15.58203125" style="2" customWidth="1"/>
    <col min="4110" max="4325" width="10.83203125" style="2"/>
    <col min="4326" max="4326" width="34.08203125" style="2" customWidth="1"/>
    <col min="4327" max="4365" width="15.58203125" style="2" customWidth="1"/>
    <col min="4366" max="4581" width="10.83203125" style="2"/>
    <col min="4582" max="4582" width="34.08203125" style="2" customWidth="1"/>
    <col min="4583" max="4621" width="15.58203125" style="2" customWidth="1"/>
    <col min="4622" max="4837" width="10.83203125" style="2"/>
    <col min="4838" max="4838" width="34.08203125" style="2" customWidth="1"/>
    <col min="4839" max="4877" width="15.58203125" style="2" customWidth="1"/>
    <col min="4878" max="5093" width="10.83203125" style="2"/>
    <col min="5094" max="5094" width="34.08203125" style="2" customWidth="1"/>
    <col min="5095" max="5133" width="15.58203125" style="2" customWidth="1"/>
    <col min="5134" max="5349" width="10.83203125" style="2"/>
    <col min="5350" max="5350" width="34.08203125" style="2" customWidth="1"/>
    <col min="5351" max="5389" width="15.58203125" style="2" customWidth="1"/>
    <col min="5390" max="5605" width="10.83203125" style="2"/>
    <col min="5606" max="5606" width="34.08203125" style="2" customWidth="1"/>
    <col min="5607" max="5645" width="15.58203125" style="2" customWidth="1"/>
    <col min="5646" max="5861" width="10.83203125" style="2"/>
    <col min="5862" max="5862" width="34.08203125" style="2" customWidth="1"/>
    <col min="5863" max="5901" width="15.58203125" style="2" customWidth="1"/>
    <col min="5902" max="6117" width="10.83203125" style="2"/>
    <col min="6118" max="6118" width="34.08203125" style="2" customWidth="1"/>
    <col min="6119" max="6157" width="15.58203125" style="2" customWidth="1"/>
    <col min="6158" max="6373" width="10.83203125" style="2"/>
    <col min="6374" max="6374" width="34.08203125" style="2" customWidth="1"/>
    <col min="6375" max="6413" width="15.58203125" style="2" customWidth="1"/>
    <col min="6414" max="6629" width="10.83203125" style="2"/>
    <col min="6630" max="6630" width="34.08203125" style="2" customWidth="1"/>
    <col min="6631" max="6669" width="15.58203125" style="2" customWidth="1"/>
    <col min="6670" max="6885" width="10.83203125" style="2"/>
    <col min="6886" max="6886" width="34.08203125" style="2" customWidth="1"/>
    <col min="6887" max="6925" width="15.58203125" style="2" customWidth="1"/>
    <col min="6926" max="7141" width="10.83203125" style="2"/>
    <col min="7142" max="7142" width="34.08203125" style="2" customWidth="1"/>
    <col min="7143" max="7181" width="15.58203125" style="2" customWidth="1"/>
    <col min="7182" max="7397" width="10.83203125" style="2"/>
    <col min="7398" max="7398" width="34.08203125" style="2" customWidth="1"/>
    <col min="7399" max="7437" width="15.58203125" style="2" customWidth="1"/>
    <col min="7438" max="7653" width="10.83203125" style="2"/>
    <col min="7654" max="7654" width="34.08203125" style="2" customWidth="1"/>
    <col min="7655" max="7693" width="15.58203125" style="2" customWidth="1"/>
    <col min="7694" max="7909" width="10.83203125" style="2"/>
    <col min="7910" max="7910" width="34.08203125" style="2" customWidth="1"/>
    <col min="7911" max="7949" width="15.58203125" style="2" customWidth="1"/>
    <col min="7950" max="8165" width="10.83203125" style="2"/>
    <col min="8166" max="8166" width="34.08203125" style="2" customWidth="1"/>
    <col min="8167" max="8205" width="15.58203125" style="2" customWidth="1"/>
    <col min="8206" max="8421" width="10.83203125" style="2"/>
    <col min="8422" max="8422" width="34.08203125" style="2" customWidth="1"/>
    <col min="8423" max="8461" width="15.58203125" style="2" customWidth="1"/>
    <col min="8462" max="8677" width="10.83203125" style="2"/>
    <col min="8678" max="8678" width="34.08203125" style="2" customWidth="1"/>
    <col min="8679" max="8717" width="15.58203125" style="2" customWidth="1"/>
    <col min="8718" max="8933" width="10.83203125" style="2"/>
    <col min="8934" max="8934" width="34.08203125" style="2" customWidth="1"/>
    <col min="8935" max="8973" width="15.58203125" style="2" customWidth="1"/>
    <col min="8974" max="9189" width="10.83203125" style="2"/>
    <col min="9190" max="9190" width="34.08203125" style="2" customWidth="1"/>
    <col min="9191" max="9229" width="15.58203125" style="2" customWidth="1"/>
    <col min="9230" max="9445" width="10.83203125" style="2"/>
    <col min="9446" max="9446" width="34.08203125" style="2" customWidth="1"/>
    <col min="9447" max="9485" width="15.58203125" style="2" customWidth="1"/>
    <col min="9486" max="9701" width="10.83203125" style="2"/>
    <col min="9702" max="9702" width="34.08203125" style="2" customWidth="1"/>
    <col min="9703" max="9741" width="15.58203125" style="2" customWidth="1"/>
    <col min="9742" max="9957" width="10.83203125" style="2"/>
    <col min="9958" max="9958" width="34.08203125" style="2" customWidth="1"/>
    <col min="9959" max="9997" width="15.58203125" style="2" customWidth="1"/>
    <col min="9998" max="10213" width="10.83203125" style="2"/>
    <col min="10214" max="10214" width="34.08203125" style="2" customWidth="1"/>
    <col min="10215" max="10253" width="15.58203125" style="2" customWidth="1"/>
    <col min="10254" max="10469" width="10.83203125" style="2"/>
    <col min="10470" max="10470" width="34.08203125" style="2" customWidth="1"/>
    <col min="10471" max="10509" width="15.58203125" style="2" customWidth="1"/>
    <col min="10510" max="10725" width="10.83203125" style="2"/>
    <col min="10726" max="10726" width="34.08203125" style="2" customWidth="1"/>
    <col min="10727" max="10765" width="15.58203125" style="2" customWidth="1"/>
    <col min="10766" max="10981" width="10.83203125" style="2"/>
    <col min="10982" max="10982" width="34.08203125" style="2" customWidth="1"/>
    <col min="10983" max="11021" width="15.58203125" style="2" customWidth="1"/>
    <col min="11022" max="11237" width="10.83203125" style="2"/>
    <col min="11238" max="11238" width="34.08203125" style="2" customWidth="1"/>
    <col min="11239" max="11277" width="15.58203125" style="2" customWidth="1"/>
    <col min="11278" max="11493" width="10.83203125" style="2"/>
    <col min="11494" max="11494" width="34.08203125" style="2" customWidth="1"/>
    <col min="11495" max="11533" width="15.58203125" style="2" customWidth="1"/>
    <col min="11534" max="11749" width="10.83203125" style="2"/>
    <col min="11750" max="11750" width="34.08203125" style="2" customWidth="1"/>
    <col min="11751" max="11789" width="15.58203125" style="2" customWidth="1"/>
    <col min="11790" max="12005" width="10.83203125" style="2"/>
    <col min="12006" max="12006" width="34.08203125" style="2" customWidth="1"/>
    <col min="12007" max="12045" width="15.58203125" style="2" customWidth="1"/>
    <col min="12046" max="12261" width="10.83203125" style="2"/>
    <col min="12262" max="12262" width="34.08203125" style="2" customWidth="1"/>
    <col min="12263" max="12301" width="15.58203125" style="2" customWidth="1"/>
    <col min="12302" max="12517" width="10.83203125" style="2"/>
    <col min="12518" max="12518" width="34.08203125" style="2" customWidth="1"/>
    <col min="12519" max="12557" width="15.58203125" style="2" customWidth="1"/>
    <col min="12558" max="12773" width="10.83203125" style="2"/>
    <col min="12774" max="12774" width="34.08203125" style="2" customWidth="1"/>
    <col min="12775" max="12813" width="15.58203125" style="2" customWidth="1"/>
    <col min="12814" max="13029" width="10.83203125" style="2"/>
    <col min="13030" max="13030" width="34.08203125" style="2" customWidth="1"/>
    <col min="13031" max="13069" width="15.58203125" style="2" customWidth="1"/>
    <col min="13070" max="13285" width="10.83203125" style="2"/>
    <col min="13286" max="13286" width="34.08203125" style="2" customWidth="1"/>
    <col min="13287" max="13325" width="15.58203125" style="2" customWidth="1"/>
    <col min="13326" max="13541" width="10.83203125" style="2"/>
    <col min="13542" max="13542" width="34.08203125" style="2" customWidth="1"/>
    <col min="13543" max="13581" width="15.58203125" style="2" customWidth="1"/>
    <col min="13582" max="13797" width="10.83203125" style="2"/>
    <col min="13798" max="13798" width="34.08203125" style="2" customWidth="1"/>
    <col min="13799" max="13837" width="15.58203125" style="2" customWidth="1"/>
    <col min="13838" max="14053" width="10.83203125" style="2"/>
    <col min="14054" max="14054" width="34.08203125" style="2" customWidth="1"/>
    <col min="14055" max="14093" width="15.58203125" style="2" customWidth="1"/>
    <col min="14094" max="14309" width="10.83203125" style="2"/>
    <col min="14310" max="14310" width="34.08203125" style="2" customWidth="1"/>
    <col min="14311" max="14349" width="15.58203125" style="2" customWidth="1"/>
    <col min="14350" max="14565" width="10.83203125" style="2"/>
    <col min="14566" max="14566" width="34.08203125" style="2" customWidth="1"/>
    <col min="14567" max="14605" width="15.58203125" style="2" customWidth="1"/>
    <col min="14606" max="14821" width="10.83203125" style="2"/>
    <col min="14822" max="14822" width="34.08203125" style="2" customWidth="1"/>
    <col min="14823" max="14861" width="15.58203125" style="2" customWidth="1"/>
    <col min="14862" max="15077" width="10.83203125" style="2"/>
    <col min="15078" max="15078" width="34.08203125" style="2" customWidth="1"/>
    <col min="15079" max="15117" width="15.58203125" style="2" customWidth="1"/>
    <col min="15118" max="15333" width="10.83203125" style="2"/>
    <col min="15334" max="15334" width="34.08203125" style="2" customWidth="1"/>
    <col min="15335" max="15373" width="15.58203125" style="2" customWidth="1"/>
    <col min="15374" max="15589" width="10.83203125" style="2"/>
    <col min="15590" max="15590" width="34.08203125" style="2" customWidth="1"/>
    <col min="15591" max="15629" width="15.58203125" style="2" customWidth="1"/>
    <col min="15630" max="15845" width="10.83203125" style="2"/>
    <col min="15846" max="15846" width="34.08203125" style="2" customWidth="1"/>
    <col min="15847" max="15885" width="15.58203125" style="2" customWidth="1"/>
    <col min="15886" max="16101" width="10.83203125" style="2"/>
    <col min="16102" max="16102" width="34.08203125" style="2" customWidth="1"/>
    <col min="16103" max="16141" width="15.58203125" style="2" customWidth="1"/>
    <col min="16142" max="16384" width="10.83203125" style="2"/>
  </cols>
  <sheetData>
    <row r="1" spans="1:20" ht="20.149999999999999" customHeight="1" x14ac:dyDescent="0.35">
      <c r="A1" s="412" t="s">
        <v>117</v>
      </c>
      <c r="B1" s="412"/>
    </row>
    <row r="2" spans="1:20" ht="20.149999999999999" customHeight="1" x14ac:dyDescent="0.35">
      <c r="A2" s="413" t="s">
        <v>485</v>
      </c>
      <c r="B2" s="413"/>
    </row>
    <row r="3" spans="1:20" ht="20.149999999999999" customHeight="1" x14ac:dyDescent="0.35">
      <c r="A3" s="251" t="s">
        <v>381</v>
      </c>
      <c r="B3" s="251"/>
      <c r="C3" s="273"/>
      <c r="D3" s="273"/>
      <c r="E3" s="273" t="s">
        <v>418</v>
      </c>
      <c r="F3" s="273" t="s">
        <v>419</v>
      </c>
      <c r="G3" s="273" t="s">
        <v>420</v>
      </c>
      <c r="H3" s="273" t="s">
        <v>421</v>
      </c>
      <c r="I3" s="273" t="s">
        <v>422</v>
      </c>
      <c r="J3" s="273" t="s">
        <v>423</v>
      </c>
      <c r="K3" s="273" t="s">
        <v>424</v>
      </c>
      <c r="L3" s="273" t="s">
        <v>425</v>
      </c>
      <c r="M3" s="273" t="s">
        <v>426</v>
      </c>
      <c r="N3" s="273" t="s">
        <v>427</v>
      </c>
      <c r="O3" s="273" t="s">
        <v>428</v>
      </c>
      <c r="P3" s="273" t="s">
        <v>429</v>
      </c>
    </row>
    <row r="4" spans="1:20" ht="20.149999999999999" customHeight="1" x14ac:dyDescent="0.35">
      <c r="A4" s="252" t="s">
        <v>91</v>
      </c>
      <c r="B4" s="252" t="s">
        <v>118</v>
      </c>
      <c r="C4" s="252" t="s">
        <v>84</v>
      </c>
      <c r="D4" s="252" t="s">
        <v>461</v>
      </c>
      <c r="E4" s="252" t="s">
        <v>365</v>
      </c>
      <c r="F4" s="252" t="s">
        <v>366</v>
      </c>
      <c r="G4" s="252" t="s">
        <v>367</v>
      </c>
      <c r="H4" s="252" t="s">
        <v>368</v>
      </c>
      <c r="I4" s="252" t="s">
        <v>357</v>
      </c>
      <c r="J4" s="252" t="s">
        <v>358</v>
      </c>
      <c r="K4" s="252" t="s">
        <v>359</v>
      </c>
      <c r="L4" s="252" t="s">
        <v>360</v>
      </c>
      <c r="M4" s="252" t="s">
        <v>361</v>
      </c>
      <c r="N4" s="252" t="s">
        <v>362</v>
      </c>
      <c r="O4" s="252" t="s">
        <v>363</v>
      </c>
      <c r="P4" s="252" t="s">
        <v>364</v>
      </c>
      <c r="Q4" s="4" t="s">
        <v>334</v>
      </c>
    </row>
    <row r="5" spans="1:20" ht="20.149999999999999" customHeight="1" x14ac:dyDescent="0.35">
      <c r="A5" s="253" t="s">
        <v>92</v>
      </c>
      <c r="B5" s="254">
        <f>SUM(C5:P5)</f>
        <v>75320044.758400008</v>
      </c>
      <c r="C5" s="254">
        <f>'F08 INGRESOS'!M16</f>
        <v>17783232.533300001</v>
      </c>
      <c r="D5" s="254">
        <f>'F08 INGRESOS'!N16</f>
        <v>57536812.225100003</v>
      </c>
      <c r="E5" s="254">
        <f>'F08 INGRESOS'!O16</f>
        <v>0</v>
      </c>
      <c r="F5" s="254">
        <f>'F08 INGRESOS'!P16</f>
        <v>0</v>
      </c>
      <c r="G5" s="254">
        <f>'F08 INGRESOS'!Q16</f>
        <v>0</v>
      </c>
      <c r="H5" s="254">
        <f>'F08 INGRESOS'!R16</f>
        <v>0</v>
      </c>
      <c r="I5" s="254">
        <f>'F08 INGRESOS'!S16</f>
        <v>0</v>
      </c>
      <c r="J5" s="254">
        <f>'F08 INGRESOS'!T16</f>
        <v>0</v>
      </c>
      <c r="K5" s="254">
        <f>'F08 INGRESOS'!U16</f>
        <v>0</v>
      </c>
      <c r="L5" s="254">
        <f>'F08 INGRESOS'!V16</f>
        <v>0</v>
      </c>
      <c r="M5" s="254">
        <f>'F08 INGRESOS'!W16</f>
        <v>0</v>
      </c>
      <c r="N5" s="254">
        <f>'F08 INGRESOS'!X16</f>
        <v>0</v>
      </c>
      <c r="O5" s="254">
        <f>'F08 INGRESOS'!Y16</f>
        <v>0</v>
      </c>
      <c r="P5" s="254">
        <f>'F08 INGRESOS'!Z16</f>
        <v>0</v>
      </c>
      <c r="Q5" s="4">
        <f>COUNTA(E4:P4)</f>
        <v>12</v>
      </c>
    </row>
    <row r="6" spans="1:20" ht="20.149999999999999" customHeight="1" x14ac:dyDescent="0.35">
      <c r="A6" s="251" t="s">
        <v>449</v>
      </c>
      <c r="B6" s="251"/>
      <c r="C6" s="251"/>
      <c r="D6" s="251"/>
      <c r="E6" s="251"/>
      <c r="F6" s="251"/>
      <c r="G6" s="251"/>
      <c r="H6" s="251"/>
      <c r="I6" s="251"/>
      <c r="J6" s="251"/>
      <c r="K6" s="251"/>
      <c r="L6" s="251"/>
      <c r="M6" s="251"/>
      <c r="N6" s="251"/>
      <c r="O6" s="251"/>
      <c r="P6" s="251"/>
    </row>
    <row r="7" spans="1:20" ht="20.149999999999999" customHeight="1" x14ac:dyDescent="0.35">
      <c r="A7" s="252" t="s">
        <v>91</v>
      </c>
      <c r="B7" s="252" t="s">
        <v>118</v>
      </c>
      <c r="C7" s="252" t="s">
        <v>272</v>
      </c>
      <c r="D7" s="252" t="s">
        <v>272</v>
      </c>
      <c r="E7" s="252" t="s">
        <v>365</v>
      </c>
      <c r="F7" s="252" t="s">
        <v>366</v>
      </c>
      <c r="G7" s="252" t="s">
        <v>367</v>
      </c>
      <c r="H7" s="252" t="s">
        <v>368</v>
      </c>
      <c r="I7" s="252" t="s">
        <v>357</v>
      </c>
      <c r="J7" s="252" t="s">
        <v>358</v>
      </c>
      <c r="K7" s="252" t="s">
        <v>359</v>
      </c>
      <c r="L7" s="252" t="s">
        <v>360</v>
      </c>
      <c r="M7" s="252" t="s">
        <v>361</v>
      </c>
      <c r="N7" s="252" t="s">
        <v>362</v>
      </c>
      <c r="O7" s="252" t="s">
        <v>363</v>
      </c>
      <c r="P7" s="252" t="s">
        <v>364</v>
      </c>
    </row>
    <row r="8" spans="1:20" ht="20.149999999999999" hidden="1" customHeight="1" outlineLevel="1" x14ac:dyDescent="0.35">
      <c r="A8" s="255" t="s">
        <v>112</v>
      </c>
      <c r="B8" s="256">
        <f>SUM(C8:P8)</f>
        <v>0</v>
      </c>
      <c r="C8" s="256">
        <f>'F00 INVERSIÓN'!L12</f>
        <v>0</v>
      </c>
      <c r="D8" s="256">
        <f>'F00 INVERSIÓN'!M12</f>
        <v>0</v>
      </c>
      <c r="E8" s="256">
        <f>'F00 INVERSIÓN'!N12</f>
        <v>0</v>
      </c>
      <c r="F8" s="256">
        <f>'F00 INVERSIÓN'!O12</f>
        <v>0</v>
      </c>
      <c r="G8" s="256">
        <f>'F00 INVERSIÓN'!P12</f>
        <v>0</v>
      </c>
      <c r="H8" s="256">
        <f>'F00 INVERSIÓN'!Q12</f>
        <v>0</v>
      </c>
      <c r="I8" s="256">
        <f>'F00 INVERSIÓN'!R12</f>
        <v>0</v>
      </c>
      <c r="J8" s="256">
        <f>'F00 INVERSIÓN'!S12</f>
        <v>0</v>
      </c>
      <c r="K8" s="256">
        <f>'F00 INVERSIÓN'!T12</f>
        <v>0</v>
      </c>
      <c r="L8" s="256">
        <f>'F00 INVERSIÓN'!U12</f>
        <v>0</v>
      </c>
      <c r="M8" s="256">
        <f>'F00 INVERSIÓN'!V12</f>
        <v>0</v>
      </c>
      <c r="N8" s="256">
        <f>'F00 INVERSIÓN'!W12</f>
        <v>0</v>
      </c>
      <c r="O8" s="256">
        <f>'F00 INVERSIÓN'!X12</f>
        <v>0</v>
      </c>
      <c r="P8" s="256">
        <f>'F00 INVERSIÓN'!Y12</f>
        <v>0</v>
      </c>
      <c r="Q8" s="257">
        <f t="shared" ref="Q8:Q39" si="0">B8/$B$162</f>
        <v>0</v>
      </c>
    </row>
    <row r="9" spans="1:20" ht="20.149999999999999" hidden="1" customHeight="1" outlineLevel="1" x14ac:dyDescent="0.35">
      <c r="A9" s="258" t="s">
        <v>113</v>
      </c>
      <c r="B9" s="256">
        <f>SUM(C9:P9)</f>
        <v>0</v>
      </c>
      <c r="C9" s="259">
        <f>'F00 INVERSIÓN'!L18</f>
        <v>0</v>
      </c>
      <c r="D9" s="259">
        <f>'F00 INVERSIÓN'!M18</f>
        <v>0</v>
      </c>
      <c r="E9" s="259">
        <f>'F00 INVERSIÓN'!N18</f>
        <v>0</v>
      </c>
      <c r="F9" s="259">
        <f>'F00 INVERSIÓN'!O18</f>
        <v>0</v>
      </c>
      <c r="G9" s="259">
        <f>'F00 INVERSIÓN'!P18</f>
        <v>0</v>
      </c>
      <c r="H9" s="259">
        <f>'F00 INVERSIÓN'!Q18</f>
        <v>0</v>
      </c>
      <c r="I9" s="259">
        <f>'F00 INVERSIÓN'!R18</f>
        <v>0</v>
      </c>
      <c r="J9" s="259">
        <f>'F00 INVERSIÓN'!S18</f>
        <v>0</v>
      </c>
      <c r="K9" s="259">
        <f>'F00 INVERSIÓN'!T18</f>
        <v>0</v>
      </c>
      <c r="L9" s="259">
        <f>'F00 INVERSIÓN'!U18</f>
        <v>0</v>
      </c>
      <c r="M9" s="259">
        <f>'F00 INVERSIÓN'!V18</f>
        <v>0</v>
      </c>
      <c r="N9" s="259">
        <f>'F00 INVERSIÓN'!W18</f>
        <v>0</v>
      </c>
      <c r="O9" s="259">
        <f>'F00 INVERSIÓN'!X18</f>
        <v>0</v>
      </c>
      <c r="P9" s="259">
        <f>'F00 INVERSIÓN'!Y18</f>
        <v>0</v>
      </c>
      <c r="Q9" s="257">
        <f t="shared" si="0"/>
        <v>0</v>
      </c>
    </row>
    <row r="10" spans="1:20" ht="20.149999999999999" hidden="1" customHeight="1" outlineLevel="1" x14ac:dyDescent="0.35">
      <c r="A10" s="255" t="s">
        <v>114</v>
      </c>
      <c r="B10" s="256">
        <f>SUM(C10:P10)</f>
        <v>0</v>
      </c>
      <c r="C10" s="256">
        <f>'F00 INVERSIÓN'!L28</f>
        <v>0</v>
      </c>
      <c r="D10" s="256">
        <f>'F00 INVERSIÓN'!M28</f>
        <v>0</v>
      </c>
      <c r="E10" s="256">
        <f>'F00 INVERSIÓN'!N28</f>
        <v>0</v>
      </c>
      <c r="F10" s="256">
        <f>'F00 INVERSIÓN'!O28</f>
        <v>0</v>
      </c>
      <c r="G10" s="256">
        <f>'F00 INVERSIÓN'!P28</f>
        <v>0</v>
      </c>
      <c r="H10" s="256">
        <f>'F00 INVERSIÓN'!Q28</f>
        <v>0</v>
      </c>
      <c r="I10" s="256">
        <f>'F00 INVERSIÓN'!R28</f>
        <v>0</v>
      </c>
      <c r="J10" s="256">
        <f>'F00 INVERSIÓN'!S28</f>
        <v>0</v>
      </c>
      <c r="K10" s="256">
        <f>'F00 INVERSIÓN'!T28</f>
        <v>0</v>
      </c>
      <c r="L10" s="256">
        <f>'F00 INVERSIÓN'!U28</f>
        <v>0</v>
      </c>
      <c r="M10" s="256">
        <f>'F00 INVERSIÓN'!V28</f>
        <v>0</v>
      </c>
      <c r="N10" s="256">
        <f>'F00 INVERSIÓN'!W28</f>
        <v>0</v>
      </c>
      <c r="O10" s="256">
        <f>'F00 INVERSIÓN'!X28</f>
        <v>0</v>
      </c>
      <c r="P10" s="256">
        <f>'F00 INVERSIÓN'!Y28</f>
        <v>0</v>
      </c>
      <c r="Q10" s="257">
        <f t="shared" si="0"/>
        <v>0</v>
      </c>
    </row>
    <row r="11" spans="1:20" ht="20.149999999999999" hidden="1" customHeight="1" outlineLevel="1" x14ac:dyDescent="0.35">
      <c r="A11" s="258" t="s">
        <v>115</v>
      </c>
      <c r="B11" s="256">
        <f>SUM(C11:P11)</f>
        <v>16714397.554941889</v>
      </c>
      <c r="C11" s="259">
        <f>'F00 INVERSIÓN'!L35</f>
        <v>16714397.554941889</v>
      </c>
      <c r="D11" s="259">
        <f>'F00 INVERSIÓN'!M35</f>
        <v>0</v>
      </c>
      <c r="E11" s="259">
        <f>'F00 INVERSIÓN'!N35</f>
        <v>0</v>
      </c>
      <c r="F11" s="259">
        <f>'F00 INVERSIÓN'!O35</f>
        <v>0</v>
      </c>
      <c r="G11" s="259">
        <f>'F00 INVERSIÓN'!P35</f>
        <v>0</v>
      </c>
      <c r="H11" s="259">
        <f>'F00 INVERSIÓN'!Q35</f>
        <v>0</v>
      </c>
      <c r="I11" s="259">
        <f>'F00 INVERSIÓN'!R35</f>
        <v>0</v>
      </c>
      <c r="J11" s="259">
        <f>'F00 INVERSIÓN'!S35</f>
        <v>0</v>
      </c>
      <c r="K11" s="259">
        <f>'F00 INVERSIÓN'!T35</f>
        <v>0</v>
      </c>
      <c r="L11" s="259">
        <f>'F00 INVERSIÓN'!U35</f>
        <v>0</v>
      </c>
      <c r="M11" s="259">
        <f>'F00 INVERSIÓN'!V35</f>
        <v>0</v>
      </c>
      <c r="N11" s="259">
        <f>'F00 INVERSIÓN'!W35</f>
        <v>0</v>
      </c>
      <c r="O11" s="259">
        <f>'F00 INVERSIÓN'!X35</f>
        <v>0</v>
      </c>
      <c r="P11" s="259">
        <f>'F00 INVERSIÓN'!Y35</f>
        <v>0</v>
      </c>
      <c r="Q11" s="257">
        <f t="shared" si="0"/>
        <v>0.71848474636365245</v>
      </c>
    </row>
    <row r="12" spans="1:20" ht="20.149999999999999" hidden="1" customHeight="1" outlineLevel="1" x14ac:dyDescent="0.35">
      <c r="A12" s="255" t="s">
        <v>116</v>
      </c>
      <c r="B12" s="256">
        <f>SUM(C12:P12)</f>
        <v>0</v>
      </c>
      <c r="C12" s="256">
        <f>'F00 INVERSIÓN'!L41</f>
        <v>0</v>
      </c>
      <c r="D12" s="256">
        <f>'F00 INVERSIÓN'!M41</f>
        <v>0</v>
      </c>
      <c r="E12" s="256">
        <f>'F00 INVERSIÓN'!N41</f>
        <v>0</v>
      </c>
      <c r="F12" s="256">
        <f>'F00 INVERSIÓN'!O41</f>
        <v>0</v>
      </c>
      <c r="G12" s="256">
        <f>'F00 INVERSIÓN'!P41</f>
        <v>0</v>
      </c>
      <c r="H12" s="256">
        <f>'F00 INVERSIÓN'!Q41</f>
        <v>0</v>
      </c>
      <c r="I12" s="256">
        <f>'F00 INVERSIÓN'!R41</f>
        <v>0</v>
      </c>
      <c r="J12" s="256">
        <f>'F00 INVERSIÓN'!S41</f>
        <v>0</v>
      </c>
      <c r="K12" s="256">
        <f>'F00 INVERSIÓN'!T41</f>
        <v>0</v>
      </c>
      <c r="L12" s="256">
        <f>'F00 INVERSIÓN'!U41</f>
        <v>0</v>
      </c>
      <c r="M12" s="256">
        <f>'F00 INVERSIÓN'!V41</f>
        <v>0</v>
      </c>
      <c r="N12" s="256">
        <f>'F00 INVERSIÓN'!W41</f>
        <v>0</v>
      </c>
      <c r="O12" s="256">
        <f>'F00 INVERSIÓN'!X41</f>
        <v>0</v>
      </c>
      <c r="P12" s="256">
        <f>'F00 INVERSIÓN'!Y41</f>
        <v>0</v>
      </c>
      <c r="Q12" s="257">
        <f t="shared" si="0"/>
        <v>0</v>
      </c>
    </row>
    <row r="13" spans="1:20" s="3" customFormat="1" ht="20.149999999999999" customHeight="1" collapsed="1" x14ac:dyDescent="0.35">
      <c r="A13" s="260" t="s">
        <v>93</v>
      </c>
      <c r="B13" s="261">
        <f>SUM(B8:B12)</f>
        <v>16714397.554941889</v>
      </c>
      <c r="C13" s="261">
        <f t="shared" ref="C13:P13" si="1">SUM(C8:C12)</f>
        <v>16714397.554941889</v>
      </c>
      <c r="D13" s="261">
        <f t="shared" si="1"/>
        <v>0</v>
      </c>
      <c r="E13" s="261">
        <f t="shared" si="1"/>
        <v>0</v>
      </c>
      <c r="F13" s="261">
        <f t="shared" si="1"/>
        <v>0</v>
      </c>
      <c r="G13" s="261">
        <f t="shared" si="1"/>
        <v>0</v>
      </c>
      <c r="H13" s="261">
        <f t="shared" si="1"/>
        <v>0</v>
      </c>
      <c r="I13" s="261">
        <f t="shared" si="1"/>
        <v>0</v>
      </c>
      <c r="J13" s="261">
        <f t="shared" si="1"/>
        <v>0</v>
      </c>
      <c r="K13" s="261">
        <f t="shared" si="1"/>
        <v>0</v>
      </c>
      <c r="L13" s="261">
        <f t="shared" si="1"/>
        <v>0</v>
      </c>
      <c r="M13" s="261">
        <f t="shared" si="1"/>
        <v>0</v>
      </c>
      <c r="N13" s="261">
        <f t="shared" si="1"/>
        <v>0</v>
      </c>
      <c r="O13" s="261">
        <f t="shared" si="1"/>
        <v>0</v>
      </c>
      <c r="P13" s="261">
        <f t="shared" si="1"/>
        <v>0</v>
      </c>
      <c r="Q13" s="380">
        <f t="shared" si="0"/>
        <v>0.71848474636365245</v>
      </c>
      <c r="R13" s="2"/>
      <c r="S13" s="2"/>
      <c r="T13" s="2"/>
    </row>
    <row r="14" spans="1:20" ht="20.149999999999999" hidden="1" customHeight="1" outlineLevel="1" x14ac:dyDescent="0.35">
      <c r="A14" s="255" t="s">
        <v>119</v>
      </c>
      <c r="B14" s="262">
        <f t="shared" ref="B14:B22" si="2">SUM(C14:P14)</f>
        <v>0</v>
      </c>
      <c r="C14" s="262">
        <f>'F02 INMUEBLES Y S'!N8</f>
        <v>0</v>
      </c>
      <c r="D14" s="262">
        <f>'F02 INMUEBLES Y S'!O8</f>
        <v>0</v>
      </c>
      <c r="E14" s="262">
        <f>'F02 INMUEBLES Y S'!P8</f>
        <v>0</v>
      </c>
      <c r="F14" s="262">
        <f>'F02 INMUEBLES Y S'!Q8</f>
        <v>0</v>
      </c>
      <c r="G14" s="262">
        <f>'F02 INMUEBLES Y S'!R8</f>
        <v>0</v>
      </c>
      <c r="H14" s="262">
        <f>'F02 INMUEBLES Y S'!S8</f>
        <v>0</v>
      </c>
      <c r="I14" s="262">
        <f>'F02 INMUEBLES Y S'!T8</f>
        <v>0</v>
      </c>
      <c r="J14" s="262">
        <f>'F02 INMUEBLES Y S'!U8</f>
        <v>0</v>
      </c>
      <c r="K14" s="262">
        <f>'F02 INMUEBLES Y S'!V8</f>
        <v>0</v>
      </c>
      <c r="L14" s="262">
        <f>'F02 INMUEBLES Y S'!W8</f>
        <v>0</v>
      </c>
      <c r="M14" s="262">
        <f>'F02 INMUEBLES Y S'!X8</f>
        <v>0</v>
      </c>
      <c r="N14" s="262">
        <f>'F02 INMUEBLES Y S'!Y8</f>
        <v>0</v>
      </c>
      <c r="O14" s="262">
        <f>'F02 INMUEBLES Y S'!Z8</f>
        <v>0</v>
      </c>
      <c r="P14" s="262">
        <f>'F02 INMUEBLES Y S'!AA8</f>
        <v>0</v>
      </c>
      <c r="Q14" s="380">
        <f t="shared" si="0"/>
        <v>0</v>
      </c>
    </row>
    <row r="15" spans="1:20" ht="20.149999999999999" hidden="1" customHeight="1" outlineLevel="1" x14ac:dyDescent="0.35">
      <c r="A15" s="258" t="s">
        <v>120</v>
      </c>
      <c r="B15" s="262">
        <f t="shared" si="2"/>
        <v>0</v>
      </c>
      <c r="C15" s="259">
        <f>'F02 INMUEBLES Y S'!N9</f>
        <v>0</v>
      </c>
      <c r="D15" s="259">
        <f>'F02 INMUEBLES Y S'!O9</f>
        <v>0</v>
      </c>
      <c r="E15" s="259">
        <f>'F02 INMUEBLES Y S'!P9</f>
        <v>0</v>
      </c>
      <c r="F15" s="259">
        <f>'F02 INMUEBLES Y S'!Q9</f>
        <v>0</v>
      </c>
      <c r="G15" s="259">
        <f>'F02 INMUEBLES Y S'!R9</f>
        <v>0</v>
      </c>
      <c r="H15" s="259">
        <f>'F02 INMUEBLES Y S'!S9</f>
        <v>0</v>
      </c>
      <c r="I15" s="259">
        <f>'F02 INMUEBLES Y S'!T9</f>
        <v>0</v>
      </c>
      <c r="J15" s="259">
        <f>'F02 INMUEBLES Y S'!U9</f>
        <v>0</v>
      </c>
      <c r="K15" s="259">
        <f>'F02 INMUEBLES Y S'!V9</f>
        <v>0</v>
      </c>
      <c r="L15" s="259">
        <f>'F02 INMUEBLES Y S'!W9</f>
        <v>0</v>
      </c>
      <c r="M15" s="259">
        <f>'F02 INMUEBLES Y S'!X9</f>
        <v>0</v>
      </c>
      <c r="N15" s="259">
        <f>'F02 INMUEBLES Y S'!Y9</f>
        <v>0</v>
      </c>
      <c r="O15" s="259">
        <f>'F02 INMUEBLES Y S'!Z9</f>
        <v>0</v>
      </c>
      <c r="P15" s="259">
        <f>'F02 INMUEBLES Y S'!AA9</f>
        <v>0</v>
      </c>
      <c r="Q15" s="380">
        <f t="shared" si="0"/>
        <v>0</v>
      </c>
    </row>
    <row r="16" spans="1:20" ht="20.149999999999999" hidden="1" customHeight="1" outlineLevel="1" x14ac:dyDescent="0.35">
      <c r="A16" s="255" t="s">
        <v>121</v>
      </c>
      <c r="B16" s="262">
        <f t="shared" si="2"/>
        <v>0</v>
      </c>
      <c r="C16" s="262">
        <f>'F02 INMUEBLES Y S'!N10</f>
        <v>0</v>
      </c>
      <c r="D16" s="262">
        <f>'F02 INMUEBLES Y S'!O10</f>
        <v>0</v>
      </c>
      <c r="E16" s="262">
        <f>'F02 INMUEBLES Y S'!P10</f>
        <v>0</v>
      </c>
      <c r="F16" s="262">
        <f>'F02 INMUEBLES Y S'!Q10</f>
        <v>0</v>
      </c>
      <c r="G16" s="262">
        <f>'F02 INMUEBLES Y S'!R10</f>
        <v>0</v>
      </c>
      <c r="H16" s="262">
        <f>'F02 INMUEBLES Y S'!S10</f>
        <v>0</v>
      </c>
      <c r="I16" s="262">
        <f>'F02 INMUEBLES Y S'!T10</f>
        <v>0</v>
      </c>
      <c r="J16" s="262">
        <f>'F02 INMUEBLES Y S'!U10</f>
        <v>0</v>
      </c>
      <c r="K16" s="262">
        <f>'F02 INMUEBLES Y S'!V10</f>
        <v>0</v>
      </c>
      <c r="L16" s="262">
        <f>'F02 INMUEBLES Y S'!W10</f>
        <v>0</v>
      </c>
      <c r="M16" s="262">
        <f>'F02 INMUEBLES Y S'!X10</f>
        <v>0</v>
      </c>
      <c r="N16" s="262">
        <f>'F02 INMUEBLES Y S'!Y10</f>
        <v>0</v>
      </c>
      <c r="O16" s="262">
        <f>'F02 INMUEBLES Y S'!Z10</f>
        <v>0</v>
      </c>
      <c r="P16" s="262">
        <f>'F02 INMUEBLES Y S'!AA10</f>
        <v>0</v>
      </c>
      <c r="Q16" s="380">
        <f t="shared" si="0"/>
        <v>0</v>
      </c>
    </row>
    <row r="17" spans="1:21" ht="20.149999999999999" hidden="1" customHeight="1" outlineLevel="1" x14ac:dyDescent="0.35">
      <c r="A17" s="258" t="s">
        <v>122</v>
      </c>
      <c r="B17" s="262">
        <f t="shared" si="2"/>
        <v>0</v>
      </c>
      <c r="C17" s="259">
        <f>'F02 INMUEBLES Y S'!N11</f>
        <v>0</v>
      </c>
      <c r="D17" s="259">
        <f>'F02 INMUEBLES Y S'!O11</f>
        <v>0</v>
      </c>
      <c r="E17" s="259">
        <f>'F02 INMUEBLES Y S'!P11</f>
        <v>0</v>
      </c>
      <c r="F17" s="259">
        <f>'F02 INMUEBLES Y S'!Q11</f>
        <v>0</v>
      </c>
      <c r="G17" s="259">
        <f>'F02 INMUEBLES Y S'!R11</f>
        <v>0</v>
      </c>
      <c r="H17" s="259">
        <f>'F02 INMUEBLES Y S'!S11</f>
        <v>0</v>
      </c>
      <c r="I17" s="259">
        <f>'F02 INMUEBLES Y S'!T11</f>
        <v>0</v>
      </c>
      <c r="J17" s="259">
        <f>'F02 INMUEBLES Y S'!U11</f>
        <v>0</v>
      </c>
      <c r="K17" s="259">
        <f>'F02 INMUEBLES Y S'!V11</f>
        <v>0</v>
      </c>
      <c r="L17" s="259">
        <f>'F02 INMUEBLES Y S'!W11</f>
        <v>0</v>
      </c>
      <c r="M17" s="259">
        <f>'F02 INMUEBLES Y S'!X11</f>
        <v>0</v>
      </c>
      <c r="N17" s="259">
        <f>'F02 INMUEBLES Y S'!Y11</f>
        <v>0</v>
      </c>
      <c r="O17" s="259">
        <f>'F02 INMUEBLES Y S'!Z11</f>
        <v>0</v>
      </c>
      <c r="P17" s="259">
        <f>'F02 INMUEBLES Y S'!AA11</f>
        <v>0</v>
      </c>
      <c r="Q17" s="380">
        <f t="shared" si="0"/>
        <v>0</v>
      </c>
    </row>
    <row r="18" spans="1:21" ht="20.149999999999999" hidden="1" customHeight="1" outlineLevel="1" x14ac:dyDescent="0.35">
      <c r="A18" s="255" t="s">
        <v>123</v>
      </c>
      <c r="B18" s="262">
        <f t="shared" si="2"/>
        <v>0</v>
      </c>
      <c r="C18" s="262">
        <f>'F02 INMUEBLES Y S'!N12</f>
        <v>0</v>
      </c>
      <c r="D18" s="262">
        <f>'F02 INMUEBLES Y S'!O12</f>
        <v>0</v>
      </c>
      <c r="E18" s="262">
        <f>'F02 INMUEBLES Y S'!P12</f>
        <v>0</v>
      </c>
      <c r="F18" s="262">
        <f>'F02 INMUEBLES Y S'!Q12</f>
        <v>0</v>
      </c>
      <c r="G18" s="262">
        <f>'F02 INMUEBLES Y S'!R12</f>
        <v>0</v>
      </c>
      <c r="H18" s="262">
        <f>'F02 INMUEBLES Y S'!S12</f>
        <v>0</v>
      </c>
      <c r="I18" s="262">
        <f>'F02 INMUEBLES Y S'!T12</f>
        <v>0</v>
      </c>
      <c r="J18" s="262">
        <f>'F02 INMUEBLES Y S'!U12</f>
        <v>0</v>
      </c>
      <c r="K18" s="262">
        <f>'F02 INMUEBLES Y S'!V12</f>
        <v>0</v>
      </c>
      <c r="L18" s="262">
        <f>'F02 INMUEBLES Y S'!W12</f>
        <v>0</v>
      </c>
      <c r="M18" s="262">
        <f>'F02 INMUEBLES Y S'!X12</f>
        <v>0</v>
      </c>
      <c r="N18" s="262">
        <f>'F02 INMUEBLES Y S'!Y12</f>
        <v>0</v>
      </c>
      <c r="O18" s="262">
        <f>'F02 INMUEBLES Y S'!Z12</f>
        <v>0</v>
      </c>
      <c r="P18" s="262">
        <f>'F02 INMUEBLES Y S'!AA12</f>
        <v>0</v>
      </c>
      <c r="Q18" s="380">
        <f t="shared" si="0"/>
        <v>0</v>
      </c>
    </row>
    <row r="19" spans="1:21" ht="20.149999999999999" hidden="1" customHeight="1" outlineLevel="1" x14ac:dyDescent="0.35">
      <c r="A19" s="258" t="s">
        <v>124</v>
      </c>
      <c r="B19" s="262">
        <f t="shared" si="2"/>
        <v>0</v>
      </c>
      <c r="C19" s="259">
        <f>'F02 INMUEBLES Y S'!N13</f>
        <v>0</v>
      </c>
      <c r="D19" s="259">
        <f>'F02 INMUEBLES Y S'!O13</f>
        <v>0</v>
      </c>
      <c r="E19" s="259">
        <f>'F02 INMUEBLES Y S'!P13</f>
        <v>0</v>
      </c>
      <c r="F19" s="259">
        <f>'F02 INMUEBLES Y S'!Q13</f>
        <v>0</v>
      </c>
      <c r="G19" s="259">
        <f>'F02 INMUEBLES Y S'!R13</f>
        <v>0</v>
      </c>
      <c r="H19" s="259">
        <f>'F02 INMUEBLES Y S'!S13</f>
        <v>0</v>
      </c>
      <c r="I19" s="259">
        <f>'F02 INMUEBLES Y S'!T13</f>
        <v>0</v>
      </c>
      <c r="J19" s="259">
        <f>'F02 INMUEBLES Y S'!U13</f>
        <v>0</v>
      </c>
      <c r="K19" s="259">
        <f>'F02 INMUEBLES Y S'!V13</f>
        <v>0</v>
      </c>
      <c r="L19" s="259">
        <f>'F02 INMUEBLES Y S'!W13</f>
        <v>0</v>
      </c>
      <c r="M19" s="259">
        <f>'F02 INMUEBLES Y S'!X13</f>
        <v>0</v>
      </c>
      <c r="N19" s="259">
        <f>'F02 INMUEBLES Y S'!Y13</f>
        <v>0</v>
      </c>
      <c r="O19" s="259">
        <f>'F02 INMUEBLES Y S'!Z13</f>
        <v>0</v>
      </c>
      <c r="P19" s="259">
        <f>'F02 INMUEBLES Y S'!AA13</f>
        <v>0</v>
      </c>
      <c r="Q19" s="380">
        <f t="shared" si="0"/>
        <v>0</v>
      </c>
    </row>
    <row r="20" spans="1:21" ht="20.149999999999999" hidden="1" customHeight="1" outlineLevel="1" x14ac:dyDescent="0.35">
      <c r="A20" s="255" t="s">
        <v>125</v>
      </c>
      <c r="B20" s="262">
        <f t="shared" si="2"/>
        <v>0</v>
      </c>
      <c r="C20" s="262">
        <f>'F02 INMUEBLES Y S'!N14</f>
        <v>0</v>
      </c>
      <c r="D20" s="262">
        <f>'F02 INMUEBLES Y S'!O14</f>
        <v>0</v>
      </c>
      <c r="E20" s="262">
        <f>'F02 INMUEBLES Y S'!P14</f>
        <v>0</v>
      </c>
      <c r="F20" s="262">
        <f>'F02 INMUEBLES Y S'!Q14</f>
        <v>0</v>
      </c>
      <c r="G20" s="262">
        <f>'F02 INMUEBLES Y S'!R14</f>
        <v>0</v>
      </c>
      <c r="H20" s="262">
        <f>'F02 INMUEBLES Y S'!S14</f>
        <v>0</v>
      </c>
      <c r="I20" s="262">
        <f>'F02 INMUEBLES Y S'!T14</f>
        <v>0</v>
      </c>
      <c r="J20" s="262">
        <f>'F02 INMUEBLES Y S'!U14</f>
        <v>0</v>
      </c>
      <c r="K20" s="262">
        <f>'F02 INMUEBLES Y S'!V14</f>
        <v>0</v>
      </c>
      <c r="L20" s="262">
        <f>'F02 INMUEBLES Y S'!W14</f>
        <v>0</v>
      </c>
      <c r="M20" s="262">
        <f>'F02 INMUEBLES Y S'!X14</f>
        <v>0</v>
      </c>
      <c r="N20" s="262">
        <f>'F02 INMUEBLES Y S'!Y14</f>
        <v>0</v>
      </c>
      <c r="O20" s="262">
        <f>'F02 INMUEBLES Y S'!Z14</f>
        <v>0</v>
      </c>
      <c r="P20" s="262">
        <f>'F02 INMUEBLES Y S'!AA14</f>
        <v>0</v>
      </c>
      <c r="Q20" s="380">
        <f t="shared" si="0"/>
        <v>0</v>
      </c>
    </row>
    <row r="21" spans="1:21" ht="20.149999999999999" hidden="1" customHeight="1" outlineLevel="1" x14ac:dyDescent="0.35">
      <c r="A21" s="258" t="s">
        <v>126</v>
      </c>
      <c r="B21" s="262">
        <f t="shared" si="2"/>
        <v>0</v>
      </c>
      <c r="C21" s="259">
        <f>'F02 INMUEBLES Y S'!N15</f>
        <v>0</v>
      </c>
      <c r="D21" s="259">
        <f>'F02 INMUEBLES Y S'!O15</f>
        <v>0</v>
      </c>
      <c r="E21" s="259">
        <f>'F02 INMUEBLES Y S'!P15</f>
        <v>0</v>
      </c>
      <c r="F21" s="259">
        <f>'F02 INMUEBLES Y S'!Q15</f>
        <v>0</v>
      </c>
      <c r="G21" s="259">
        <f>'F02 INMUEBLES Y S'!R15</f>
        <v>0</v>
      </c>
      <c r="H21" s="259">
        <f>'F02 INMUEBLES Y S'!S15</f>
        <v>0</v>
      </c>
      <c r="I21" s="259">
        <f>'F02 INMUEBLES Y S'!T15</f>
        <v>0</v>
      </c>
      <c r="J21" s="259">
        <f>'F02 INMUEBLES Y S'!U15</f>
        <v>0</v>
      </c>
      <c r="K21" s="259">
        <f>'F02 INMUEBLES Y S'!V15</f>
        <v>0</v>
      </c>
      <c r="L21" s="259">
        <f>'F02 INMUEBLES Y S'!W15</f>
        <v>0</v>
      </c>
      <c r="M21" s="259">
        <f>'F02 INMUEBLES Y S'!X15</f>
        <v>0</v>
      </c>
      <c r="N21" s="259">
        <f>'F02 INMUEBLES Y S'!Y15</f>
        <v>0</v>
      </c>
      <c r="O21" s="259">
        <f>'F02 INMUEBLES Y S'!Z15</f>
        <v>0</v>
      </c>
      <c r="P21" s="259">
        <f>'F02 INMUEBLES Y S'!AA15</f>
        <v>0</v>
      </c>
      <c r="Q21" s="380">
        <f t="shared" si="0"/>
        <v>0</v>
      </c>
    </row>
    <row r="22" spans="1:21" ht="20.149999999999999" hidden="1" customHeight="1" outlineLevel="1" x14ac:dyDescent="0.35">
      <c r="A22" s="255" t="s">
        <v>127</v>
      </c>
      <c r="B22" s="262">
        <f t="shared" si="2"/>
        <v>0</v>
      </c>
      <c r="C22" s="262">
        <f>'F02 INMUEBLES Y S'!N16</f>
        <v>0</v>
      </c>
      <c r="D22" s="262">
        <f>'F02 INMUEBLES Y S'!O16</f>
        <v>0</v>
      </c>
      <c r="E22" s="262">
        <f>'F02 INMUEBLES Y S'!P16</f>
        <v>0</v>
      </c>
      <c r="F22" s="262">
        <f>'F02 INMUEBLES Y S'!Q16</f>
        <v>0</v>
      </c>
      <c r="G22" s="262">
        <f>'F02 INMUEBLES Y S'!R16</f>
        <v>0</v>
      </c>
      <c r="H22" s="262">
        <f>'F02 INMUEBLES Y S'!S16</f>
        <v>0</v>
      </c>
      <c r="I22" s="262">
        <f>'F02 INMUEBLES Y S'!T16</f>
        <v>0</v>
      </c>
      <c r="J22" s="262">
        <f>'F02 INMUEBLES Y S'!U16</f>
        <v>0</v>
      </c>
      <c r="K22" s="262">
        <f>'F02 INMUEBLES Y S'!V16</f>
        <v>0</v>
      </c>
      <c r="L22" s="262">
        <f>'F02 INMUEBLES Y S'!W16</f>
        <v>0</v>
      </c>
      <c r="M22" s="262">
        <f>'F02 INMUEBLES Y S'!X16</f>
        <v>0</v>
      </c>
      <c r="N22" s="262">
        <f>'F02 INMUEBLES Y S'!Y16</f>
        <v>0</v>
      </c>
      <c r="O22" s="262">
        <f>'F02 INMUEBLES Y S'!Z16</f>
        <v>0</v>
      </c>
      <c r="P22" s="262">
        <f>'F02 INMUEBLES Y S'!AA16</f>
        <v>0</v>
      </c>
      <c r="Q22" s="380">
        <f t="shared" si="0"/>
        <v>0</v>
      </c>
    </row>
    <row r="23" spans="1:21" s="3" customFormat="1" ht="20.149999999999999" customHeight="1" collapsed="1" x14ac:dyDescent="0.35">
      <c r="A23" s="263" t="s">
        <v>94</v>
      </c>
      <c r="B23" s="264">
        <f>SUM(B14:B22)</f>
        <v>0</v>
      </c>
      <c r="C23" s="265">
        <f t="shared" ref="C23:P23" si="3">SUM(C14:C22)</f>
        <v>0</v>
      </c>
      <c r="D23" s="265">
        <f t="shared" si="3"/>
        <v>0</v>
      </c>
      <c r="E23" s="265">
        <f t="shared" si="3"/>
        <v>0</v>
      </c>
      <c r="F23" s="265">
        <f t="shared" si="3"/>
        <v>0</v>
      </c>
      <c r="G23" s="265">
        <f t="shared" si="3"/>
        <v>0</v>
      </c>
      <c r="H23" s="265">
        <f t="shared" si="3"/>
        <v>0</v>
      </c>
      <c r="I23" s="265">
        <f t="shared" si="3"/>
        <v>0</v>
      </c>
      <c r="J23" s="265">
        <f t="shared" si="3"/>
        <v>0</v>
      </c>
      <c r="K23" s="265">
        <f t="shared" si="3"/>
        <v>0</v>
      </c>
      <c r="L23" s="265">
        <f t="shared" si="3"/>
        <v>0</v>
      </c>
      <c r="M23" s="265">
        <f t="shared" si="3"/>
        <v>0</v>
      </c>
      <c r="N23" s="265">
        <f t="shared" si="3"/>
        <v>0</v>
      </c>
      <c r="O23" s="265">
        <f t="shared" si="3"/>
        <v>0</v>
      </c>
      <c r="P23" s="265">
        <f t="shared" si="3"/>
        <v>0</v>
      </c>
      <c r="Q23" s="380">
        <f t="shared" si="0"/>
        <v>0</v>
      </c>
      <c r="R23" s="2"/>
      <c r="S23" s="2"/>
      <c r="T23" s="2"/>
    </row>
    <row r="24" spans="1:21" ht="20.149999999999999" hidden="1" customHeight="1" outlineLevel="1" x14ac:dyDescent="0.35">
      <c r="A24" s="255" t="s">
        <v>128</v>
      </c>
      <c r="B24" s="262">
        <f>SUM(C24:P24)</f>
        <v>233794.17749999999</v>
      </c>
      <c r="C24" s="256">
        <f>'F01 EPP'!M19</f>
        <v>233794.17749999999</v>
      </c>
      <c r="D24" s="256">
        <f>'F01 EPP'!N19</f>
        <v>0</v>
      </c>
      <c r="E24" s="256">
        <f>'F01 EPP'!O19</f>
        <v>0</v>
      </c>
      <c r="F24" s="256">
        <f>'F01 EPP'!P19</f>
        <v>0</v>
      </c>
      <c r="G24" s="256">
        <f>'F01 EPP'!Q19</f>
        <v>0</v>
      </c>
      <c r="H24" s="256">
        <f>'F01 EPP'!R19</f>
        <v>0</v>
      </c>
      <c r="I24" s="256">
        <f>'F01 EPP'!S19</f>
        <v>0</v>
      </c>
      <c r="J24" s="256">
        <f>'F01 EPP'!T19</f>
        <v>0</v>
      </c>
      <c r="K24" s="256">
        <f>'F01 EPP'!U19</f>
        <v>0</v>
      </c>
      <c r="L24" s="256">
        <f>'F01 EPP'!V19</f>
        <v>0</v>
      </c>
      <c r="M24" s="256">
        <f>'F01 EPP'!W19</f>
        <v>0</v>
      </c>
      <c r="N24" s="256">
        <f>'F01 EPP'!X19</f>
        <v>0</v>
      </c>
      <c r="O24" s="256">
        <f>'F01 EPP'!Y19</f>
        <v>0</v>
      </c>
      <c r="P24" s="256">
        <f>'F01 EPP'!Z19</f>
        <v>0</v>
      </c>
      <c r="Q24" s="380">
        <f t="shared" si="0"/>
        <v>1.0049871661256548E-2</v>
      </c>
    </row>
    <row r="25" spans="1:21" ht="20.149999999999999" customHeight="1" collapsed="1" x14ac:dyDescent="0.35">
      <c r="A25" s="263" t="s">
        <v>95</v>
      </c>
      <c r="B25" s="264">
        <f>B24</f>
        <v>233794.17749999999</v>
      </c>
      <c r="C25" s="265">
        <f t="shared" ref="C25:P25" si="4">C24</f>
        <v>233794.17749999999</v>
      </c>
      <c r="D25" s="265">
        <f t="shared" si="4"/>
        <v>0</v>
      </c>
      <c r="E25" s="265">
        <f t="shared" si="4"/>
        <v>0</v>
      </c>
      <c r="F25" s="265">
        <f t="shared" si="4"/>
        <v>0</v>
      </c>
      <c r="G25" s="265">
        <f t="shared" si="4"/>
        <v>0</v>
      </c>
      <c r="H25" s="265">
        <f t="shared" si="4"/>
        <v>0</v>
      </c>
      <c r="I25" s="265">
        <f t="shared" si="4"/>
        <v>0</v>
      </c>
      <c r="J25" s="265">
        <f t="shared" si="4"/>
        <v>0</v>
      </c>
      <c r="K25" s="265">
        <f t="shared" si="4"/>
        <v>0</v>
      </c>
      <c r="L25" s="265">
        <f t="shared" si="4"/>
        <v>0</v>
      </c>
      <c r="M25" s="265">
        <f t="shared" si="4"/>
        <v>0</v>
      </c>
      <c r="N25" s="265">
        <f t="shared" si="4"/>
        <v>0</v>
      </c>
      <c r="O25" s="265">
        <f t="shared" si="4"/>
        <v>0</v>
      </c>
      <c r="P25" s="265">
        <f t="shared" si="4"/>
        <v>0</v>
      </c>
      <c r="Q25" s="380">
        <f t="shared" si="0"/>
        <v>1.0049871661256548E-2</v>
      </c>
    </row>
    <row r="26" spans="1:21" ht="20.149999999999999" hidden="1" customHeight="1" outlineLevel="1" x14ac:dyDescent="0.35">
      <c r="A26" s="255" t="s">
        <v>129</v>
      </c>
      <c r="B26" s="262">
        <f>SUM(C26:P26)</f>
        <v>32526</v>
      </c>
      <c r="C26" s="262">
        <f>'F03 COM Y EQ COM'!L45</f>
        <v>0</v>
      </c>
      <c r="D26" s="262">
        <f>'F03 COM Y EQ COM'!M45</f>
        <v>32526</v>
      </c>
      <c r="E26" s="262">
        <f>'F03 COM Y EQ COM'!N45</f>
        <v>0</v>
      </c>
      <c r="F26" s="262">
        <f>'F03 COM Y EQ COM'!O45</f>
        <v>0</v>
      </c>
      <c r="G26" s="262">
        <f>'F03 COM Y EQ COM'!P45</f>
        <v>0</v>
      </c>
      <c r="H26" s="262">
        <f>'F03 COM Y EQ COM'!Q45</f>
        <v>0</v>
      </c>
      <c r="I26" s="262">
        <f>'F03 COM Y EQ COM'!R45</f>
        <v>0</v>
      </c>
      <c r="J26" s="262">
        <f>'F03 COM Y EQ COM'!S45</f>
        <v>0</v>
      </c>
      <c r="K26" s="262">
        <f>'F03 COM Y EQ COM'!T45</f>
        <v>0</v>
      </c>
      <c r="L26" s="262">
        <f>'F03 COM Y EQ COM'!U45</f>
        <v>0</v>
      </c>
      <c r="M26" s="262">
        <f>'F03 COM Y EQ COM'!V45</f>
        <v>0</v>
      </c>
      <c r="N26" s="262">
        <f>'F03 COM Y EQ COM'!W45</f>
        <v>0</v>
      </c>
      <c r="O26" s="262">
        <f>'F03 COM Y EQ COM'!X45</f>
        <v>0</v>
      </c>
      <c r="P26" s="262">
        <f>'F03 COM Y EQ COM'!Y45</f>
        <v>0</v>
      </c>
      <c r="Q26" s="380">
        <f t="shared" si="0"/>
        <v>1.3981619608727446E-3</v>
      </c>
    </row>
    <row r="27" spans="1:21" ht="20.149999999999999" hidden="1" customHeight="1" outlineLevel="1" x14ac:dyDescent="0.35">
      <c r="A27" s="258" t="s">
        <v>130</v>
      </c>
      <c r="B27" s="262">
        <f>SUM(C27:P27)</f>
        <v>0</v>
      </c>
      <c r="C27" s="259">
        <f>'F03 COM Y EQ COM'!L46</f>
        <v>0</v>
      </c>
      <c r="D27" s="259">
        <f>'F03 COM Y EQ COM'!M46</f>
        <v>0</v>
      </c>
      <c r="E27" s="259">
        <f>'F03 COM Y EQ COM'!N46</f>
        <v>0</v>
      </c>
      <c r="F27" s="259">
        <f>'F03 COM Y EQ COM'!O46</f>
        <v>0</v>
      </c>
      <c r="G27" s="259">
        <f>'F03 COM Y EQ COM'!P46</f>
        <v>0</v>
      </c>
      <c r="H27" s="259">
        <f>'F03 COM Y EQ COM'!Q46</f>
        <v>0</v>
      </c>
      <c r="I27" s="259">
        <f>'F03 COM Y EQ COM'!R46</f>
        <v>0</v>
      </c>
      <c r="J27" s="259">
        <f>'F03 COM Y EQ COM'!S46</f>
        <v>0</v>
      </c>
      <c r="K27" s="259">
        <f>'F03 COM Y EQ COM'!T46</f>
        <v>0</v>
      </c>
      <c r="L27" s="259">
        <f>'F03 COM Y EQ COM'!U46</f>
        <v>0</v>
      </c>
      <c r="M27" s="259">
        <f>'F03 COM Y EQ COM'!V46</f>
        <v>0</v>
      </c>
      <c r="N27" s="259">
        <f>'F03 COM Y EQ COM'!W46</f>
        <v>0</v>
      </c>
      <c r="O27" s="259">
        <f>'F03 COM Y EQ COM'!X46</f>
        <v>0</v>
      </c>
      <c r="P27" s="259">
        <f>'F03 COM Y EQ COM'!Y46</f>
        <v>0</v>
      </c>
      <c r="Q27" s="380">
        <f t="shared" si="0"/>
        <v>0</v>
      </c>
    </row>
    <row r="28" spans="1:21" s="3" customFormat="1" ht="20.149999999999999" customHeight="1" collapsed="1" x14ac:dyDescent="0.35">
      <c r="A28" s="263" t="s">
        <v>10</v>
      </c>
      <c r="B28" s="264">
        <f>SUM(B26:B27)</f>
        <v>32526</v>
      </c>
      <c r="C28" s="265">
        <f t="shared" ref="C28:P28" si="5">SUM(C26:C27)</f>
        <v>0</v>
      </c>
      <c r="D28" s="265">
        <f t="shared" si="5"/>
        <v>32526</v>
      </c>
      <c r="E28" s="265">
        <f t="shared" si="5"/>
        <v>0</v>
      </c>
      <c r="F28" s="265">
        <f t="shared" si="5"/>
        <v>0</v>
      </c>
      <c r="G28" s="265">
        <f t="shared" si="5"/>
        <v>0</v>
      </c>
      <c r="H28" s="265">
        <f t="shared" si="5"/>
        <v>0</v>
      </c>
      <c r="I28" s="265">
        <f t="shared" si="5"/>
        <v>0</v>
      </c>
      <c r="J28" s="265">
        <f t="shared" si="5"/>
        <v>0</v>
      </c>
      <c r="K28" s="265">
        <f t="shared" si="5"/>
        <v>0</v>
      </c>
      <c r="L28" s="265">
        <f t="shared" si="5"/>
        <v>0</v>
      </c>
      <c r="M28" s="265">
        <f t="shared" si="5"/>
        <v>0</v>
      </c>
      <c r="N28" s="265">
        <f t="shared" si="5"/>
        <v>0</v>
      </c>
      <c r="O28" s="265">
        <f t="shared" si="5"/>
        <v>0</v>
      </c>
      <c r="P28" s="265">
        <f t="shared" si="5"/>
        <v>0</v>
      </c>
      <c r="Q28" s="380">
        <f t="shared" si="0"/>
        <v>1.3981619608727446E-3</v>
      </c>
      <c r="R28" s="2"/>
      <c r="S28" s="2" t="s">
        <v>331</v>
      </c>
      <c r="T28" s="2"/>
    </row>
    <row r="29" spans="1:21" ht="20.149999999999999" hidden="1" customHeight="1" outlineLevel="1" x14ac:dyDescent="0.35">
      <c r="A29" s="255" t="s">
        <v>131</v>
      </c>
      <c r="B29" s="262">
        <f>SUM(C29:P29)</f>
        <v>10057.519999999999</v>
      </c>
      <c r="C29" s="256">
        <f>'F07 OPERAC. (MAT,SERV &amp; EQUIPO)'!L17</f>
        <v>5028.7599999999993</v>
      </c>
      <c r="D29" s="256">
        <f>'F07 OPERAC. (MAT,SERV &amp; EQUIPO)'!M17</f>
        <v>5028.7599999999993</v>
      </c>
      <c r="E29" s="256">
        <f>'F07 OPERAC. (MAT,SERV &amp; EQUIPO)'!N17</f>
        <v>0</v>
      </c>
      <c r="F29" s="256">
        <f>'F07 OPERAC. (MAT,SERV &amp; EQUIPO)'!O17</f>
        <v>0</v>
      </c>
      <c r="G29" s="256">
        <f>'F07 OPERAC. (MAT,SERV &amp; EQUIPO)'!P17</f>
        <v>0</v>
      </c>
      <c r="H29" s="256">
        <f>'F07 OPERAC. (MAT,SERV &amp; EQUIPO)'!Q17</f>
        <v>0</v>
      </c>
      <c r="I29" s="256">
        <f>'F07 OPERAC. (MAT,SERV &amp; EQUIPO)'!R17</f>
        <v>0</v>
      </c>
      <c r="J29" s="256">
        <f>'F07 OPERAC. (MAT,SERV &amp; EQUIPO)'!S17</f>
        <v>0</v>
      </c>
      <c r="K29" s="256">
        <f>'F07 OPERAC. (MAT,SERV &amp; EQUIPO)'!T17</f>
        <v>0</v>
      </c>
      <c r="L29" s="256">
        <f>'F07 OPERAC. (MAT,SERV &amp; EQUIPO)'!U17</f>
        <v>0</v>
      </c>
      <c r="M29" s="256">
        <f>'F07 OPERAC. (MAT,SERV &amp; EQUIPO)'!V17</f>
        <v>0</v>
      </c>
      <c r="N29" s="256">
        <f>'F07 OPERAC. (MAT,SERV &amp; EQUIPO)'!W17</f>
        <v>0</v>
      </c>
      <c r="O29" s="256">
        <f>'F07 OPERAC. (MAT,SERV &amp; EQUIPO)'!X17</f>
        <v>0</v>
      </c>
      <c r="P29" s="256">
        <f>'F07 OPERAC. (MAT,SERV &amp; EQUIPO)'!Y17</f>
        <v>0</v>
      </c>
      <c r="Q29" s="380">
        <f t="shared" si="0"/>
        <v>4.3233234596067282E-4</v>
      </c>
    </row>
    <row r="30" spans="1:21" s="3" customFormat="1" ht="20.149999999999999" customHeight="1" collapsed="1" x14ac:dyDescent="0.35">
      <c r="A30" s="263" t="s">
        <v>96</v>
      </c>
      <c r="B30" s="264">
        <f>B29</f>
        <v>10057.519999999999</v>
      </c>
      <c r="C30" s="265">
        <f>C29</f>
        <v>5028.7599999999993</v>
      </c>
      <c r="D30" s="265">
        <f t="shared" ref="D30:P30" si="6">D29</f>
        <v>5028.7599999999993</v>
      </c>
      <c r="E30" s="265">
        <f t="shared" si="6"/>
        <v>0</v>
      </c>
      <c r="F30" s="265">
        <f t="shared" si="6"/>
        <v>0</v>
      </c>
      <c r="G30" s="265">
        <f t="shared" si="6"/>
        <v>0</v>
      </c>
      <c r="H30" s="265">
        <f t="shared" si="6"/>
        <v>0</v>
      </c>
      <c r="I30" s="265">
        <f t="shared" si="6"/>
        <v>0</v>
      </c>
      <c r="J30" s="265">
        <f t="shared" si="6"/>
        <v>0</v>
      </c>
      <c r="K30" s="265">
        <f t="shared" si="6"/>
        <v>0</v>
      </c>
      <c r="L30" s="265">
        <f t="shared" si="6"/>
        <v>0</v>
      </c>
      <c r="M30" s="265">
        <f t="shared" si="6"/>
        <v>0</v>
      </c>
      <c r="N30" s="265">
        <f t="shared" si="6"/>
        <v>0</v>
      </c>
      <c r="O30" s="265">
        <f t="shared" si="6"/>
        <v>0</v>
      </c>
      <c r="P30" s="265">
        <f t="shared" si="6"/>
        <v>0</v>
      </c>
      <c r="Q30" s="380">
        <f t="shared" si="0"/>
        <v>4.3233234596067282E-4</v>
      </c>
      <c r="R30" s="2"/>
      <c r="S30" s="2"/>
      <c r="T30" s="2"/>
      <c r="U30" s="266"/>
    </row>
    <row r="31" spans="1:21" s="3" customFormat="1" ht="20.149999999999999" customHeight="1" x14ac:dyDescent="0.35">
      <c r="A31" s="263" t="s">
        <v>97</v>
      </c>
      <c r="B31" s="264">
        <f>SUM(C31:P31)</f>
        <v>0</v>
      </c>
      <c r="C31" s="265">
        <f>'F07 OPERAC. (MAT,SERV &amp; EQUIPO)'!L39</f>
        <v>0</v>
      </c>
      <c r="D31" s="265">
        <f>'F07 OPERAC. (MAT,SERV &amp; EQUIPO)'!M39</f>
        <v>0</v>
      </c>
      <c r="E31" s="265">
        <f>'F07 OPERAC. (MAT,SERV &amp; EQUIPO)'!N39</f>
        <v>0</v>
      </c>
      <c r="F31" s="265">
        <f>'F07 OPERAC. (MAT,SERV &amp; EQUIPO)'!O39</f>
        <v>0</v>
      </c>
      <c r="G31" s="265">
        <f>'F07 OPERAC. (MAT,SERV &amp; EQUIPO)'!P39</f>
        <v>0</v>
      </c>
      <c r="H31" s="265">
        <f>'F07 OPERAC. (MAT,SERV &amp; EQUIPO)'!Q39</f>
        <v>0</v>
      </c>
      <c r="I31" s="265">
        <f>'F07 OPERAC. (MAT,SERV &amp; EQUIPO)'!R39</f>
        <v>0</v>
      </c>
      <c r="J31" s="265">
        <f>'F07 OPERAC. (MAT,SERV &amp; EQUIPO)'!S39</f>
        <v>0</v>
      </c>
      <c r="K31" s="265">
        <f>'F07 OPERAC. (MAT,SERV &amp; EQUIPO)'!T39</f>
        <v>0</v>
      </c>
      <c r="L31" s="265">
        <f>'F07 OPERAC. (MAT,SERV &amp; EQUIPO)'!U39</f>
        <v>0</v>
      </c>
      <c r="M31" s="265">
        <f>'F07 OPERAC. (MAT,SERV &amp; EQUIPO)'!V39</f>
        <v>0</v>
      </c>
      <c r="N31" s="265">
        <f>'F07 OPERAC. (MAT,SERV &amp; EQUIPO)'!W39</f>
        <v>0</v>
      </c>
      <c r="O31" s="265">
        <f>'F07 OPERAC. (MAT,SERV &amp; EQUIPO)'!X39</f>
        <v>0</v>
      </c>
      <c r="P31" s="265">
        <f>'F07 OPERAC. (MAT,SERV &amp; EQUIPO)'!Y39</f>
        <v>0</v>
      </c>
      <c r="Q31" s="380">
        <f t="shared" si="0"/>
        <v>0</v>
      </c>
      <c r="R31" s="2"/>
      <c r="S31" s="2"/>
      <c r="T31" s="2"/>
    </row>
    <row r="32" spans="1:21" ht="20.149999999999999" hidden="1" customHeight="1" outlineLevel="1" x14ac:dyDescent="0.35">
      <c r="A32" s="255" t="s">
        <v>132</v>
      </c>
      <c r="B32" s="262">
        <f>SUM(C32:P32)</f>
        <v>0</v>
      </c>
      <c r="C32" s="262">
        <f>'F07 OPERAC. (MAT,SERV &amp; EQUIPO)'!L126</f>
        <v>0</v>
      </c>
      <c r="D32" s="262">
        <f>'F07 OPERAC. (MAT,SERV &amp; EQUIPO)'!M126</f>
        <v>0</v>
      </c>
      <c r="E32" s="262">
        <f>'F07 OPERAC. (MAT,SERV &amp; EQUIPO)'!N126</f>
        <v>0</v>
      </c>
      <c r="F32" s="262">
        <f>'F07 OPERAC. (MAT,SERV &amp; EQUIPO)'!O126</f>
        <v>0</v>
      </c>
      <c r="G32" s="262">
        <f>'F07 OPERAC. (MAT,SERV &amp; EQUIPO)'!P126</f>
        <v>0</v>
      </c>
      <c r="H32" s="262">
        <f>'F07 OPERAC. (MAT,SERV &amp; EQUIPO)'!Q126</f>
        <v>0</v>
      </c>
      <c r="I32" s="262">
        <f>'F07 OPERAC. (MAT,SERV &amp; EQUIPO)'!R126</f>
        <v>0</v>
      </c>
      <c r="J32" s="262">
        <f>'F07 OPERAC. (MAT,SERV &amp; EQUIPO)'!S126</f>
        <v>0</v>
      </c>
      <c r="K32" s="262">
        <f>'F07 OPERAC. (MAT,SERV &amp; EQUIPO)'!T126</f>
        <v>0</v>
      </c>
      <c r="L32" s="262">
        <f>'F07 OPERAC. (MAT,SERV &amp; EQUIPO)'!U126</f>
        <v>0</v>
      </c>
      <c r="M32" s="262">
        <f>'F07 OPERAC. (MAT,SERV &amp; EQUIPO)'!V126</f>
        <v>0</v>
      </c>
      <c r="N32" s="262">
        <f>'F07 OPERAC. (MAT,SERV &amp; EQUIPO)'!W126</f>
        <v>0</v>
      </c>
      <c r="O32" s="262">
        <f>'F07 OPERAC. (MAT,SERV &amp; EQUIPO)'!X126</f>
        <v>0</v>
      </c>
      <c r="P32" s="262">
        <f>'F07 OPERAC. (MAT,SERV &amp; EQUIPO)'!Y126</f>
        <v>0</v>
      </c>
      <c r="Q32" s="380">
        <f t="shared" si="0"/>
        <v>0</v>
      </c>
    </row>
    <row r="33" spans="1:20" ht="20.149999999999999" hidden="1" customHeight="1" outlineLevel="1" x14ac:dyDescent="0.35">
      <c r="A33" s="258" t="s">
        <v>133</v>
      </c>
      <c r="B33" s="262">
        <f>SUM(C33:P33)</f>
        <v>0</v>
      </c>
      <c r="C33" s="259">
        <f>'F07 OPERAC. (MAT,SERV &amp; EQUIPO)'!L127</f>
        <v>0</v>
      </c>
      <c r="D33" s="259">
        <f>'F07 OPERAC. (MAT,SERV &amp; EQUIPO)'!M127</f>
        <v>0</v>
      </c>
      <c r="E33" s="259">
        <f>'F07 OPERAC. (MAT,SERV &amp; EQUIPO)'!N127</f>
        <v>0</v>
      </c>
      <c r="F33" s="259">
        <f>'F07 OPERAC. (MAT,SERV &amp; EQUIPO)'!O127</f>
        <v>0</v>
      </c>
      <c r="G33" s="259">
        <f>'F07 OPERAC. (MAT,SERV &amp; EQUIPO)'!P127</f>
        <v>0</v>
      </c>
      <c r="H33" s="259">
        <f>'F07 OPERAC. (MAT,SERV &amp; EQUIPO)'!Q127</f>
        <v>0</v>
      </c>
      <c r="I33" s="259">
        <f>'F07 OPERAC. (MAT,SERV &amp; EQUIPO)'!R127</f>
        <v>0</v>
      </c>
      <c r="J33" s="259">
        <f>'F07 OPERAC. (MAT,SERV &amp; EQUIPO)'!S127</f>
        <v>0</v>
      </c>
      <c r="K33" s="259">
        <f>'F07 OPERAC. (MAT,SERV &amp; EQUIPO)'!T127</f>
        <v>0</v>
      </c>
      <c r="L33" s="259">
        <f>'F07 OPERAC. (MAT,SERV &amp; EQUIPO)'!U127</f>
        <v>0</v>
      </c>
      <c r="M33" s="259">
        <f>'F07 OPERAC. (MAT,SERV &amp; EQUIPO)'!V127</f>
        <v>0</v>
      </c>
      <c r="N33" s="259">
        <f>'F07 OPERAC. (MAT,SERV &amp; EQUIPO)'!W127</f>
        <v>0</v>
      </c>
      <c r="O33" s="259">
        <f>'F07 OPERAC. (MAT,SERV &amp; EQUIPO)'!X127</f>
        <v>0</v>
      </c>
      <c r="P33" s="259">
        <f>'F07 OPERAC. (MAT,SERV &amp; EQUIPO)'!Y127</f>
        <v>0</v>
      </c>
      <c r="Q33" s="380">
        <f t="shared" si="0"/>
        <v>0</v>
      </c>
    </row>
    <row r="34" spans="1:20" ht="20.149999999999999" hidden="1" customHeight="1" outlineLevel="1" x14ac:dyDescent="0.35">
      <c r="A34" s="255" t="s">
        <v>134</v>
      </c>
      <c r="B34" s="262">
        <f>SUM(C34:P34)</f>
        <v>0</v>
      </c>
      <c r="C34" s="262">
        <f>'F07 OPERAC. (MAT,SERV &amp; EQUIPO)'!L128</f>
        <v>0</v>
      </c>
      <c r="D34" s="262">
        <f>'F07 OPERAC. (MAT,SERV &amp; EQUIPO)'!M128</f>
        <v>0</v>
      </c>
      <c r="E34" s="262">
        <f>'F07 OPERAC. (MAT,SERV &amp; EQUIPO)'!N128</f>
        <v>0</v>
      </c>
      <c r="F34" s="262">
        <f>'F07 OPERAC. (MAT,SERV &amp; EQUIPO)'!O128</f>
        <v>0</v>
      </c>
      <c r="G34" s="262">
        <f>'F07 OPERAC. (MAT,SERV &amp; EQUIPO)'!P128</f>
        <v>0</v>
      </c>
      <c r="H34" s="262">
        <f>'F07 OPERAC. (MAT,SERV &amp; EQUIPO)'!Q128</f>
        <v>0</v>
      </c>
      <c r="I34" s="262">
        <f>'F07 OPERAC. (MAT,SERV &amp; EQUIPO)'!R128</f>
        <v>0</v>
      </c>
      <c r="J34" s="262">
        <f>'F07 OPERAC. (MAT,SERV &amp; EQUIPO)'!S128</f>
        <v>0</v>
      </c>
      <c r="K34" s="262">
        <f>'F07 OPERAC. (MAT,SERV &amp; EQUIPO)'!T128</f>
        <v>0</v>
      </c>
      <c r="L34" s="262">
        <f>'F07 OPERAC. (MAT,SERV &amp; EQUIPO)'!U128</f>
        <v>0</v>
      </c>
      <c r="M34" s="262">
        <f>'F07 OPERAC. (MAT,SERV &amp; EQUIPO)'!V128</f>
        <v>0</v>
      </c>
      <c r="N34" s="262">
        <f>'F07 OPERAC. (MAT,SERV &amp; EQUIPO)'!W128</f>
        <v>0</v>
      </c>
      <c r="O34" s="262">
        <f>'F07 OPERAC. (MAT,SERV &amp; EQUIPO)'!X128</f>
        <v>0</v>
      </c>
      <c r="P34" s="262">
        <f>'F07 OPERAC. (MAT,SERV &amp; EQUIPO)'!Y128</f>
        <v>0</v>
      </c>
      <c r="Q34" s="380">
        <f t="shared" si="0"/>
        <v>0</v>
      </c>
    </row>
    <row r="35" spans="1:20" ht="20.149999999999999" hidden="1" customHeight="1" outlineLevel="1" x14ac:dyDescent="0.35">
      <c r="A35" s="258" t="s">
        <v>135</v>
      </c>
      <c r="B35" s="262">
        <f>SUM(C35:P35)</f>
        <v>0</v>
      </c>
      <c r="C35" s="259">
        <f>'F07 OPERAC. (MAT,SERV &amp; EQUIPO)'!L129</f>
        <v>0</v>
      </c>
      <c r="D35" s="259">
        <f>'F07 OPERAC. (MAT,SERV &amp; EQUIPO)'!M129</f>
        <v>0</v>
      </c>
      <c r="E35" s="259">
        <f>'F07 OPERAC. (MAT,SERV &amp; EQUIPO)'!N129</f>
        <v>0</v>
      </c>
      <c r="F35" s="259">
        <f>'F07 OPERAC. (MAT,SERV &amp; EQUIPO)'!O129</f>
        <v>0</v>
      </c>
      <c r="G35" s="259">
        <f>'F07 OPERAC. (MAT,SERV &amp; EQUIPO)'!P129</f>
        <v>0</v>
      </c>
      <c r="H35" s="259">
        <f>'F07 OPERAC. (MAT,SERV &amp; EQUIPO)'!Q129</f>
        <v>0</v>
      </c>
      <c r="I35" s="259">
        <f>'F07 OPERAC. (MAT,SERV &amp; EQUIPO)'!R129</f>
        <v>0</v>
      </c>
      <c r="J35" s="259">
        <f>'F07 OPERAC. (MAT,SERV &amp; EQUIPO)'!S129</f>
        <v>0</v>
      </c>
      <c r="K35" s="259">
        <f>'F07 OPERAC. (MAT,SERV &amp; EQUIPO)'!T129</f>
        <v>0</v>
      </c>
      <c r="L35" s="259">
        <f>'F07 OPERAC. (MAT,SERV &amp; EQUIPO)'!U129</f>
        <v>0</v>
      </c>
      <c r="M35" s="259">
        <f>'F07 OPERAC. (MAT,SERV &amp; EQUIPO)'!V129</f>
        <v>0</v>
      </c>
      <c r="N35" s="259">
        <f>'F07 OPERAC. (MAT,SERV &amp; EQUIPO)'!W129</f>
        <v>0</v>
      </c>
      <c r="O35" s="259">
        <f>'F07 OPERAC. (MAT,SERV &amp; EQUIPO)'!X129</f>
        <v>0</v>
      </c>
      <c r="P35" s="259">
        <f>'F07 OPERAC. (MAT,SERV &amp; EQUIPO)'!Y129</f>
        <v>0</v>
      </c>
      <c r="Q35" s="380">
        <f t="shared" si="0"/>
        <v>0</v>
      </c>
    </row>
    <row r="36" spans="1:20" s="3" customFormat="1" ht="20.149999999999999" customHeight="1" collapsed="1" x14ac:dyDescent="0.35">
      <c r="A36" s="263" t="s">
        <v>98</v>
      </c>
      <c r="B36" s="264">
        <f>SUM(B32:B35)</f>
        <v>0</v>
      </c>
      <c r="C36" s="265">
        <f t="shared" ref="C36:P36" si="7">SUM(C32:C35)</f>
        <v>0</v>
      </c>
      <c r="D36" s="265">
        <f t="shared" si="7"/>
        <v>0</v>
      </c>
      <c r="E36" s="265">
        <f t="shared" si="7"/>
        <v>0</v>
      </c>
      <c r="F36" s="265">
        <f t="shared" si="7"/>
        <v>0</v>
      </c>
      <c r="G36" s="265">
        <f t="shared" si="7"/>
        <v>0</v>
      </c>
      <c r="H36" s="265">
        <f t="shared" si="7"/>
        <v>0</v>
      </c>
      <c r="I36" s="265">
        <f t="shared" si="7"/>
        <v>0</v>
      </c>
      <c r="J36" s="265">
        <f t="shared" si="7"/>
        <v>0</v>
      </c>
      <c r="K36" s="265">
        <f t="shared" si="7"/>
        <v>0</v>
      </c>
      <c r="L36" s="265">
        <f t="shared" si="7"/>
        <v>0</v>
      </c>
      <c r="M36" s="265">
        <f t="shared" si="7"/>
        <v>0</v>
      </c>
      <c r="N36" s="265">
        <f t="shared" si="7"/>
        <v>0</v>
      </c>
      <c r="O36" s="265">
        <f t="shared" si="7"/>
        <v>0</v>
      </c>
      <c r="P36" s="265">
        <f t="shared" si="7"/>
        <v>0</v>
      </c>
      <c r="Q36" s="380">
        <f t="shared" si="0"/>
        <v>0</v>
      </c>
      <c r="R36" s="2"/>
      <c r="S36" s="2"/>
      <c r="T36" s="2"/>
    </row>
    <row r="37" spans="1:20" ht="20.149999999999999" hidden="1" customHeight="1" outlineLevel="1" x14ac:dyDescent="0.35">
      <c r="A37" s="255" t="s">
        <v>136</v>
      </c>
      <c r="B37" s="262">
        <f>SUM(C37:P37)</f>
        <v>0</v>
      </c>
      <c r="C37" s="262">
        <f>'F07 OPERAC. (MAT,SERV &amp; EQUIPO)'!L140</f>
        <v>0</v>
      </c>
      <c r="D37" s="262">
        <f>'F07 OPERAC. (MAT,SERV &amp; EQUIPO)'!M140</f>
        <v>0</v>
      </c>
      <c r="E37" s="262">
        <f>'F07 OPERAC. (MAT,SERV &amp; EQUIPO)'!N140</f>
        <v>0</v>
      </c>
      <c r="F37" s="262">
        <f>'F07 OPERAC. (MAT,SERV &amp; EQUIPO)'!O140</f>
        <v>0</v>
      </c>
      <c r="G37" s="262">
        <f>'F07 OPERAC. (MAT,SERV &amp; EQUIPO)'!P140</f>
        <v>0</v>
      </c>
      <c r="H37" s="262">
        <f>'F07 OPERAC. (MAT,SERV &amp; EQUIPO)'!Q140</f>
        <v>0</v>
      </c>
      <c r="I37" s="262">
        <f>'F07 OPERAC. (MAT,SERV &amp; EQUIPO)'!R140</f>
        <v>0</v>
      </c>
      <c r="J37" s="262">
        <f>'F07 OPERAC. (MAT,SERV &amp; EQUIPO)'!S140</f>
        <v>0</v>
      </c>
      <c r="K37" s="262">
        <f>'F07 OPERAC. (MAT,SERV &amp; EQUIPO)'!T140</f>
        <v>0</v>
      </c>
      <c r="L37" s="262">
        <f>'F07 OPERAC. (MAT,SERV &amp; EQUIPO)'!U140</f>
        <v>0</v>
      </c>
      <c r="M37" s="262">
        <f>'F07 OPERAC. (MAT,SERV &amp; EQUIPO)'!V140</f>
        <v>0</v>
      </c>
      <c r="N37" s="262">
        <f>'F07 OPERAC. (MAT,SERV &amp; EQUIPO)'!W140</f>
        <v>0</v>
      </c>
      <c r="O37" s="262">
        <f>'F07 OPERAC. (MAT,SERV &amp; EQUIPO)'!X140</f>
        <v>0</v>
      </c>
      <c r="P37" s="262">
        <f>'F07 OPERAC. (MAT,SERV &amp; EQUIPO)'!Y140</f>
        <v>0</v>
      </c>
      <c r="Q37" s="380">
        <f t="shared" si="0"/>
        <v>0</v>
      </c>
    </row>
    <row r="38" spans="1:20" ht="20.149999999999999" hidden="1" customHeight="1" outlineLevel="1" x14ac:dyDescent="0.35">
      <c r="A38" s="258" t="s">
        <v>137</v>
      </c>
      <c r="B38" s="259">
        <f>SUM(C38:P38)</f>
        <v>0</v>
      </c>
      <c r="C38" s="259">
        <f>'F07 OPERAC. (MAT,SERV &amp; EQUIPO)'!L141</f>
        <v>0</v>
      </c>
      <c r="D38" s="259">
        <f>'F07 OPERAC. (MAT,SERV &amp; EQUIPO)'!M141</f>
        <v>0</v>
      </c>
      <c r="E38" s="259">
        <f>'F07 OPERAC. (MAT,SERV &amp; EQUIPO)'!N141</f>
        <v>0</v>
      </c>
      <c r="F38" s="259">
        <f>'F07 OPERAC. (MAT,SERV &amp; EQUIPO)'!O141</f>
        <v>0</v>
      </c>
      <c r="G38" s="259">
        <f>'F07 OPERAC. (MAT,SERV &amp; EQUIPO)'!P141</f>
        <v>0</v>
      </c>
      <c r="H38" s="259">
        <f>'F07 OPERAC. (MAT,SERV &amp; EQUIPO)'!Q141</f>
        <v>0</v>
      </c>
      <c r="I38" s="259">
        <f>'F07 OPERAC. (MAT,SERV &amp; EQUIPO)'!R141</f>
        <v>0</v>
      </c>
      <c r="J38" s="259">
        <f>'F07 OPERAC. (MAT,SERV &amp; EQUIPO)'!S141</f>
        <v>0</v>
      </c>
      <c r="K38" s="259">
        <f>'F07 OPERAC. (MAT,SERV &amp; EQUIPO)'!T141</f>
        <v>0</v>
      </c>
      <c r="L38" s="259">
        <f>'F07 OPERAC. (MAT,SERV &amp; EQUIPO)'!U141</f>
        <v>0</v>
      </c>
      <c r="M38" s="259">
        <f>'F07 OPERAC. (MAT,SERV &amp; EQUIPO)'!V141</f>
        <v>0</v>
      </c>
      <c r="N38" s="259">
        <f>'F07 OPERAC. (MAT,SERV &amp; EQUIPO)'!W141</f>
        <v>0</v>
      </c>
      <c r="O38" s="259">
        <f>'F07 OPERAC. (MAT,SERV &amp; EQUIPO)'!X141</f>
        <v>0</v>
      </c>
      <c r="P38" s="259">
        <f>'F07 OPERAC. (MAT,SERV &amp; EQUIPO)'!Y141</f>
        <v>0</v>
      </c>
      <c r="Q38" s="380">
        <f t="shared" si="0"/>
        <v>0</v>
      </c>
    </row>
    <row r="39" spans="1:20" s="3" customFormat="1" ht="20.149999999999999" customHeight="1" collapsed="1" x14ac:dyDescent="0.35">
      <c r="A39" s="263" t="s">
        <v>99</v>
      </c>
      <c r="B39" s="264">
        <f>SUM(B37:B38)</f>
        <v>0</v>
      </c>
      <c r="C39" s="265">
        <f t="shared" ref="C39:P39" si="8">SUM(C37:C38)</f>
        <v>0</v>
      </c>
      <c r="D39" s="265">
        <f t="shared" si="8"/>
        <v>0</v>
      </c>
      <c r="E39" s="265">
        <f t="shared" si="8"/>
        <v>0</v>
      </c>
      <c r="F39" s="265">
        <f t="shared" si="8"/>
        <v>0</v>
      </c>
      <c r="G39" s="265">
        <f t="shared" si="8"/>
        <v>0</v>
      </c>
      <c r="H39" s="265">
        <f t="shared" si="8"/>
        <v>0</v>
      </c>
      <c r="I39" s="265">
        <f t="shared" si="8"/>
        <v>0</v>
      </c>
      <c r="J39" s="265">
        <f t="shared" si="8"/>
        <v>0</v>
      </c>
      <c r="K39" s="265">
        <f t="shared" si="8"/>
        <v>0</v>
      </c>
      <c r="L39" s="265">
        <f t="shared" si="8"/>
        <v>0</v>
      </c>
      <c r="M39" s="265">
        <f t="shared" si="8"/>
        <v>0</v>
      </c>
      <c r="N39" s="265">
        <f t="shared" si="8"/>
        <v>0</v>
      </c>
      <c r="O39" s="265">
        <f t="shared" si="8"/>
        <v>0</v>
      </c>
      <c r="P39" s="265">
        <f t="shared" si="8"/>
        <v>0</v>
      </c>
      <c r="Q39" s="380">
        <f t="shared" si="0"/>
        <v>0</v>
      </c>
      <c r="R39" s="2"/>
      <c r="S39" s="2"/>
      <c r="T39" s="2"/>
    </row>
    <row r="40" spans="1:20" ht="20.149999999999999" hidden="1" customHeight="1" outlineLevel="1" x14ac:dyDescent="0.35">
      <c r="A40" s="255" t="s">
        <v>138</v>
      </c>
      <c r="B40" s="262">
        <f>SUM(C40:P40)</f>
        <v>20997.34</v>
      </c>
      <c r="C40" s="262">
        <f>'F06 (MAT,SERV &amp; EQUIPO)'!M8</f>
        <v>10498.67</v>
      </c>
      <c r="D40" s="262">
        <f>'F06 (MAT,SERV &amp; EQUIPO)'!N8</f>
        <v>10498.67</v>
      </c>
      <c r="E40" s="262">
        <f>'F06 (MAT,SERV &amp; EQUIPO)'!O8</f>
        <v>0</v>
      </c>
      <c r="F40" s="262">
        <f>'F06 (MAT,SERV &amp; EQUIPO)'!P8</f>
        <v>0</v>
      </c>
      <c r="G40" s="262">
        <f>'F06 (MAT,SERV &amp; EQUIPO)'!Q8</f>
        <v>0</v>
      </c>
      <c r="H40" s="262">
        <f>'F06 (MAT,SERV &amp; EQUIPO)'!R8</f>
        <v>0</v>
      </c>
      <c r="I40" s="262">
        <f>'F06 (MAT,SERV &amp; EQUIPO)'!S8</f>
        <v>0</v>
      </c>
      <c r="J40" s="262">
        <f>'F06 (MAT,SERV &amp; EQUIPO)'!T8</f>
        <v>0</v>
      </c>
      <c r="K40" s="262">
        <f>'F06 (MAT,SERV &amp; EQUIPO)'!U8</f>
        <v>0</v>
      </c>
      <c r="L40" s="262">
        <f>'F06 (MAT,SERV &amp; EQUIPO)'!V8</f>
        <v>0</v>
      </c>
      <c r="M40" s="262">
        <f>'F06 (MAT,SERV &amp; EQUIPO)'!W8</f>
        <v>0</v>
      </c>
      <c r="N40" s="262">
        <f>'F06 (MAT,SERV &amp; EQUIPO)'!X8</f>
        <v>0</v>
      </c>
      <c r="O40" s="262">
        <f>'F06 (MAT,SERV &amp; EQUIPO)'!Y8</f>
        <v>0</v>
      </c>
      <c r="P40" s="262">
        <f>'F06 (MAT,SERV &amp; EQUIPO)'!Z8</f>
        <v>0</v>
      </c>
      <c r="Q40" s="380">
        <f t="shared" ref="Q40:Q71" si="9">B40/$B$162</f>
        <v>9.0259122140784952E-4</v>
      </c>
    </row>
    <row r="41" spans="1:20" ht="20.149999999999999" hidden="1" customHeight="1" outlineLevel="1" x14ac:dyDescent="0.35">
      <c r="A41" s="258" t="s">
        <v>139</v>
      </c>
      <c r="B41" s="262">
        <f t="shared" ref="B41:B74" si="10">SUM(C41:P41)</f>
        <v>0</v>
      </c>
      <c r="C41" s="259">
        <f>'F06 (MAT,SERV &amp; EQUIPO)'!M9</f>
        <v>0</v>
      </c>
      <c r="D41" s="259">
        <f>'F06 (MAT,SERV &amp; EQUIPO)'!N9</f>
        <v>0</v>
      </c>
      <c r="E41" s="259">
        <f>'F06 (MAT,SERV &amp; EQUIPO)'!O9</f>
        <v>0</v>
      </c>
      <c r="F41" s="259">
        <f>'F06 (MAT,SERV &amp; EQUIPO)'!P9</f>
        <v>0</v>
      </c>
      <c r="G41" s="259">
        <f>'F06 (MAT,SERV &amp; EQUIPO)'!Q9</f>
        <v>0</v>
      </c>
      <c r="H41" s="259">
        <f>'F06 (MAT,SERV &amp; EQUIPO)'!R9</f>
        <v>0</v>
      </c>
      <c r="I41" s="259">
        <f>'F06 (MAT,SERV &amp; EQUIPO)'!S9</f>
        <v>0</v>
      </c>
      <c r="J41" s="259">
        <f>'F06 (MAT,SERV &amp; EQUIPO)'!T9</f>
        <v>0</v>
      </c>
      <c r="K41" s="259">
        <f>'F06 (MAT,SERV &amp; EQUIPO)'!U9</f>
        <v>0</v>
      </c>
      <c r="L41" s="259">
        <f>'F06 (MAT,SERV &amp; EQUIPO)'!V9</f>
        <v>0</v>
      </c>
      <c r="M41" s="259">
        <f>'F06 (MAT,SERV &amp; EQUIPO)'!W9</f>
        <v>0</v>
      </c>
      <c r="N41" s="259">
        <f>'F06 (MAT,SERV &amp; EQUIPO)'!X9</f>
        <v>0</v>
      </c>
      <c r="O41" s="259">
        <f>'F06 (MAT,SERV &amp; EQUIPO)'!Y9</f>
        <v>0</v>
      </c>
      <c r="P41" s="259">
        <f>'F06 (MAT,SERV &amp; EQUIPO)'!Z9</f>
        <v>0</v>
      </c>
      <c r="Q41" s="380">
        <f t="shared" si="9"/>
        <v>0</v>
      </c>
    </row>
    <row r="42" spans="1:20" ht="20.149999999999999" hidden="1" customHeight="1" outlineLevel="1" x14ac:dyDescent="0.35">
      <c r="A42" s="255" t="s">
        <v>140</v>
      </c>
      <c r="B42" s="262">
        <f t="shared" si="10"/>
        <v>0</v>
      </c>
      <c r="C42" s="262">
        <f>'F06 (MAT,SERV &amp; EQUIPO)'!M10</f>
        <v>0</v>
      </c>
      <c r="D42" s="262">
        <f>'F06 (MAT,SERV &amp; EQUIPO)'!N10</f>
        <v>0</v>
      </c>
      <c r="E42" s="262">
        <f>'F06 (MAT,SERV &amp; EQUIPO)'!O10</f>
        <v>0</v>
      </c>
      <c r="F42" s="262">
        <f>'F06 (MAT,SERV &amp; EQUIPO)'!P10</f>
        <v>0</v>
      </c>
      <c r="G42" s="262">
        <f>'F06 (MAT,SERV &amp; EQUIPO)'!Q10</f>
        <v>0</v>
      </c>
      <c r="H42" s="262">
        <f>'F06 (MAT,SERV &amp; EQUIPO)'!R10</f>
        <v>0</v>
      </c>
      <c r="I42" s="262">
        <f>'F06 (MAT,SERV &amp; EQUIPO)'!S10</f>
        <v>0</v>
      </c>
      <c r="J42" s="262">
        <f>'F06 (MAT,SERV &amp; EQUIPO)'!T10</f>
        <v>0</v>
      </c>
      <c r="K42" s="262">
        <f>'F06 (MAT,SERV &amp; EQUIPO)'!U10</f>
        <v>0</v>
      </c>
      <c r="L42" s="262">
        <f>'F06 (MAT,SERV &amp; EQUIPO)'!V10</f>
        <v>0</v>
      </c>
      <c r="M42" s="262">
        <f>'F06 (MAT,SERV &amp; EQUIPO)'!W10</f>
        <v>0</v>
      </c>
      <c r="N42" s="262">
        <f>'F06 (MAT,SERV &amp; EQUIPO)'!X10</f>
        <v>0</v>
      </c>
      <c r="O42" s="262">
        <f>'F06 (MAT,SERV &amp; EQUIPO)'!Y10</f>
        <v>0</v>
      </c>
      <c r="P42" s="262">
        <f>'F06 (MAT,SERV &amp; EQUIPO)'!Z10</f>
        <v>0</v>
      </c>
      <c r="Q42" s="380">
        <f t="shared" si="9"/>
        <v>0</v>
      </c>
    </row>
    <row r="43" spans="1:20" ht="20.149999999999999" hidden="1" customHeight="1" outlineLevel="1" x14ac:dyDescent="0.35">
      <c r="A43" s="258" t="s">
        <v>141</v>
      </c>
      <c r="B43" s="262">
        <f t="shared" si="10"/>
        <v>0</v>
      </c>
      <c r="C43" s="259">
        <f>'F06 (MAT,SERV &amp; EQUIPO)'!M11</f>
        <v>0</v>
      </c>
      <c r="D43" s="259">
        <f>'F06 (MAT,SERV &amp; EQUIPO)'!N11</f>
        <v>0</v>
      </c>
      <c r="E43" s="259">
        <f>'F06 (MAT,SERV &amp; EQUIPO)'!O11</f>
        <v>0</v>
      </c>
      <c r="F43" s="259">
        <f>'F06 (MAT,SERV &amp; EQUIPO)'!P11</f>
        <v>0</v>
      </c>
      <c r="G43" s="259">
        <f>'F06 (MAT,SERV &amp; EQUIPO)'!Q11</f>
        <v>0</v>
      </c>
      <c r="H43" s="259">
        <f>'F06 (MAT,SERV &amp; EQUIPO)'!R11</f>
        <v>0</v>
      </c>
      <c r="I43" s="259">
        <f>'F06 (MAT,SERV &amp; EQUIPO)'!S11</f>
        <v>0</v>
      </c>
      <c r="J43" s="259">
        <f>'F06 (MAT,SERV &amp; EQUIPO)'!T11</f>
        <v>0</v>
      </c>
      <c r="K43" s="259">
        <f>'F06 (MAT,SERV &amp; EQUIPO)'!U11</f>
        <v>0</v>
      </c>
      <c r="L43" s="259">
        <f>'F06 (MAT,SERV &amp; EQUIPO)'!V11</f>
        <v>0</v>
      </c>
      <c r="M43" s="259">
        <f>'F06 (MAT,SERV &amp; EQUIPO)'!W11</f>
        <v>0</v>
      </c>
      <c r="N43" s="259">
        <f>'F06 (MAT,SERV &amp; EQUIPO)'!X11</f>
        <v>0</v>
      </c>
      <c r="O43" s="259">
        <f>'F06 (MAT,SERV &amp; EQUIPO)'!Y11</f>
        <v>0</v>
      </c>
      <c r="P43" s="259">
        <f>'F06 (MAT,SERV &amp; EQUIPO)'!Z11</f>
        <v>0</v>
      </c>
      <c r="Q43" s="380">
        <f t="shared" si="9"/>
        <v>0</v>
      </c>
    </row>
    <row r="44" spans="1:20" ht="20.149999999999999" hidden="1" customHeight="1" outlineLevel="1" x14ac:dyDescent="0.35">
      <c r="A44" s="255" t="s">
        <v>142</v>
      </c>
      <c r="B44" s="262">
        <f t="shared" si="10"/>
        <v>0</v>
      </c>
      <c r="C44" s="262">
        <f>'F06 (MAT,SERV &amp; EQUIPO)'!M12</f>
        <v>0</v>
      </c>
      <c r="D44" s="262">
        <f>'F06 (MAT,SERV &amp; EQUIPO)'!N12</f>
        <v>0</v>
      </c>
      <c r="E44" s="262">
        <f>'F06 (MAT,SERV &amp; EQUIPO)'!O12</f>
        <v>0</v>
      </c>
      <c r="F44" s="262">
        <f>'F06 (MAT,SERV &amp; EQUIPO)'!P12</f>
        <v>0</v>
      </c>
      <c r="G44" s="262">
        <f>'F06 (MAT,SERV &amp; EQUIPO)'!Q12</f>
        <v>0</v>
      </c>
      <c r="H44" s="262">
        <f>'F06 (MAT,SERV &amp; EQUIPO)'!R12</f>
        <v>0</v>
      </c>
      <c r="I44" s="262">
        <f>'F06 (MAT,SERV &amp; EQUIPO)'!S12</f>
        <v>0</v>
      </c>
      <c r="J44" s="262">
        <f>'F06 (MAT,SERV &amp; EQUIPO)'!T12</f>
        <v>0</v>
      </c>
      <c r="K44" s="262">
        <f>'F06 (MAT,SERV &amp; EQUIPO)'!U12</f>
        <v>0</v>
      </c>
      <c r="L44" s="262">
        <f>'F06 (MAT,SERV &amp; EQUIPO)'!V12</f>
        <v>0</v>
      </c>
      <c r="M44" s="262">
        <f>'F06 (MAT,SERV &amp; EQUIPO)'!W12</f>
        <v>0</v>
      </c>
      <c r="N44" s="262">
        <f>'F06 (MAT,SERV &amp; EQUIPO)'!X12</f>
        <v>0</v>
      </c>
      <c r="O44" s="262">
        <f>'F06 (MAT,SERV &amp; EQUIPO)'!Y12</f>
        <v>0</v>
      </c>
      <c r="P44" s="262">
        <f>'F06 (MAT,SERV &amp; EQUIPO)'!Z12</f>
        <v>0</v>
      </c>
      <c r="Q44" s="380">
        <f t="shared" si="9"/>
        <v>0</v>
      </c>
    </row>
    <row r="45" spans="1:20" ht="20.149999999999999" hidden="1" customHeight="1" outlineLevel="1" x14ac:dyDescent="0.35">
      <c r="A45" s="258" t="s">
        <v>143</v>
      </c>
      <c r="B45" s="262">
        <f t="shared" si="10"/>
        <v>0</v>
      </c>
      <c r="C45" s="259">
        <f>'F06 (MAT,SERV &amp; EQUIPO)'!M13</f>
        <v>0</v>
      </c>
      <c r="D45" s="259">
        <f>'F06 (MAT,SERV &amp; EQUIPO)'!N13</f>
        <v>0</v>
      </c>
      <c r="E45" s="259">
        <f>'F06 (MAT,SERV &amp; EQUIPO)'!O13</f>
        <v>0</v>
      </c>
      <c r="F45" s="259">
        <f>'F06 (MAT,SERV &amp; EQUIPO)'!P13</f>
        <v>0</v>
      </c>
      <c r="G45" s="259">
        <f>'F06 (MAT,SERV &amp; EQUIPO)'!Q13</f>
        <v>0</v>
      </c>
      <c r="H45" s="259">
        <f>'F06 (MAT,SERV &amp; EQUIPO)'!R13</f>
        <v>0</v>
      </c>
      <c r="I45" s="259">
        <f>'F06 (MAT,SERV &amp; EQUIPO)'!S13</f>
        <v>0</v>
      </c>
      <c r="J45" s="259">
        <f>'F06 (MAT,SERV &amp; EQUIPO)'!T13</f>
        <v>0</v>
      </c>
      <c r="K45" s="259">
        <f>'F06 (MAT,SERV &amp; EQUIPO)'!U13</f>
        <v>0</v>
      </c>
      <c r="L45" s="259">
        <f>'F06 (MAT,SERV &amp; EQUIPO)'!V13</f>
        <v>0</v>
      </c>
      <c r="M45" s="259">
        <f>'F06 (MAT,SERV &amp; EQUIPO)'!W13</f>
        <v>0</v>
      </c>
      <c r="N45" s="259">
        <f>'F06 (MAT,SERV &amp; EQUIPO)'!X13</f>
        <v>0</v>
      </c>
      <c r="O45" s="259">
        <f>'F06 (MAT,SERV &amp; EQUIPO)'!Y13</f>
        <v>0</v>
      </c>
      <c r="P45" s="259">
        <f>'F06 (MAT,SERV &amp; EQUIPO)'!Z13</f>
        <v>0</v>
      </c>
      <c r="Q45" s="380">
        <f t="shared" si="9"/>
        <v>0</v>
      </c>
    </row>
    <row r="46" spans="1:20" ht="20.149999999999999" hidden="1" customHeight="1" outlineLevel="1" x14ac:dyDescent="0.35">
      <c r="A46" s="255" t="s">
        <v>144</v>
      </c>
      <c r="B46" s="262">
        <f t="shared" si="10"/>
        <v>0</v>
      </c>
      <c r="C46" s="262">
        <f>'F06 (MAT,SERV &amp; EQUIPO)'!M14</f>
        <v>0</v>
      </c>
      <c r="D46" s="262">
        <f>'F06 (MAT,SERV &amp; EQUIPO)'!N14</f>
        <v>0</v>
      </c>
      <c r="E46" s="262">
        <f>'F06 (MAT,SERV &amp; EQUIPO)'!O14</f>
        <v>0</v>
      </c>
      <c r="F46" s="262">
        <f>'F06 (MAT,SERV &amp; EQUIPO)'!P14</f>
        <v>0</v>
      </c>
      <c r="G46" s="262">
        <f>'F06 (MAT,SERV &amp; EQUIPO)'!Q14</f>
        <v>0</v>
      </c>
      <c r="H46" s="262">
        <f>'F06 (MAT,SERV &amp; EQUIPO)'!R14</f>
        <v>0</v>
      </c>
      <c r="I46" s="262">
        <f>'F06 (MAT,SERV &amp; EQUIPO)'!S14</f>
        <v>0</v>
      </c>
      <c r="J46" s="262">
        <f>'F06 (MAT,SERV &amp; EQUIPO)'!T14</f>
        <v>0</v>
      </c>
      <c r="K46" s="262">
        <f>'F06 (MAT,SERV &amp; EQUIPO)'!U14</f>
        <v>0</v>
      </c>
      <c r="L46" s="262">
        <f>'F06 (MAT,SERV &amp; EQUIPO)'!V14</f>
        <v>0</v>
      </c>
      <c r="M46" s="262">
        <f>'F06 (MAT,SERV &amp; EQUIPO)'!W14</f>
        <v>0</v>
      </c>
      <c r="N46" s="262">
        <f>'F06 (MAT,SERV &amp; EQUIPO)'!X14</f>
        <v>0</v>
      </c>
      <c r="O46" s="262">
        <f>'F06 (MAT,SERV &amp; EQUIPO)'!Y14</f>
        <v>0</v>
      </c>
      <c r="P46" s="262">
        <f>'F06 (MAT,SERV &amp; EQUIPO)'!Z14</f>
        <v>0</v>
      </c>
      <c r="Q46" s="380">
        <f t="shared" si="9"/>
        <v>0</v>
      </c>
    </row>
    <row r="47" spans="1:20" ht="20.149999999999999" hidden="1" customHeight="1" outlineLevel="1" x14ac:dyDescent="0.35">
      <c r="A47" s="258" t="s">
        <v>145</v>
      </c>
      <c r="B47" s="262">
        <f t="shared" si="10"/>
        <v>0</v>
      </c>
      <c r="C47" s="259">
        <f>'F06 (MAT,SERV &amp; EQUIPO)'!M15</f>
        <v>0</v>
      </c>
      <c r="D47" s="259">
        <f>'F06 (MAT,SERV &amp; EQUIPO)'!N15</f>
        <v>0</v>
      </c>
      <c r="E47" s="259">
        <f>'F06 (MAT,SERV &amp; EQUIPO)'!O15</f>
        <v>0</v>
      </c>
      <c r="F47" s="259">
        <f>'F06 (MAT,SERV &amp; EQUIPO)'!P15</f>
        <v>0</v>
      </c>
      <c r="G47" s="259">
        <f>'F06 (MAT,SERV &amp; EQUIPO)'!Q15</f>
        <v>0</v>
      </c>
      <c r="H47" s="259">
        <f>'F06 (MAT,SERV &amp; EQUIPO)'!R15</f>
        <v>0</v>
      </c>
      <c r="I47" s="259">
        <f>'F06 (MAT,SERV &amp; EQUIPO)'!S15</f>
        <v>0</v>
      </c>
      <c r="J47" s="259">
        <f>'F06 (MAT,SERV &amp; EQUIPO)'!T15</f>
        <v>0</v>
      </c>
      <c r="K47" s="259">
        <f>'F06 (MAT,SERV &amp; EQUIPO)'!U15</f>
        <v>0</v>
      </c>
      <c r="L47" s="259">
        <f>'F06 (MAT,SERV &amp; EQUIPO)'!V15</f>
        <v>0</v>
      </c>
      <c r="M47" s="259">
        <f>'F06 (MAT,SERV &amp; EQUIPO)'!W15</f>
        <v>0</v>
      </c>
      <c r="N47" s="259">
        <f>'F06 (MAT,SERV &amp; EQUIPO)'!X15</f>
        <v>0</v>
      </c>
      <c r="O47" s="259">
        <f>'F06 (MAT,SERV &amp; EQUIPO)'!Y15</f>
        <v>0</v>
      </c>
      <c r="P47" s="259">
        <f>'F06 (MAT,SERV &amp; EQUIPO)'!Z15</f>
        <v>0</v>
      </c>
      <c r="Q47" s="380">
        <f t="shared" si="9"/>
        <v>0</v>
      </c>
    </row>
    <row r="48" spans="1:20" ht="20.149999999999999" hidden="1" customHeight="1" outlineLevel="1" x14ac:dyDescent="0.35">
      <c r="A48" s="255" t="s">
        <v>146</v>
      </c>
      <c r="B48" s="262">
        <f t="shared" si="10"/>
        <v>0</v>
      </c>
      <c r="C48" s="262">
        <f>'F06 (MAT,SERV &amp; EQUIPO)'!M16</f>
        <v>0</v>
      </c>
      <c r="D48" s="262">
        <f>'F06 (MAT,SERV &amp; EQUIPO)'!N16</f>
        <v>0</v>
      </c>
      <c r="E48" s="262">
        <f>'F06 (MAT,SERV &amp; EQUIPO)'!O16</f>
        <v>0</v>
      </c>
      <c r="F48" s="262">
        <f>'F06 (MAT,SERV &amp; EQUIPO)'!P16</f>
        <v>0</v>
      </c>
      <c r="G48" s="262">
        <f>'F06 (MAT,SERV &amp; EQUIPO)'!Q16</f>
        <v>0</v>
      </c>
      <c r="H48" s="262">
        <f>'F06 (MAT,SERV &amp; EQUIPO)'!R16</f>
        <v>0</v>
      </c>
      <c r="I48" s="262">
        <f>'F06 (MAT,SERV &amp; EQUIPO)'!S16</f>
        <v>0</v>
      </c>
      <c r="J48" s="262">
        <f>'F06 (MAT,SERV &amp; EQUIPO)'!T16</f>
        <v>0</v>
      </c>
      <c r="K48" s="262">
        <f>'F06 (MAT,SERV &amp; EQUIPO)'!U16</f>
        <v>0</v>
      </c>
      <c r="L48" s="262">
        <f>'F06 (MAT,SERV &amp; EQUIPO)'!V16</f>
        <v>0</v>
      </c>
      <c r="M48" s="262">
        <f>'F06 (MAT,SERV &amp; EQUIPO)'!W16</f>
        <v>0</v>
      </c>
      <c r="N48" s="262">
        <f>'F06 (MAT,SERV &amp; EQUIPO)'!X16</f>
        <v>0</v>
      </c>
      <c r="O48" s="262">
        <f>'F06 (MAT,SERV &amp; EQUIPO)'!Y16</f>
        <v>0</v>
      </c>
      <c r="P48" s="262">
        <f>'F06 (MAT,SERV &amp; EQUIPO)'!Z16</f>
        <v>0</v>
      </c>
      <c r="Q48" s="380">
        <f t="shared" si="9"/>
        <v>0</v>
      </c>
    </row>
    <row r="49" spans="1:17" ht="20.149999999999999" hidden="1" customHeight="1" outlineLevel="1" x14ac:dyDescent="0.35">
      <c r="A49" s="258" t="s">
        <v>147</v>
      </c>
      <c r="B49" s="262">
        <f t="shared" si="10"/>
        <v>0</v>
      </c>
      <c r="C49" s="259">
        <f>'F06 (MAT,SERV &amp; EQUIPO)'!M17</f>
        <v>0</v>
      </c>
      <c r="D49" s="259">
        <f>'F06 (MAT,SERV &amp; EQUIPO)'!N17</f>
        <v>0</v>
      </c>
      <c r="E49" s="259">
        <f>'F06 (MAT,SERV &amp; EQUIPO)'!O17</f>
        <v>0</v>
      </c>
      <c r="F49" s="259">
        <f>'F06 (MAT,SERV &amp; EQUIPO)'!P17</f>
        <v>0</v>
      </c>
      <c r="G49" s="259">
        <f>'F06 (MAT,SERV &amp; EQUIPO)'!Q17</f>
        <v>0</v>
      </c>
      <c r="H49" s="259">
        <f>'F06 (MAT,SERV &amp; EQUIPO)'!R17</f>
        <v>0</v>
      </c>
      <c r="I49" s="259">
        <f>'F06 (MAT,SERV &amp; EQUIPO)'!S17</f>
        <v>0</v>
      </c>
      <c r="J49" s="259">
        <f>'F06 (MAT,SERV &amp; EQUIPO)'!T17</f>
        <v>0</v>
      </c>
      <c r="K49" s="259">
        <f>'F06 (MAT,SERV &amp; EQUIPO)'!U17</f>
        <v>0</v>
      </c>
      <c r="L49" s="259">
        <f>'F06 (MAT,SERV &amp; EQUIPO)'!V17</f>
        <v>0</v>
      </c>
      <c r="M49" s="259">
        <f>'F06 (MAT,SERV &amp; EQUIPO)'!W17</f>
        <v>0</v>
      </c>
      <c r="N49" s="259">
        <f>'F06 (MAT,SERV &amp; EQUIPO)'!X17</f>
        <v>0</v>
      </c>
      <c r="O49" s="259">
        <f>'F06 (MAT,SERV &amp; EQUIPO)'!Y17</f>
        <v>0</v>
      </c>
      <c r="P49" s="259">
        <f>'F06 (MAT,SERV &amp; EQUIPO)'!Z17</f>
        <v>0</v>
      </c>
      <c r="Q49" s="380">
        <f t="shared" si="9"/>
        <v>0</v>
      </c>
    </row>
    <row r="50" spans="1:17" ht="20.149999999999999" hidden="1" customHeight="1" outlineLevel="1" x14ac:dyDescent="0.35">
      <c r="A50" s="255" t="s">
        <v>148</v>
      </c>
      <c r="B50" s="262">
        <f t="shared" si="10"/>
        <v>0</v>
      </c>
      <c r="C50" s="262">
        <f>'F06 (MAT,SERV &amp; EQUIPO)'!M18</f>
        <v>0</v>
      </c>
      <c r="D50" s="262">
        <f>'F06 (MAT,SERV &amp; EQUIPO)'!N18</f>
        <v>0</v>
      </c>
      <c r="E50" s="262">
        <f>'F06 (MAT,SERV &amp; EQUIPO)'!O18</f>
        <v>0</v>
      </c>
      <c r="F50" s="262">
        <f>'F06 (MAT,SERV &amp; EQUIPO)'!P18</f>
        <v>0</v>
      </c>
      <c r="G50" s="262">
        <f>'F06 (MAT,SERV &amp; EQUIPO)'!Q18</f>
        <v>0</v>
      </c>
      <c r="H50" s="262">
        <f>'F06 (MAT,SERV &amp; EQUIPO)'!R18</f>
        <v>0</v>
      </c>
      <c r="I50" s="262">
        <f>'F06 (MAT,SERV &amp; EQUIPO)'!S18</f>
        <v>0</v>
      </c>
      <c r="J50" s="262">
        <f>'F06 (MAT,SERV &amp; EQUIPO)'!T18</f>
        <v>0</v>
      </c>
      <c r="K50" s="262">
        <f>'F06 (MAT,SERV &amp; EQUIPO)'!U18</f>
        <v>0</v>
      </c>
      <c r="L50" s="262">
        <f>'F06 (MAT,SERV &amp; EQUIPO)'!V18</f>
        <v>0</v>
      </c>
      <c r="M50" s="262">
        <f>'F06 (MAT,SERV &amp; EQUIPO)'!W18</f>
        <v>0</v>
      </c>
      <c r="N50" s="262">
        <f>'F06 (MAT,SERV &amp; EQUIPO)'!X18</f>
        <v>0</v>
      </c>
      <c r="O50" s="262">
        <f>'F06 (MAT,SERV &amp; EQUIPO)'!Y18</f>
        <v>0</v>
      </c>
      <c r="P50" s="262">
        <f>'F06 (MAT,SERV &amp; EQUIPO)'!Z18</f>
        <v>0</v>
      </c>
      <c r="Q50" s="380">
        <f t="shared" si="9"/>
        <v>0</v>
      </c>
    </row>
    <row r="51" spans="1:17" ht="20.149999999999999" hidden="1" customHeight="1" outlineLevel="1" x14ac:dyDescent="0.35">
      <c r="A51" s="258" t="s">
        <v>149</v>
      </c>
      <c r="B51" s="262">
        <f t="shared" si="10"/>
        <v>0</v>
      </c>
      <c r="C51" s="259">
        <f>'F06 (MAT,SERV &amp; EQUIPO)'!M19</f>
        <v>0</v>
      </c>
      <c r="D51" s="259">
        <f>'F06 (MAT,SERV &amp; EQUIPO)'!N19</f>
        <v>0</v>
      </c>
      <c r="E51" s="259">
        <f>'F06 (MAT,SERV &amp; EQUIPO)'!O19</f>
        <v>0</v>
      </c>
      <c r="F51" s="259">
        <f>'F06 (MAT,SERV &amp; EQUIPO)'!P19</f>
        <v>0</v>
      </c>
      <c r="G51" s="259">
        <f>'F06 (MAT,SERV &amp; EQUIPO)'!Q19</f>
        <v>0</v>
      </c>
      <c r="H51" s="259">
        <f>'F06 (MAT,SERV &amp; EQUIPO)'!R19</f>
        <v>0</v>
      </c>
      <c r="I51" s="259">
        <f>'F06 (MAT,SERV &amp; EQUIPO)'!S19</f>
        <v>0</v>
      </c>
      <c r="J51" s="259">
        <f>'F06 (MAT,SERV &amp; EQUIPO)'!T19</f>
        <v>0</v>
      </c>
      <c r="K51" s="259">
        <f>'F06 (MAT,SERV &amp; EQUIPO)'!U19</f>
        <v>0</v>
      </c>
      <c r="L51" s="259">
        <f>'F06 (MAT,SERV &amp; EQUIPO)'!V19</f>
        <v>0</v>
      </c>
      <c r="M51" s="259">
        <f>'F06 (MAT,SERV &amp; EQUIPO)'!W19</f>
        <v>0</v>
      </c>
      <c r="N51" s="259">
        <f>'F06 (MAT,SERV &amp; EQUIPO)'!X19</f>
        <v>0</v>
      </c>
      <c r="O51" s="259">
        <f>'F06 (MAT,SERV &amp; EQUIPO)'!Y19</f>
        <v>0</v>
      </c>
      <c r="P51" s="259">
        <f>'F06 (MAT,SERV &amp; EQUIPO)'!Z19</f>
        <v>0</v>
      </c>
      <c r="Q51" s="380">
        <f t="shared" si="9"/>
        <v>0</v>
      </c>
    </row>
    <row r="52" spans="1:17" ht="20.149999999999999" hidden="1" customHeight="1" outlineLevel="1" x14ac:dyDescent="0.35">
      <c r="A52" s="255" t="s">
        <v>150</v>
      </c>
      <c r="B52" s="262">
        <f t="shared" si="10"/>
        <v>0</v>
      </c>
      <c r="C52" s="262">
        <f>'F06 (MAT,SERV &amp; EQUIPO)'!M20</f>
        <v>0</v>
      </c>
      <c r="D52" s="262">
        <f>'F06 (MAT,SERV &amp; EQUIPO)'!N20</f>
        <v>0</v>
      </c>
      <c r="E52" s="262">
        <f>'F06 (MAT,SERV &amp; EQUIPO)'!O20</f>
        <v>0</v>
      </c>
      <c r="F52" s="262">
        <f>'F06 (MAT,SERV &amp; EQUIPO)'!P20</f>
        <v>0</v>
      </c>
      <c r="G52" s="262">
        <f>'F06 (MAT,SERV &amp; EQUIPO)'!Q20</f>
        <v>0</v>
      </c>
      <c r="H52" s="262">
        <f>'F06 (MAT,SERV &amp; EQUIPO)'!R20</f>
        <v>0</v>
      </c>
      <c r="I52" s="262">
        <f>'F06 (MAT,SERV &amp; EQUIPO)'!S20</f>
        <v>0</v>
      </c>
      <c r="J52" s="262">
        <f>'F06 (MAT,SERV &amp; EQUIPO)'!T20</f>
        <v>0</v>
      </c>
      <c r="K52" s="262">
        <f>'F06 (MAT,SERV &amp; EQUIPO)'!U20</f>
        <v>0</v>
      </c>
      <c r="L52" s="262">
        <f>'F06 (MAT,SERV &amp; EQUIPO)'!V20</f>
        <v>0</v>
      </c>
      <c r="M52" s="262">
        <f>'F06 (MAT,SERV &amp; EQUIPO)'!W20</f>
        <v>0</v>
      </c>
      <c r="N52" s="262">
        <f>'F06 (MAT,SERV &amp; EQUIPO)'!X20</f>
        <v>0</v>
      </c>
      <c r="O52" s="262">
        <f>'F06 (MAT,SERV &amp; EQUIPO)'!Y20</f>
        <v>0</v>
      </c>
      <c r="P52" s="262">
        <f>'F06 (MAT,SERV &amp; EQUIPO)'!Z20</f>
        <v>0</v>
      </c>
      <c r="Q52" s="380">
        <f t="shared" si="9"/>
        <v>0</v>
      </c>
    </row>
    <row r="53" spans="1:17" ht="20.149999999999999" hidden="1" customHeight="1" outlineLevel="1" x14ac:dyDescent="0.35">
      <c r="A53" s="258" t="s">
        <v>151</v>
      </c>
      <c r="B53" s="262">
        <f t="shared" si="10"/>
        <v>0</v>
      </c>
      <c r="C53" s="259">
        <f>'F06 (MAT,SERV &amp; EQUIPO)'!M21</f>
        <v>0</v>
      </c>
      <c r="D53" s="259">
        <f>'F06 (MAT,SERV &amp; EQUIPO)'!N21</f>
        <v>0</v>
      </c>
      <c r="E53" s="259">
        <f>'F06 (MAT,SERV &amp; EQUIPO)'!O21</f>
        <v>0</v>
      </c>
      <c r="F53" s="259">
        <f>'F06 (MAT,SERV &amp; EQUIPO)'!P21</f>
        <v>0</v>
      </c>
      <c r="G53" s="259">
        <f>'F06 (MAT,SERV &amp; EQUIPO)'!Q21</f>
        <v>0</v>
      </c>
      <c r="H53" s="259">
        <f>'F06 (MAT,SERV &amp; EQUIPO)'!R21</f>
        <v>0</v>
      </c>
      <c r="I53" s="259">
        <f>'F06 (MAT,SERV &amp; EQUIPO)'!S21</f>
        <v>0</v>
      </c>
      <c r="J53" s="259">
        <f>'F06 (MAT,SERV &amp; EQUIPO)'!T21</f>
        <v>0</v>
      </c>
      <c r="K53" s="259">
        <f>'F06 (MAT,SERV &amp; EQUIPO)'!U21</f>
        <v>0</v>
      </c>
      <c r="L53" s="259">
        <f>'F06 (MAT,SERV &amp; EQUIPO)'!V21</f>
        <v>0</v>
      </c>
      <c r="M53" s="259">
        <f>'F06 (MAT,SERV &amp; EQUIPO)'!W21</f>
        <v>0</v>
      </c>
      <c r="N53" s="259">
        <f>'F06 (MAT,SERV &amp; EQUIPO)'!X21</f>
        <v>0</v>
      </c>
      <c r="O53" s="259">
        <f>'F06 (MAT,SERV &amp; EQUIPO)'!Y21</f>
        <v>0</v>
      </c>
      <c r="P53" s="259">
        <f>'F06 (MAT,SERV &amp; EQUIPO)'!Z21</f>
        <v>0</v>
      </c>
      <c r="Q53" s="380">
        <f t="shared" si="9"/>
        <v>0</v>
      </c>
    </row>
    <row r="54" spans="1:17" ht="20.149999999999999" hidden="1" customHeight="1" outlineLevel="1" x14ac:dyDescent="0.35">
      <c r="A54" s="255" t="s">
        <v>152</v>
      </c>
      <c r="B54" s="262">
        <f t="shared" si="10"/>
        <v>0</v>
      </c>
      <c r="C54" s="262">
        <f>'F06 (MAT,SERV &amp; EQUIPO)'!M22</f>
        <v>0</v>
      </c>
      <c r="D54" s="262">
        <f>'F06 (MAT,SERV &amp; EQUIPO)'!N22</f>
        <v>0</v>
      </c>
      <c r="E54" s="262">
        <f>'F06 (MAT,SERV &amp; EQUIPO)'!O22</f>
        <v>0</v>
      </c>
      <c r="F54" s="262">
        <f>'F06 (MAT,SERV &amp; EQUIPO)'!P22</f>
        <v>0</v>
      </c>
      <c r="G54" s="262">
        <f>'F06 (MAT,SERV &amp; EQUIPO)'!Q22</f>
        <v>0</v>
      </c>
      <c r="H54" s="262">
        <f>'F06 (MAT,SERV &amp; EQUIPO)'!R22</f>
        <v>0</v>
      </c>
      <c r="I54" s="262">
        <f>'F06 (MAT,SERV &amp; EQUIPO)'!S22</f>
        <v>0</v>
      </c>
      <c r="J54" s="262">
        <f>'F06 (MAT,SERV &amp; EQUIPO)'!T22</f>
        <v>0</v>
      </c>
      <c r="K54" s="262">
        <f>'F06 (MAT,SERV &amp; EQUIPO)'!U22</f>
        <v>0</v>
      </c>
      <c r="L54" s="262">
        <f>'F06 (MAT,SERV &amp; EQUIPO)'!V22</f>
        <v>0</v>
      </c>
      <c r="M54" s="262">
        <f>'F06 (MAT,SERV &amp; EQUIPO)'!W22</f>
        <v>0</v>
      </c>
      <c r="N54" s="262">
        <f>'F06 (MAT,SERV &amp; EQUIPO)'!X22</f>
        <v>0</v>
      </c>
      <c r="O54" s="262">
        <f>'F06 (MAT,SERV &amp; EQUIPO)'!Y22</f>
        <v>0</v>
      </c>
      <c r="P54" s="262">
        <f>'F06 (MAT,SERV &amp; EQUIPO)'!Z22</f>
        <v>0</v>
      </c>
      <c r="Q54" s="380">
        <f t="shared" si="9"/>
        <v>0</v>
      </c>
    </row>
    <row r="55" spans="1:17" ht="20.149999999999999" hidden="1" customHeight="1" outlineLevel="1" x14ac:dyDescent="0.35">
      <c r="A55" s="258" t="s">
        <v>153</v>
      </c>
      <c r="B55" s="262">
        <f t="shared" si="10"/>
        <v>0</v>
      </c>
      <c r="C55" s="259">
        <f>'F06 (MAT,SERV &amp; EQUIPO)'!M23</f>
        <v>0</v>
      </c>
      <c r="D55" s="259">
        <f>'F06 (MAT,SERV &amp; EQUIPO)'!N23</f>
        <v>0</v>
      </c>
      <c r="E55" s="259">
        <f>'F06 (MAT,SERV &amp; EQUIPO)'!O23</f>
        <v>0</v>
      </c>
      <c r="F55" s="259">
        <f>'F06 (MAT,SERV &amp; EQUIPO)'!P23</f>
        <v>0</v>
      </c>
      <c r="G55" s="259">
        <f>'F06 (MAT,SERV &amp; EQUIPO)'!Q23</f>
        <v>0</v>
      </c>
      <c r="H55" s="259">
        <f>'F06 (MAT,SERV &amp; EQUIPO)'!R23</f>
        <v>0</v>
      </c>
      <c r="I55" s="259">
        <f>'F06 (MAT,SERV &amp; EQUIPO)'!S23</f>
        <v>0</v>
      </c>
      <c r="J55" s="259">
        <f>'F06 (MAT,SERV &amp; EQUIPO)'!T23</f>
        <v>0</v>
      </c>
      <c r="K55" s="259">
        <f>'F06 (MAT,SERV &amp; EQUIPO)'!U23</f>
        <v>0</v>
      </c>
      <c r="L55" s="259">
        <f>'F06 (MAT,SERV &amp; EQUIPO)'!V23</f>
        <v>0</v>
      </c>
      <c r="M55" s="259">
        <f>'F06 (MAT,SERV &amp; EQUIPO)'!W23</f>
        <v>0</v>
      </c>
      <c r="N55" s="259">
        <f>'F06 (MAT,SERV &amp; EQUIPO)'!X23</f>
        <v>0</v>
      </c>
      <c r="O55" s="259">
        <f>'F06 (MAT,SERV &amp; EQUIPO)'!Y23</f>
        <v>0</v>
      </c>
      <c r="P55" s="259">
        <f>'F06 (MAT,SERV &amp; EQUIPO)'!Z23</f>
        <v>0</v>
      </c>
      <c r="Q55" s="380">
        <f t="shared" si="9"/>
        <v>0</v>
      </c>
    </row>
    <row r="56" spans="1:17" ht="20.149999999999999" hidden="1" customHeight="1" outlineLevel="1" x14ac:dyDescent="0.35">
      <c r="A56" s="255" t="s">
        <v>154</v>
      </c>
      <c r="B56" s="262">
        <f t="shared" si="10"/>
        <v>0</v>
      </c>
      <c r="C56" s="262">
        <f>'F06 (MAT,SERV &amp; EQUIPO)'!M24</f>
        <v>0</v>
      </c>
      <c r="D56" s="262">
        <f>'F06 (MAT,SERV &amp; EQUIPO)'!N24</f>
        <v>0</v>
      </c>
      <c r="E56" s="262">
        <f>'F06 (MAT,SERV &amp; EQUIPO)'!O24</f>
        <v>0</v>
      </c>
      <c r="F56" s="262">
        <f>'F06 (MAT,SERV &amp; EQUIPO)'!P24</f>
        <v>0</v>
      </c>
      <c r="G56" s="262">
        <f>'F06 (MAT,SERV &amp; EQUIPO)'!Q24</f>
        <v>0</v>
      </c>
      <c r="H56" s="262">
        <f>'F06 (MAT,SERV &amp; EQUIPO)'!R24</f>
        <v>0</v>
      </c>
      <c r="I56" s="262">
        <f>'F06 (MAT,SERV &amp; EQUIPO)'!S24</f>
        <v>0</v>
      </c>
      <c r="J56" s="262">
        <f>'F06 (MAT,SERV &amp; EQUIPO)'!T24</f>
        <v>0</v>
      </c>
      <c r="K56" s="262">
        <f>'F06 (MAT,SERV &amp; EQUIPO)'!U24</f>
        <v>0</v>
      </c>
      <c r="L56" s="262">
        <f>'F06 (MAT,SERV &amp; EQUIPO)'!V24</f>
        <v>0</v>
      </c>
      <c r="M56" s="262">
        <f>'F06 (MAT,SERV &amp; EQUIPO)'!W24</f>
        <v>0</v>
      </c>
      <c r="N56" s="262">
        <f>'F06 (MAT,SERV &amp; EQUIPO)'!X24</f>
        <v>0</v>
      </c>
      <c r="O56" s="262">
        <f>'F06 (MAT,SERV &amp; EQUIPO)'!Y24</f>
        <v>0</v>
      </c>
      <c r="P56" s="262">
        <f>'F06 (MAT,SERV &amp; EQUIPO)'!Z24</f>
        <v>0</v>
      </c>
      <c r="Q56" s="380">
        <f t="shared" si="9"/>
        <v>0</v>
      </c>
    </row>
    <row r="57" spans="1:17" ht="20.149999999999999" hidden="1" customHeight="1" outlineLevel="1" x14ac:dyDescent="0.35">
      <c r="A57" s="258" t="s">
        <v>155</v>
      </c>
      <c r="B57" s="262">
        <f t="shared" si="10"/>
        <v>0</v>
      </c>
      <c r="C57" s="259">
        <f>'F06 (MAT,SERV &amp; EQUIPO)'!M25</f>
        <v>0</v>
      </c>
      <c r="D57" s="259">
        <f>'F06 (MAT,SERV &amp; EQUIPO)'!N25</f>
        <v>0</v>
      </c>
      <c r="E57" s="259">
        <f>'F06 (MAT,SERV &amp; EQUIPO)'!O25</f>
        <v>0</v>
      </c>
      <c r="F57" s="259">
        <f>'F06 (MAT,SERV &amp; EQUIPO)'!P25</f>
        <v>0</v>
      </c>
      <c r="G57" s="259">
        <f>'F06 (MAT,SERV &amp; EQUIPO)'!Q25</f>
        <v>0</v>
      </c>
      <c r="H57" s="259">
        <f>'F06 (MAT,SERV &amp; EQUIPO)'!R25</f>
        <v>0</v>
      </c>
      <c r="I57" s="259">
        <f>'F06 (MAT,SERV &amp; EQUIPO)'!S25</f>
        <v>0</v>
      </c>
      <c r="J57" s="259">
        <f>'F06 (MAT,SERV &amp; EQUIPO)'!T25</f>
        <v>0</v>
      </c>
      <c r="K57" s="259">
        <f>'F06 (MAT,SERV &amp; EQUIPO)'!U25</f>
        <v>0</v>
      </c>
      <c r="L57" s="259">
        <f>'F06 (MAT,SERV &amp; EQUIPO)'!V25</f>
        <v>0</v>
      </c>
      <c r="M57" s="259">
        <f>'F06 (MAT,SERV &amp; EQUIPO)'!W25</f>
        <v>0</v>
      </c>
      <c r="N57" s="259">
        <f>'F06 (MAT,SERV &amp; EQUIPO)'!X25</f>
        <v>0</v>
      </c>
      <c r="O57" s="259">
        <f>'F06 (MAT,SERV &amp; EQUIPO)'!Y25</f>
        <v>0</v>
      </c>
      <c r="P57" s="259">
        <f>'F06 (MAT,SERV &amp; EQUIPO)'!Z25</f>
        <v>0</v>
      </c>
      <c r="Q57" s="380">
        <f t="shared" si="9"/>
        <v>0</v>
      </c>
    </row>
    <row r="58" spans="1:17" ht="20.149999999999999" hidden="1" customHeight="1" outlineLevel="1" x14ac:dyDescent="0.35">
      <c r="A58" s="255" t="s">
        <v>156</v>
      </c>
      <c r="B58" s="262">
        <f t="shared" si="10"/>
        <v>0</v>
      </c>
      <c r="C58" s="262">
        <f>'F06 (MAT,SERV &amp; EQUIPO)'!M26</f>
        <v>0</v>
      </c>
      <c r="D58" s="262">
        <f>'F06 (MAT,SERV &amp; EQUIPO)'!N26</f>
        <v>0</v>
      </c>
      <c r="E58" s="262">
        <f>'F06 (MAT,SERV &amp; EQUIPO)'!O26</f>
        <v>0</v>
      </c>
      <c r="F58" s="262">
        <f>'F06 (MAT,SERV &amp; EQUIPO)'!P26</f>
        <v>0</v>
      </c>
      <c r="G58" s="262">
        <f>'F06 (MAT,SERV &amp; EQUIPO)'!Q26</f>
        <v>0</v>
      </c>
      <c r="H58" s="262">
        <f>'F06 (MAT,SERV &amp; EQUIPO)'!R26</f>
        <v>0</v>
      </c>
      <c r="I58" s="262">
        <f>'F06 (MAT,SERV &amp; EQUIPO)'!S26</f>
        <v>0</v>
      </c>
      <c r="J58" s="262">
        <f>'F06 (MAT,SERV &amp; EQUIPO)'!T26</f>
        <v>0</v>
      </c>
      <c r="K58" s="262">
        <f>'F06 (MAT,SERV &amp; EQUIPO)'!U26</f>
        <v>0</v>
      </c>
      <c r="L58" s="262">
        <f>'F06 (MAT,SERV &amp; EQUIPO)'!V26</f>
        <v>0</v>
      </c>
      <c r="M58" s="262">
        <f>'F06 (MAT,SERV &amp; EQUIPO)'!W26</f>
        <v>0</v>
      </c>
      <c r="N58" s="262">
        <f>'F06 (MAT,SERV &amp; EQUIPO)'!X26</f>
        <v>0</v>
      </c>
      <c r="O58" s="262">
        <f>'F06 (MAT,SERV &amp; EQUIPO)'!Y26</f>
        <v>0</v>
      </c>
      <c r="P58" s="262">
        <f>'F06 (MAT,SERV &amp; EQUIPO)'!Z26</f>
        <v>0</v>
      </c>
      <c r="Q58" s="380">
        <f t="shared" si="9"/>
        <v>0</v>
      </c>
    </row>
    <row r="59" spans="1:17" ht="20.149999999999999" hidden="1" customHeight="1" outlineLevel="1" x14ac:dyDescent="0.35">
      <c r="A59" s="258" t="s">
        <v>157</v>
      </c>
      <c r="B59" s="262">
        <f t="shared" si="10"/>
        <v>0</v>
      </c>
      <c r="C59" s="259">
        <f>'F06 (MAT,SERV &amp; EQUIPO)'!M27</f>
        <v>0</v>
      </c>
      <c r="D59" s="259">
        <f>'F06 (MAT,SERV &amp; EQUIPO)'!N27</f>
        <v>0</v>
      </c>
      <c r="E59" s="259">
        <f>'F06 (MAT,SERV &amp; EQUIPO)'!O27</f>
        <v>0</v>
      </c>
      <c r="F59" s="259">
        <f>'F06 (MAT,SERV &amp; EQUIPO)'!P27</f>
        <v>0</v>
      </c>
      <c r="G59" s="259">
        <f>'F06 (MAT,SERV &amp; EQUIPO)'!Q27</f>
        <v>0</v>
      </c>
      <c r="H59" s="259">
        <f>'F06 (MAT,SERV &amp; EQUIPO)'!R27</f>
        <v>0</v>
      </c>
      <c r="I59" s="259">
        <f>'F06 (MAT,SERV &amp; EQUIPO)'!S27</f>
        <v>0</v>
      </c>
      <c r="J59" s="259">
        <f>'F06 (MAT,SERV &amp; EQUIPO)'!T27</f>
        <v>0</v>
      </c>
      <c r="K59" s="259">
        <f>'F06 (MAT,SERV &amp; EQUIPO)'!U27</f>
        <v>0</v>
      </c>
      <c r="L59" s="259">
        <f>'F06 (MAT,SERV &amp; EQUIPO)'!V27</f>
        <v>0</v>
      </c>
      <c r="M59" s="259">
        <f>'F06 (MAT,SERV &amp; EQUIPO)'!W27</f>
        <v>0</v>
      </c>
      <c r="N59" s="259">
        <f>'F06 (MAT,SERV &amp; EQUIPO)'!X27</f>
        <v>0</v>
      </c>
      <c r="O59" s="259">
        <f>'F06 (MAT,SERV &amp; EQUIPO)'!Y27</f>
        <v>0</v>
      </c>
      <c r="P59" s="259">
        <f>'F06 (MAT,SERV &amp; EQUIPO)'!Z27</f>
        <v>0</v>
      </c>
      <c r="Q59" s="380">
        <f t="shared" si="9"/>
        <v>0</v>
      </c>
    </row>
    <row r="60" spans="1:17" ht="20.149999999999999" hidden="1" customHeight="1" outlineLevel="1" x14ac:dyDescent="0.35">
      <c r="A60" s="255" t="s">
        <v>158</v>
      </c>
      <c r="B60" s="262">
        <f t="shared" si="10"/>
        <v>0</v>
      </c>
      <c r="C60" s="262">
        <f>'F06 (MAT,SERV &amp; EQUIPO)'!M28</f>
        <v>0</v>
      </c>
      <c r="D60" s="262">
        <f>'F06 (MAT,SERV &amp; EQUIPO)'!N28</f>
        <v>0</v>
      </c>
      <c r="E60" s="262">
        <f>'F06 (MAT,SERV &amp; EQUIPO)'!O28</f>
        <v>0</v>
      </c>
      <c r="F60" s="262">
        <f>'F06 (MAT,SERV &amp; EQUIPO)'!P28</f>
        <v>0</v>
      </c>
      <c r="G60" s="262">
        <f>'F06 (MAT,SERV &amp; EQUIPO)'!Q28</f>
        <v>0</v>
      </c>
      <c r="H60" s="262">
        <f>'F06 (MAT,SERV &amp; EQUIPO)'!R28</f>
        <v>0</v>
      </c>
      <c r="I60" s="262">
        <f>'F06 (MAT,SERV &amp; EQUIPO)'!S28</f>
        <v>0</v>
      </c>
      <c r="J60" s="262">
        <f>'F06 (MAT,SERV &amp; EQUIPO)'!T28</f>
        <v>0</v>
      </c>
      <c r="K60" s="262">
        <f>'F06 (MAT,SERV &amp; EQUIPO)'!U28</f>
        <v>0</v>
      </c>
      <c r="L60" s="262">
        <f>'F06 (MAT,SERV &amp; EQUIPO)'!V28</f>
        <v>0</v>
      </c>
      <c r="M60" s="262">
        <f>'F06 (MAT,SERV &amp; EQUIPO)'!W28</f>
        <v>0</v>
      </c>
      <c r="N60" s="262">
        <f>'F06 (MAT,SERV &amp; EQUIPO)'!X28</f>
        <v>0</v>
      </c>
      <c r="O60" s="262">
        <f>'F06 (MAT,SERV &amp; EQUIPO)'!Y28</f>
        <v>0</v>
      </c>
      <c r="P60" s="262">
        <f>'F06 (MAT,SERV &amp; EQUIPO)'!Z28</f>
        <v>0</v>
      </c>
      <c r="Q60" s="380">
        <f t="shared" si="9"/>
        <v>0</v>
      </c>
    </row>
    <row r="61" spans="1:17" ht="20.149999999999999" hidden="1" customHeight="1" outlineLevel="1" x14ac:dyDescent="0.35">
      <c r="A61" s="258" t="s">
        <v>159</v>
      </c>
      <c r="B61" s="262">
        <f t="shared" si="10"/>
        <v>0</v>
      </c>
      <c r="C61" s="259">
        <f>'F06 (MAT,SERV &amp; EQUIPO)'!M29</f>
        <v>0</v>
      </c>
      <c r="D61" s="259">
        <f>'F06 (MAT,SERV &amp; EQUIPO)'!N29</f>
        <v>0</v>
      </c>
      <c r="E61" s="259">
        <f>'F06 (MAT,SERV &amp; EQUIPO)'!O29</f>
        <v>0</v>
      </c>
      <c r="F61" s="259">
        <f>'F06 (MAT,SERV &amp; EQUIPO)'!P29</f>
        <v>0</v>
      </c>
      <c r="G61" s="259">
        <f>'F06 (MAT,SERV &amp; EQUIPO)'!Q29</f>
        <v>0</v>
      </c>
      <c r="H61" s="259">
        <f>'F06 (MAT,SERV &amp; EQUIPO)'!R29</f>
        <v>0</v>
      </c>
      <c r="I61" s="259">
        <f>'F06 (MAT,SERV &amp; EQUIPO)'!S29</f>
        <v>0</v>
      </c>
      <c r="J61" s="259">
        <f>'F06 (MAT,SERV &amp; EQUIPO)'!T29</f>
        <v>0</v>
      </c>
      <c r="K61" s="259">
        <f>'F06 (MAT,SERV &amp; EQUIPO)'!U29</f>
        <v>0</v>
      </c>
      <c r="L61" s="259">
        <f>'F06 (MAT,SERV &amp; EQUIPO)'!V29</f>
        <v>0</v>
      </c>
      <c r="M61" s="259">
        <f>'F06 (MAT,SERV &amp; EQUIPO)'!W29</f>
        <v>0</v>
      </c>
      <c r="N61" s="259">
        <f>'F06 (MAT,SERV &amp; EQUIPO)'!X29</f>
        <v>0</v>
      </c>
      <c r="O61" s="259">
        <f>'F06 (MAT,SERV &amp; EQUIPO)'!Y29</f>
        <v>0</v>
      </c>
      <c r="P61" s="259">
        <f>'F06 (MAT,SERV &amp; EQUIPO)'!Z29</f>
        <v>0</v>
      </c>
      <c r="Q61" s="380">
        <f t="shared" si="9"/>
        <v>0</v>
      </c>
    </row>
    <row r="62" spans="1:17" ht="20.149999999999999" hidden="1" customHeight="1" outlineLevel="1" x14ac:dyDescent="0.35">
      <c r="A62" s="255" t="s">
        <v>160</v>
      </c>
      <c r="B62" s="262">
        <f t="shared" si="10"/>
        <v>0</v>
      </c>
      <c r="C62" s="262">
        <f>'F06 (MAT,SERV &amp; EQUIPO)'!M30</f>
        <v>0</v>
      </c>
      <c r="D62" s="262">
        <f>'F06 (MAT,SERV &amp; EQUIPO)'!N30</f>
        <v>0</v>
      </c>
      <c r="E62" s="262">
        <f>'F06 (MAT,SERV &amp; EQUIPO)'!O30</f>
        <v>0</v>
      </c>
      <c r="F62" s="262">
        <f>'F06 (MAT,SERV &amp; EQUIPO)'!P30</f>
        <v>0</v>
      </c>
      <c r="G62" s="262">
        <f>'F06 (MAT,SERV &amp; EQUIPO)'!Q30</f>
        <v>0</v>
      </c>
      <c r="H62" s="262">
        <f>'F06 (MAT,SERV &amp; EQUIPO)'!R30</f>
        <v>0</v>
      </c>
      <c r="I62" s="262">
        <f>'F06 (MAT,SERV &amp; EQUIPO)'!S30</f>
        <v>0</v>
      </c>
      <c r="J62" s="262">
        <f>'F06 (MAT,SERV &amp; EQUIPO)'!T30</f>
        <v>0</v>
      </c>
      <c r="K62" s="262">
        <f>'F06 (MAT,SERV &amp; EQUIPO)'!U30</f>
        <v>0</v>
      </c>
      <c r="L62" s="262">
        <f>'F06 (MAT,SERV &amp; EQUIPO)'!V30</f>
        <v>0</v>
      </c>
      <c r="M62" s="262">
        <f>'F06 (MAT,SERV &amp; EQUIPO)'!W30</f>
        <v>0</v>
      </c>
      <c r="N62" s="262">
        <f>'F06 (MAT,SERV &amp; EQUIPO)'!X30</f>
        <v>0</v>
      </c>
      <c r="O62" s="262">
        <f>'F06 (MAT,SERV &amp; EQUIPO)'!Y30</f>
        <v>0</v>
      </c>
      <c r="P62" s="262">
        <f>'F06 (MAT,SERV &amp; EQUIPO)'!Z30</f>
        <v>0</v>
      </c>
      <c r="Q62" s="380">
        <f t="shared" si="9"/>
        <v>0</v>
      </c>
    </row>
    <row r="63" spans="1:17" ht="20.149999999999999" hidden="1" customHeight="1" outlineLevel="1" x14ac:dyDescent="0.35">
      <c r="A63" s="258" t="s">
        <v>161</v>
      </c>
      <c r="B63" s="262">
        <f t="shared" si="10"/>
        <v>0</v>
      </c>
      <c r="C63" s="259">
        <f>'F06 (MAT,SERV &amp; EQUIPO)'!M31</f>
        <v>0</v>
      </c>
      <c r="D63" s="259">
        <f>'F06 (MAT,SERV &amp; EQUIPO)'!N31</f>
        <v>0</v>
      </c>
      <c r="E63" s="259">
        <f>'F06 (MAT,SERV &amp; EQUIPO)'!O31</f>
        <v>0</v>
      </c>
      <c r="F63" s="259">
        <f>'F06 (MAT,SERV &amp; EQUIPO)'!P31</f>
        <v>0</v>
      </c>
      <c r="G63" s="259">
        <f>'F06 (MAT,SERV &amp; EQUIPO)'!Q31</f>
        <v>0</v>
      </c>
      <c r="H63" s="259">
        <f>'F06 (MAT,SERV &amp; EQUIPO)'!R31</f>
        <v>0</v>
      </c>
      <c r="I63" s="259">
        <f>'F06 (MAT,SERV &amp; EQUIPO)'!S31</f>
        <v>0</v>
      </c>
      <c r="J63" s="259">
        <f>'F06 (MAT,SERV &amp; EQUIPO)'!T31</f>
        <v>0</v>
      </c>
      <c r="K63" s="259">
        <f>'F06 (MAT,SERV &amp; EQUIPO)'!U31</f>
        <v>0</v>
      </c>
      <c r="L63" s="259">
        <f>'F06 (MAT,SERV &amp; EQUIPO)'!V31</f>
        <v>0</v>
      </c>
      <c r="M63" s="259">
        <f>'F06 (MAT,SERV &amp; EQUIPO)'!W31</f>
        <v>0</v>
      </c>
      <c r="N63" s="259">
        <f>'F06 (MAT,SERV &amp; EQUIPO)'!X31</f>
        <v>0</v>
      </c>
      <c r="O63" s="259">
        <f>'F06 (MAT,SERV &amp; EQUIPO)'!Y31</f>
        <v>0</v>
      </c>
      <c r="P63" s="259">
        <f>'F06 (MAT,SERV &amp; EQUIPO)'!Z31</f>
        <v>0</v>
      </c>
      <c r="Q63" s="380">
        <f t="shared" si="9"/>
        <v>0</v>
      </c>
    </row>
    <row r="64" spans="1:17" ht="20.149999999999999" hidden="1" customHeight="1" outlineLevel="1" x14ac:dyDescent="0.35">
      <c r="A64" s="255" t="s">
        <v>162</v>
      </c>
      <c r="B64" s="262">
        <f t="shared" si="10"/>
        <v>0</v>
      </c>
      <c r="C64" s="262">
        <f>'F06 (MAT,SERV &amp; EQUIPO)'!M32</f>
        <v>0</v>
      </c>
      <c r="D64" s="262">
        <f>'F06 (MAT,SERV &amp; EQUIPO)'!N32</f>
        <v>0</v>
      </c>
      <c r="E64" s="262">
        <f>'F06 (MAT,SERV &amp; EQUIPO)'!O32</f>
        <v>0</v>
      </c>
      <c r="F64" s="262">
        <f>'F06 (MAT,SERV &amp; EQUIPO)'!P32</f>
        <v>0</v>
      </c>
      <c r="G64" s="262">
        <f>'F06 (MAT,SERV &amp; EQUIPO)'!Q32</f>
        <v>0</v>
      </c>
      <c r="H64" s="262">
        <f>'F06 (MAT,SERV &amp; EQUIPO)'!R32</f>
        <v>0</v>
      </c>
      <c r="I64" s="262">
        <f>'F06 (MAT,SERV &amp; EQUIPO)'!S32</f>
        <v>0</v>
      </c>
      <c r="J64" s="262">
        <f>'F06 (MAT,SERV &amp; EQUIPO)'!T32</f>
        <v>0</v>
      </c>
      <c r="K64" s="262">
        <f>'F06 (MAT,SERV &amp; EQUIPO)'!U32</f>
        <v>0</v>
      </c>
      <c r="L64" s="262">
        <f>'F06 (MAT,SERV &amp; EQUIPO)'!V32</f>
        <v>0</v>
      </c>
      <c r="M64" s="262">
        <f>'F06 (MAT,SERV &amp; EQUIPO)'!W32</f>
        <v>0</v>
      </c>
      <c r="N64" s="262">
        <f>'F06 (MAT,SERV &amp; EQUIPO)'!X32</f>
        <v>0</v>
      </c>
      <c r="O64" s="262">
        <f>'F06 (MAT,SERV &amp; EQUIPO)'!Y32</f>
        <v>0</v>
      </c>
      <c r="P64" s="262">
        <f>'F06 (MAT,SERV &amp; EQUIPO)'!Z32</f>
        <v>0</v>
      </c>
      <c r="Q64" s="380">
        <f t="shared" si="9"/>
        <v>0</v>
      </c>
    </row>
    <row r="65" spans="1:20" ht="20.149999999999999" hidden="1" customHeight="1" outlineLevel="1" x14ac:dyDescent="0.35">
      <c r="A65" s="258" t="s">
        <v>163</v>
      </c>
      <c r="B65" s="262">
        <f t="shared" si="10"/>
        <v>0</v>
      </c>
      <c r="C65" s="259">
        <f>'F06 (MAT,SERV &amp; EQUIPO)'!M33</f>
        <v>0</v>
      </c>
      <c r="D65" s="259">
        <f>'F06 (MAT,SERV &amp; EQUIPO)'!N33</f>
        <v>0</v>
      </c>
      <c r="E65" s="259">
        <f>'F06 (MAT,SERV &amp; EQUIPO)'!O33</f>
        <v>0</v>
      </c>
      <c r="F65" s="259">
        <f>'F06 (MAT,SERV &amp; EQUIPO)'!P33</f>
        <v>0</v>
      </c>
      <c r="G65" s="259">
        <f>'F06 (MAT,SERV &amp; EQUIPO)'!Q33</f>
        <v>0</v>
      </c>
      <c r="H65" s="259">
        <f>'F06 (MAT,SERV &amp; EQUIPO)'!R33</f>
        <v>0</v>
      </c>
      <c r="I65" s="259">
        <f>'F06 (MAT,SERV &amp; EQUIPO)'!S33</f>
        <v>0</v>
      </c>
      <c r="J65" s="259">
        <f>'F06 (MAT,SERV &amp; EQUIPO)'!T33</f>
        <v>0</v>
      </c>
      <c r="K65" s="259">
        <f>'F06 (MAT,SERV &amp; EQUIPO)'!U33</f>
        <v>0</v>
      </c>
      <c r="L65" s="259">
        <f>'F06 (MAT,SERV &amp; EQUIPO)'!V33</f>
        <v>0</v>
      </c>
      <c r="M65" s="259">
        <f>'F06 (MAT,SERV &amp; EQUIPO)'!W33</f>
        <v>0</v>
      </c>
      <c r="N65" s="259">
        <f>'F06 (MAT,SERV &amp; EQUIPO)'!X33</f>
        <v>0</v>
      </c>
      <c r="O65" s="259">
        <f>'F06 (MAT,SERV &amp; EQUIPO)'!Y33</f>
        <v>0</v>
      </c>
      <c r="P65" s="259">
        <f>'F06 (MAT,SERV &amp; EQUIPO)'!Z33</f>
        <v>0</v>
      </c>
      <c r="Q65" s="380">
        <f t="shared" si="9"/>
        <v>0</v>
      </c>
    </row>
    <row r="66" spans="1:20" ht="20.149999999999999" hidden="1" customHeight="1" outlineLevel="1" x14ac:dyDescent="0.35">
      <c r="A66" s="255" t="s">
        <v>164</v>
      </c>
      <c r="B66" s="262">
        <f t="shared" si="10"/>
        <v>0</v>
      </c>
      <c r="C66" s="262">
        <f>'F06 (MAT,SERV &amp; EQUIPO)'!M34</f>
        <v>0</v>
      </c>
      <c r="D66" s="262">
        <f>'F06 (MAT,SERV &amp; EQUIPO)'!N34</f>
        <v>0</v>
      </c>
      <c r="E66" s="262">
        <f>'F06 (MAT,SERV &amp; EQUIPO)'!O34</f>
        <v>0</v>
      </c>
      <c r="F66" s="262">
        <f>'F06 (MAT,SERV &amp; EQUIPO)'!P34</f>
        <v>0</v>
      </c>
      <c r="G66" s="262">
        <f>'F06 (MAT,SERV &amp; EQUIPO)'!Q34</f>
        <v>0</v>
      </c>
      <c r="H66" s="262">
        <f>'F06 (MAT,SERV &amp; EQUIPO)'!R34</f>
        <v>0</v>
      </c>
      <c r="I66" s="262">
        <f>'F06 (MAT,SERV &amp; EQUIPO)'!S34</f>
        <v>0</v>
      </c>
      <c r="J66" s="262">
        <f>'F06 (MAT,SERV &amp; EQUIPO)'!T34</f>
        <v>0</v>
      </c>
      <c r="K66" s="262">
        <f>'F06 (MAT,SERV &amp; EQUIPO)'!U34</f>
        <v>0</v>
      </c>
      <c r="L66" s="262">
        <f>'F06 (MAT,SERV &amp; EQUIPO)'!V34</f>
        <v>0</v>
      </c>
      <c r="M66" s="262">
        <f>'F06 (MAT,SERV &amp; EQUIPO)'!W34</f>
        <v>0</v>
      </c>
      <c r="N66" s="262">
        <f>'F06 (MAT,SERV &amp; EQUIPO)'!X34</f>
        <v>0</v>
      </c>
      <c r="O66" s="262">
        <f>'F06 (MAT,SERV &amp; EQUIPO)'!Y34</f>
        <v>0</v>
      </c>
      <c r="P66" s="262">
        <f>'F06 (MAT,SERV &amp; EQUIPO)'!Z34</f>
        <v>0</v>
      </c>
      <c r="Q66" s="380">
        <f t="shared" si="9"/>
        <v>0</v>
      </c>
    </row>
    <row r="67" spans="1:20" ht="20.149999999999999" hidden="1" customHeight="1" outlineLevel="1" x14ac:dyDescent="0.35">
      <c r="A67" s="258" t="s">
        <v>165</v>
      </c>
      <c r="B67" s="262">
        <f t="shared" si="10"/>
        <v>0</v>
      </c>
      <c r="C67" s="259">
        <f>'F06 (MAT,SERV &amp; EQUIPO)'!M35</f>
        <v>0</v>
      </c>
      <c r="D67" s="259">
        <f>'F06 (MAT,SERV &amp; EQUIPO)'!N35</f>
        <v>0</v>
      </c>
      <c r="E67" s="259">
        <f>'F06 (MAT,SERV &amp; EQUIPO)'!O35</f>
        <v>0</v>
      </c>
      <c r="F67" s="259">
        <f>'F06 (MAT,SERV &amp; EQUIPO)'!P35</f>
        <v>0</v>
      </c>
      <c r="G67" s="259">
        <f>'F06 (MAT,SERV &amp; EQUIPO)'!Q35</f>
        <v>0</v>
      </c>
      <c r="H67" s="259">
        <f>'F06 (MAT,SERV &amp; EQUIPO)'!R35</f>
        <v>0</v>
      </c>
      <c r="I67" s="259">
        <f>'F06 (MAT,SERV &amp; EQUIPO)'!S35</f>
        <v>0</v>
      </c>
      <c r="J67" s="259">
        <f>'F06 (MAT,SERV &amp; EQUIPO)'!T35</f>
        <v>0</v>
      </c>
      <c r="K67" s="259">
        <f>'F06 (MAT,SERV &amp; EQUIPO)'!U35</f>
        <v>0</v>
      </c>
      <c r="L67" s="259">
        <f>'F06 (MAT,SERV &amp; EQUIPO)'!V35</f>
        <v>0</v>
      </c>
      <c r="M67" s="259">
        <f>'F06 (MAT,SERV &amp; EQUIPO)'!W35</f>
        <v>0</v>
      </c>
      <c r="N67" s="259">
        <f>'F06 (MAT,SERV &amp; EQUIPO)'!X35</f>
        <v>0</v>
      </c>
      <c r="O67" s="259">
        <f>'F06 (MAT,SERV &amp; EQUIPO)'!Y35</f>
        <v>0</v>
      </c>
      <c r="P67" s="259">
        <f>'F06 (MAT,SERV &amp; EQUIPO)'!Z35</f>
        <v>0</v>
      </c>
      <c r="Q67" s="380">
        <f t="shared" si="9"/>
        <v>0</v>
      </c>
    </row>
    <row r="68" spans="1:20" ht="20.149999999999999" hidden="1" customHeight="1" outlineLevel="1" x14ac:dyDescent="0.35">
      <c r="A68" s="255" t="s">
        <v>166</v>
      </c>
      <c r="B68" s="262">
        <f t="shared" si="10"/>
        <v>0</v>
      </c>
      <c r="C68" s="262">
        <f>'F06 (MAT,SERV &amp; EQUIPO)'!M36</f>
        <v>0</v>
      </c>
      <c r="D68" s="262">
        <f>'F06 (MAT,SERV &amp; EQUIPO)'!N36</f>
        <v>0</v>
      </c>
      <c r="E68" s="262">
        <f>'F06 (MAT,SERV &amp; EQUIPO)'!O36</f>
        <v>0</v>
      </c>
      <c r="F68" s="262">
        <f>'F06 (MAT,SERV &amp; EQUIPO)'!P36</f>
        <v>0</v>
      </c>
      <c r="G68" s="262">
        <f>'F06 (MAT,SERV &amp; EQUIPO)'!Q36</f>
        <v>0</v>
      </c>
      <c r="H68" s="262">
        <f>'F06 (MAT,SERV &amp; EQUIPO)'!R36</f>
        <v>0</v>
      </c>
      <c r="I68" s="262">
        <f>'F06 (MAT,SERV &amp; EQUIPO)'!S36</f>
        <v>0</v>
      </c>
      <c r="J68" s="262">
        <f>'F06 (MAT,SERV &amp; EQUIPO)'!T36</f>
        <v>0</v>
      </c>
      <c r="K68" s="262">
        <f>'F06 (MAT,SERV &amp; EQUIPO)'!U36</f>
        <v>0</v>
      </c>
      <c r="L68" s="262">
        <f>'F06 (MAT,SERV &amp; EQUIPO)'!V36</f>
        <v>0</v>
      </c>
      <c r="M68" s="262">
        <f>'F06 (MAT,SERV &amp; EQUIPO)'!W36</f>
        <v>0</v>
      </c>
      <c r="N68" s="262">
        <f>'F06 (MAT,SERV &amp; EQUIPO)'!X36</f>
        <v>0</v>
      </c>
      <c r="O68" s="262">
        <f>'F06 (MAT,SERV &amp; EQUIPO)'!Y36</f>
        <v>0</v>
      </c>
      <c r="P68" s="262">
        <f>'F06 (MAT,SERV &amp; EQUIPO)'!Z36</f>
        <v>0</v>
      </c>
      <c r="Q68" s="380">
        <f t="shared" si="9"/>
        <v>0</v>
      </c>
    </row>
    <row r="69" spans="1:20" ht="20.149999999999999" hidden="1" customHeight="1" outlineLevel="1" x14ac:dyDescent="0.35">
      <c r="A69" s="258" t="s">
        <v>167</v>
      </c>
      <c r="B69" s="262">
        <f t="shared" si="10"/>
        <v>0</v>
      </c>
      <c r="C69" s="259">
        <f>'F06 (MAT,SERV &amp; EQUIPO)'!M37</f>
        <v>0</v>
      </c>
      <c r="D69" s="259">
        <f>'F06 (MAT,SERV &amp; EQUIPO)'!N37</f>
        <v>0</v>
      </c>
      <c r="E69" s="259">
        <f>'F06 (MAT,SERV &amp; EQUIPO)'!O37</f>
        <v>0</v>
      </c>
      <c r="F69" s="259">
        <f>'F06 (MAT,SERV &amp; EQUIPO)'!P37</f>
        <v>0</v>
      </c>
      <c r="G69" s="259">
        <f>'F06 (MAT,SERV &amp; EQUIPO)'!Q37</f>
        <v>0</v>
      </c>
      <c r="H69" s="259">
        <f>'F06 (MAT,SERV &amp; EQUIPO)'!R37</f>
        <v>0</v>
      </c>
      <c r="I69" s="259">
        <f>'F06 (MAT,SERV &amp; EQUIPO)'!S37</f>
        <v>0</v>
      </c>
      <c r="J69" s="259">
        <f>'F06 (MAT,SERV &amp; EQUIPO)'!T37</f>
        <v>0</v>
      </c>
      <c r="K69" s="259">
        <f>'F06 (MAT,SERV &amp; EQUIPO)'!U37</f>
        <v>0</v>
      </c>
      <c r="L69" s="259">
        <f>'F06 (MAT,SERV &amp; EQUIPO)'!V37</f>
        <v>0</v>
      </c>
      <c r="M69" s="259">
        <f>'F06 (MAT,SERV &amp; EQUIPO)'!W37</f>
        <v>0</v>
      </c>
      <c r="N69" s="259">
        <f>'F06 (MAT,SERV &amp; EQUIPO)'!X37</f>
        <v>0</v>
      </c>
      <c r="O69" s="259">
        <f>'F06 (MAT,SERV &amp; EQUIPO)'!Y37</f>
        <v>0</v>
      </c>
      <c r="P69" s="259">
        <f>'F06 (MAT,SERV &amp; EQUIPO)'!Z37</f>
        <v>0</v>
      </c>
      <c r="Q69" s="380">
        <f t="shared" si="9"/>
        <v>0</v>
      </c>
    </row>
    <row r="70" spans="1:20" ht="20.149999999999999" hidden="1" customHeight="1" outlineLevel="1" x14ac:dyDescent="0.35">
      <c r="A70" s="255" t="s">
        <v>168</v>
      </c>
      <c r="B70" s="262">
        <f t="shared" si="10"/>
        <v>0</v>
      </c>
      <c r="C70" s="262">
        <f>'F06 (MAT,SERV &amp; EQUIPO)'!M38</f>
        <v>0</v>
      </c>
      <c r="D70" s="262">
        <f>'F06 (MAT,SERV &amp; EQUIPO)'!N38</f>
        <v>0</v>
      </c>
      <c r="E70" s="262">
        <f>'F06 (MAT,SERV &amp; EQUIPO)'!O38</f>
        <v>0</v>
      </c>
      <c r="F70" s="262">
        <f>'F06 (MAT,SERV &amp; EQUIPO)'!P38</f>
        <v>0</v>
      </c>
      <c r="G70" s="262">
        <f>'F06 (MAT,SERV &amp; EQUIPO)'!Q38</f>
        <v>0</v>
      </c>
      <c r="H70" s="262">
        <f>'F06 (MAT,SERV &amp; EQUIPO)'!R38</f>
        <v>0</v>
      </c>
      <c r="I70" s="262">
        <f>'F06 (MAT,SERV &amp; EQUIPO)'!S38</f>
        <v>0</v>
      </c>
      <c r="J70" s="262">
        <f>'F06 (MAT,SERV &amp; EQUIPO)'!T38</f>
        <v>0</v>
      </c>
      <c r="K70" s="262">
        <f>'F06 (MAT,SERV &amp; EQUIPO)'!U38</f>
        <v>0</v>
      </c>
      <c r="L70" s="262">
        <f>'F06 (MAT,SERV &amp; EQUIPO)'!V38</f>
        <v>0</v>
      </c>
      <c r="M70" s="262">
        <f>'F06 (MAT,SERV &amp; EQUIPO)'!W38</f>
        <v>0</v>
      </c>
      <c r="N70" s="262">
        <f>'F06 (MAT,SERV &amp; EQUIPO)'!X38</f>
        <v>0</v>
      </c>
      <c r="O70" s="262">
        <f>'F06 (MAT,SERV &amp; EQUIPO)'!Y38</f>
        <v>0</v>
      </c>
      <c r="P70" s="262">
        <f>'F06 (MAT,SERV &amp; EQUIPO)'!Z38</f>
        <v>0</v>
      </c>
      <c r="Q70" s="380">
        <f t="shared" si="9"/>
        <v>0</v>
      </c>
    </row>
    <row r="71" spans="1:20" ht="20.149999999999999" hidden="1" customHeight="1" outlineLevel="1" x14ac:dyDescent="0.35">
      <c r="A71" s="258" t="s">
        <v>169</v>
      </c>
      <c r="B71" s="262">
        <f t="shared" si="10"/>
        <v>0</v>
      </c>
      <c r="C71" s="259">
        <f>'F06 (MAT,SERV &amp; EQUIPO)'!M39</f>
        <v>0</v>
      </c>
      <c r="D71" s="259">
        <f>'F06 (MAT,SERV &amp; EQUIPO)'!N39</f>
        <v>0</v>
      </c>
      <c r="E71" s="259">
        <f>'F06 (MAT,SERV &amp; EQUIPO)'!O39</f>
        <v>0</v>
      </c>
      <c r="F71" s="259">
        <f>'F06 (MAT,SERV &amp; EQUIPO)'!P39</f>
        <v>0</v>
      </c>
      <c r="G71" s="259">
        <f>'F06 (MAT,SERV &amp; EQUIPO)'!Q39</f>
        <v>0</v>
      </c>
      <c r="H71" s="259">
        <f>'F06 (MAT,SERV &amp; EQUIPO)'!R39</f>
        <v>0</v>
      </c>
      <c r="I71" s="259">
        <f>'F06 (MAT,SERV &amp; EQUIPO)'!S39</f>
        <v>0</v>
      </c>
      <c r="J71" s="259">
        <f>'F06 (MAT,SERV &amp; EQUIPO)'!T39</f>
        <v>0</v>
      </c>
      <c r="K71" s="259">
        <f>'F06 (MAT,SERV &amp; EQUIPO)'!U39</f>
        <v>0</v>
      </c>
      <c r="L71" s="259">
        <f>'F06 (MAT,SERV &amp; EQUIPO)'!V39</f>
        <v>0</v>
      </c>
      <c r="M71" s="259">
        <f>'F06 (MAT,SERV &amp; EQUIPO)'!W39</f>
        <v>0</v>
      </c>
      <c r="N71" s="259">
        <f>'F06 (MAT,SERV &amp; EQUIPO)'!X39</f>
        <v>0</v>
      </c>
      <c r="O71" s="259">
        <f>'F06 (MAT,SERV &amp; EQUIPO)'!Y39</f>
        <v>0</v>
      </c>
      <c r="P71" s="259">
        <f>'F06 (MAT,SERV &amp; EQUIPO)'!Z39</f>
        <v>0</v>
      </c>
      <c r="Q71" s="380">
        <f t="shared" si="9"/>
        <v>0</v>
      </c>
    </row>
    <row r="72" spans="1:20" ht="20.149999999999999" hidden="1" customHeight="1" outlineLevel="1" x14ac:dyDescent="0.35">
      <c r="A72" s="255" t="s">
        <v>170</v>
      </c>
      <c r="B72" s="262">
        <f t="shared" si="10"/>
        <v>0</v>
      </c>
      <c r="C72" s="262">
        <f>'F06 (MAT,SERV &amp; EQUIPO)'!M40</f>
        <v>0</v>
      </c>
      <c r="D72" s="262">
        <f>'F06 (MAT,SERV &amp; EQUIPO)'!N40</f>
        <v>0</v>
      </c>
      <c r="E72" s="262">
        <f>'F06 (MAT,SERV &amp; EQUIPO)'!O40</f>
        <v>0</v>
      </c>
      <c r="F72" s="262">
        <f>'F06 (MAT,SERV &amp; EQUIPO)'!P40</f>
        <v>0</v>
      </c>
      <c r="G72" s="262">
        <f>'F06 (MAT,SERV &amp; EQUIPO)'!Q40</f>
        <v>0</v>
      </c>
      <c r="H72" s="262">
        <f>'F06 (MAT,SERV &amp; EQUIPO)'!R40</f>
        <v>0</v>
      </c>
      <c r="I72" s="262">
        <f>'F06 (MAT,SERV &amp; EQUIPO)'!S40</f>
        <v>0</v>
      </c>
      <c r="J72" s="262">
        <f>'F06 (MAT,SERV &amp; EQUIPO)'!T40</f>
        <v>0</v>
      </c>
      <c r="K72" s="262">
        <f>'F06 (MAT,SERV &amp; EQUIPO)'!U40</f>
        <v>0</v>
      </c>
      <c r="L72" s="262">
        <f>'F06 (MAT,SERV &amp; EQUIPO)'!V40</f>
        <v>0</v>
      </c>
      <c r="M72" s="262">
        <f>'F06 (MAT,SERV &amp; EQUIPO)'!W40</f>
        <v>0</v>
      </c>
      <c r="N72" s="262">
        <f>'F06 (MAT,SERV &amp; EQUIPO)'!X40</f>
        <v>0</v>
      </c>
      <c r="O72" s="262">
        <f>'F06 (MAT,SERV &amp; EQUIPO)'!Y40</f>
        <v>0</v>
      </c>
      <c r="P72" s="262">
        <f>'F06 (MAT,SERV &amp; EQUIPO)'!Z40</f>
        <v>0</v>
      </c>
      <c r="Q72" s="380">
        <f t="shared" ref="Q72:Q103" si="11">B72/$B$162</f>
        <v>0</v>
      </c>
    </row>
    <row r="73" spans="1:20" ht="20.149999999999999" hidden="1" customHeight="1" outlineLevel="1" x14ac:dyDescent="0.35">
      <c r="A73" s="258" t="s">
        <v>171</v>
      </c>
      <c r="B73" s="262">
        <f t="shared" si="10"/>
        <v>0</v>
      </c>
      <c r="C73" s="259">
        <f>'F06 (MAT,SERV &amp; EQUIPO)'!M41</f>
        <v>0</v>
      </c>
      <c r="D73" s="259">
        <f>'F06 (MAT,SERV &amp; EQUIPO)'!N41</f>
        <v>0</v>
      </c>
      <c r="E73" s="259">
        <f>'F06 (MAT,SERV &amp; EQUIPO)'!O41</f>
        <v>0</v>
      </c>
      <c r="F73" s="259">
        <f>'F06 (MAT,SERV &amp; EQUIPO)'!P41</f>
        <v>0</v>
      </c>
      <c r="G73" s="259">
        <f>'F06 (MAT,SERV &amp; EQUIPO)'!Q41</f>
        <v>0</v>
      </c>
      <c r="H73" s="259">
        <f>'F06 (MAT,SERV &amp; EQUIPO)'!R41</f>
        <v>0</v>
      </c>
      <c r="I73" s="259">
        <f>'F06 (MAT,SERV &amp; EQUIPO)'!S41</f>
        <v>0</v>
      </c>
      <c r="J73" s="259">
        <f>'F06 (MAT,SERV &amp; EQUIPO)'!T41</f>
        <v>0</v>
      </c>
      <c r="K73" s="259">
        <f>'F06 (MAT,SERV &amp; EQUIPO)'!U41</f>
        <v>0</v>
      </c>
      <c r="L73" s="259">
        <f>'F06 (MAT,SERV &amp; EQUIPO)'!V41</f>
        <v>0</v>
      </c>
      <c r="M73" s="259">
        <f>'F06 (MAT,SERV &amp; EQUIPO)'!W41</f>
        <v>0</v>
      </c>
      <c r="N73" s="259">
        <f>'F06 (MAT,SERV &amp; EQUIPO)'!X41</f>
        <v>0</v>
      </c>
      <c r="O73" s="259">
        <f>'F06 (MAT,SERV &amp; EQUIPO)'!Y41</f>
        <v>0</v>
      </c>
      <c r="P73" s="259">
        <f>'F06 (MAT,SERV &amp; EQUIPO)'!Z41</f>
        <v>0</v>
      </c>
      <c r="Q73" s="380">
        <f t="shared" si="11"/>
        <v>0</v>
      </c>
    </row>
    <row r="74" spans="1:20" ht="20.149999999999999" hidden="1" customHeight="1" outlineLevel="1" x14ac:dyDescent="0.35">
      <c r="A74" s="255" t="s">
        <v>172</v>
      </c>
      <c r="B74" s="262">
        <f t="shared" si="10"/>
        <v>0</v>
      </c>
      <c r="C74" s="262">
        <f>'F06 (MAT,SERV &amp; EQUIPO)'!M42</f>
        <v>0</v>
      </c>
      <c r="D74" s="262">
        <f>'F06 (MAT,SERV &amp; EQUIPO)'!N42</f>
        <v>0</v>
      </c>
      <c r="E74" s="262">
        <f>'F06 (MAT,SERV &amp; EQUIPO)'!O42</f>
        <v>0</v>
      </c>
      <c r="F74" s="262">
        <f>'F06 (MAT,SERV &amp; EQUIPO)'!P42</f>
        <v>0</v>
      </c>
      <c r="G74" s="262">
        <f>'F06 (MAT,SERV &amp; EQUIPO)'!Q42</f>
        <v>0</v>
      </c>
      <c r="H74" s="262">
        <f>'F06 (MAT,SERV &amp; EQUIPO)'!R42</f>
        <v>0</v>
      </c>
      <c r="I74" s="262">
        <f>'F06 (MAT,SERV &amp; EQUIPO)'!S42</f>
        <v>0</v>
      </c>
      <c r="J74" s="262">
        <f>'F06 (MAT,SERV &amp; EQUIPO)'!T42</f>
        <v>0</v>
      </c>
      <c r="K74" s="262">
        <f>'F06 (MAT,SERV &amp; EQUIPO)'!U42</f>
        <v>0</v>
      </c>
      <c r="L74" s="262">
        <f>'F06 (MAT,SERV &amp; EQUIPO)'!V42</f>
        <v>0</v>
      </c>
      <c r="M74" s="262">
        <f>'F06 (MAT,SERV &amp; EQUIPO)'!W42</f>
        <v>0</v>
      </c>
      <c r="N74" s="262">
        <f>'F06 (MAT,SERV &amp; EQUIPO)'!X42</f>
        <v>0</v>
      </c>
      <c r="O74" s="262">
        <f>'F06 (MAT,SERV &amp; EQUIPO)'!Y42</f>
        <v>0</v>
      </c>
      <c r="P74" s="262">
        <f>'F06 (MAT,SERV &amp; EQUIPO)'!Z42</f>
        <v>0</v>
      </c>
      <c r="Q74" s="380">
        <f t="shared" si="11"/>
        <v>0</v>
      </c>
    </row>
    <row r="75" spans="1:20" s="3" customFormat="1" ht="20.149999999999999" customHeight="1" collapsed="1" x14ac:dyDescent="0.35">
      <c r="A75" s="263" t="s">
        <v>7</v>
      </c>
      <c r="B75" s="264">
        <f>SUM(B40:B74)</f>
        <v>20997.34</v>
      </c>
      <c r="C75" s="265">
        <f t="shared" ref="C75:P75" si="12">SUM(C40:C74)</f>
        <v>10498.67</v>
      </c>
      <c r="D75" s="265">
        <f t="shared" si="12"/>
        <v>10498.67</v>
      </c>
      <c r="E75" s="265">
        <f t="shared" si="12"/>
        <v>0</v>
      </c>
      <c r="F75" s="265">
        <f t="shared" si="12"/>
        <v>0</v>
      </c>
      <c r="G75" s="265">
        <f t="shared" si="12"/>
        <v>0</v>
      </c>
      <c r="H75" s="265">
        <f t="shared" si="12"/>
        <v>0</v>
      </c>
      <c r="I75" s="265">
        <f t="shared" si="12"/>
        <v>0</v>
      </c>
      <c r="J75" s="265">
        <f t="shared" si="12"/>
        <v>0</v>
      </c>
      <c r="K75" s="265">
        <f t="shared" si="12"/>
        <v>0</v>
      </c>
      <c r="L75" s="265">
        <f t="shared" si="12"/>
        <v>0</v>
      </c>
      <c r="M75" s="265">
        <f t="shared" si="12"/>
        <v>0</v>
      </c>
      <c r="N75" s="265">
        <f t="shared" si="12"/>
        <v>0</v>
      </c>
      <c r="O75" s="265">
        <f t="shared" si="12"/>
        <v>0</v>
      </c>
      <c r="P75" s="265">
        <f t="shared" si="12"/>
        <v>0</v>
      </c>
      <c r="Q75" s="380">
        <f t="shared" si="11"/>
        <v>9.0259122140784952E-4</v>
      </c>
      <c r="R75" s="2"/>
      <c r="S75" s="2"/>
      <c r="T75" s="2"/>
    </row>
    <row r="76" spans="1:20" ht="20.149999999999999" hidden="1" customHeight="1" outlineLevel="1" x14ac:dyDescent="0.35">
      <c r="A76" s="255" t="s">
        <v>173</v>
      </c>
      <c r="B76" s="262">
        <f t="shared" ref="B76:B81" si="13">SUM(C76:P76)</f>
        <v>0</v>
      </c>
      <c r="C76" s="256">
        <f>'F07 OPERAC. (MAT,SERV &amp; EQUIPO)'!L163</f>
        <v>0</v>
      </c>
      <c r="D76" s="256">
        <f>'F07 OPERAC. (MAT,SERV &amp; EQUIPO)'!M163</f>
        <v>0</v>
      </c>
      <c r="E76" s="256">
        <f>'F07 OPERAC. (MAT,SERV &amp; EQUIPO)'!N163</f>
        <v>0</v>
      </c>
      <c r="F76" s="256">
        <f>'F07 OPERAC. (MAT,SERV &amp; EQUIPO)'!O163</f>
        <v>0</v>
      </c>
      <c r="G76" s="256">
        <f>'F07 OPERAC. (MAT,SERV &amp; EQUIPO)'!P163</f>
        <v>0</v>
      </c>
      <c r="H76" s="256">
        <f>'F07 OPERAC. (MAT,SERV &amp; EQUIPO)'!Q163</f>
        <v>0</v>
      </c>
      <c r="I76" s="256">
        <f>'F07 OPERAC. (MAT,SERV &amp; EQUIPO)'!R163</f>
        <v>0</v>
      </c>
      <c r="J76" s="256">
        <f>'F07 OPERAC. (MAT,SERV &amp; EQUIPO)'!S163</f>
        <v>0</v>
      </c>
      <c r="K76" s="256">
        <f>'F07 OPERAC. (MAT,SERV &amp; EQUIPO)'!T163</f>
        <v>0</v>
      </c>
      <c r="L76" s="256">
        <f>'F07 OPERAC. (MAT,SERV &amp; EQUIPO)'!U163</f>
        <v>0</v>
      </c>
      <c r="M76" s="256">
        <f>'F07 OPERAC. (MAT,SERV &amp; EQUIPO)'!V163</f>
        <v>0</v>
      </c>
      <c r="N76" s="256">
        <f>'F07 OPERAC. (MAT,SERV &amp; EQUIPO)'!W163</f>
        <v>0</v>
      </c>
      <c r="O76" s="256">
        <f>'F07 OPERAC. (MAT,SERV &amp; EQUIPO)'!X163</f>
        <v>0</v>
      </c>
      <c r="P76" s="256">
        <f>'F07 OPERAC. (MAT,SERV &amp; EQUIPO)'!Y163</f>
        <v>0</v>
      </c>
      <c r="Q76" s="380">
        <f t="shared" si="11"/>
        <v>0</v>
      </c>
    </row>
    <row r="77" spans="1:20" s="3" customFormat="1" ht="20.149999999999999" customHeight="1" collapsed="1" x14ac:dyDescent="0.35">
      <c r="A77" s="263" t="s">
        <v>100</v>
      </c>
      <c r="B77" s="264">
        <f t="shared" si="13"/>
        <v>0</v>
      </c>
      <c r="C77" s="265">
        <f t="shared" ref="C77:P77" si="14">C76</f>
        <v>0</v>
      </c>
      <c r="D77" s="265">
        <f t="shared" si="14"/>
        <v>0</v>
      </c>
      <c r="E77" s="265">
        <f t="shared" si="14"/>
        <v>0</v>
      </c>
      <c r="F77" s="265">
        <f t="shared" si="14"/>
        <v>0</v>
      </c>
      <c r="G77" s="265">
        <f t="shared" si="14"/>
        <v>0</v>
      </c>
      <c r="H77" s="265">
        <f t="shared" si="14"/>
        <v>0</v>
      </c>
      <c r="I77" s="265">
        <f t="shared" si="14"/>
        <v>0</v>
      </c>
      <c r="J77" s="265">
        <f t="shared" si="14"/>
        <v>0</v>
      </c>
      <c r="K77" s="265">
        <f t="shared" si="14"/>
        <v>0</v>
      </c>
      <c r="L77" s="265">
        <f t="shared" si="14"/>
        <v>0</v>
      </c>
      <c r="M77" s="265">
        <f t="shared" si="14"/>
        <v>0</v>
      </c>
      <c r="N77" s="265">
        <f t="shared" si="14"/>
        <v>0</v>
      </c>
      <c r="O77" s="265">
        <f t="shared" si="14"/>
        <v>0</v>
      </c>
      <c r="P77" s="265">
        <f t="shared" si="14"/>
        <v>0</v>
      </c>
      <c r="Q77" s="380">
        <f t="shared" si="11"/>
        <v>0</v>
      </c>
      <c r="R77" s="2"/>
      <c r="S77" s="2"/>
      <c r="T77" s="2"/>
    </row>
    <row r="78" spans="1:20" s="3" customFormat="1" ht="20.149999999999999" customHeight="1" x14ac:dyDescent="0.35">
      <c r="A78" s="263" t="s">
        <v>0</v>
      </c>
      <c r="B78" s="264">
        <f t="shared" si="13"/>
        <v>1095939.144736842</v>
      </c>
      <c r="C78" s="265">
        <f>'F01 NÓMINA'!X20</f>
        <v>417404.60526315786</v>
      </c>
      <c r="D78" s="265">
        <f>'F01 NÓMINA'!Y20</f>
        <v>678534.53947368416</v>
      </c>
      <c r="E78" s="265">
        <f>'F01 NÓMINA'!Z20</f>
        <v>0</v>
      </c>
      <c r="F78" s="265">
        <f>'F01 NÓMINA'!AA20</f>
        <v>0</v>
      </c>
      <c r="G78" s="265">
        <f>'F01 NÓMINA'!AB20</f>
        <v>0</v>
      </c>
      <c r="H78" s="265">
        <f>'F01 NÓMINA'!AC20</f>
        <v>0</v>
      </c>
      <c r="I78" s="265">
        <f>'F01 NÓMINA'!AD20</f>
        <v>0</v>
      </c>
      <c r="J78" s="265">
        <f>'F01 NÓMINA'!AE20</f>
        <v>0</v>
      </c>
      <c r="K78" s="265">
        <f>'F01 NÓMINA'!AF20</f>
        <v>0</v>
      </c>
      <c r="L78" s="265">
        <f>'F01 NÓMINA'!AG20</f>
        <v>0</v>
      </c>
      <c r="M78" s="265">
        <f>'F01 NÓMINA'!AH20</f>
        <v>0</v>
      </c>
      <c r="N78" s="265">
        <f>'F01 NÓMINA'!AI20</f>
        <v>0</v>
      </c>
      <c r="O78" s="265">
        <f>'F01 NÓMINA'!AJ20</f>
        <v>0</v>
      </c>
      <c r="P78" s="265">
        <f>'F01 NÓMINA'!AK20</f>
        <v>0</v>
      </c>
      <c r="Q78" s="380">
        <f t="shared" si="11"/>
        <v>4.7110017327752003E-2</v>
      </c>
      <c r="R78" s="2"/>
      <c r="S78" s="2"/>
      <c r="T78" s="2"/>
    </row>
    <row r="79" spans="1:20" ht="20.149999999999999" hidden="1" customHeight="1" outlineLevel="1" x14ac:dyDescent="0.35">
      <c r="A79" s="255" t="s">
        <v>174</v>
      </c>
      <c r="B79" s="262">
        <f t="shared" si="13"/>
        <v>0</v>
      </c>
      <c r="C79" s="256">
        <f>'F03 COM Y EQ COM'!L12</f>
        <v>0</v>
      </c>
      <c r="D79" s="256">
        <f>'F03 COM Y EQ COM'!M12</f>
        <v>0</v>
      </c>
      <c r="E79" s="256">
        <f>'F03 COM Y EQ COM'!N12</f>
        <v>0</v>
      </c>
      <c r="F79" s="256">
        <f>'F03 COM Y EQ COM'!O12</f>
        <v>0</v>
      </c>
      <c r="G79" s="256">
        <f>'F03 COM Y EQ COM'!P12</f>
        <v>0</v>
      </c>
      <c r="H79" s="256">
        <f>'F03 COM Y EQ COM'!Q12</f>
        <v>0</v>
      </c>
      <c r="I79" s="256">
        <f>'F03 COM Y EQ COM'!R12</f>
        <v>0</v>
      </c>
      <c r="J79" s="256">
        <f>'F03 COM Y EQ COM'!S12</f>
        <v>0</v>
      </c>
      <c r="K79" s="256">
        <f>'F03 COM Y EQ COM'!T12</f>
        <v>0</v>
      </c>
      <c r="L79" s="256">
        <f>'F03 COM Y EQ COM'!U12</f>
        <v>0</v>
      </c>
      <c r="M79" s="256">
        <f>'F03 COM Y EQ COM'!V12</f>
        <v>0</v>
      </c>
      <c r="N79" s="256">
        <f>'F03 COM Y EQ COM'!W12</f>
        <v>0</v>
      </c>
      <c r="O79" s="256">
        <f>'F03 COM Y EQ COM'!X12</f>
        <v>0</v>
      </c>
      <c r="P79" s="256">
        <f>'F03 COM Y EQ COM'!Y12</f>
        <v>0</v>
      </c>
      <c r="Q79" s="380">
        <f t="shared" si="11"/>
        <v>0</v>
      </c>
    </row>
    <row r="80" spans="1:20" ht="20.149999999999999" hidden="1" customHeight="1" outlineLevel="1" x14ac:dyDescent="0.35">
      <c r="A80" s="258" t="s">
        <v>175</v>
      </c>
      <c r="B80" s="262">
        <f t="shared" si="13"/>
        <v>0</v>
      </c>
      <c r="C80" s="259">
        <f>'F03 COM Y EQ COM'!L21</f>
        <v>0</v>
      </c>
      <c r="D80" s="259">
        <f>'F03 COM Y EQ COM'!M21</f>
        <v>0</v>
      </c>
      <c r="E80" s="259">
        <f>'F03 COM Y EQ COM'!N21</f>
        <v>0</v>
      </c>
      <c r="F80" s="259">
        <f>'F03 COM Y EQ COM'!O21</f>
        <v>0</v>
      </c>
      <c r="G80" s="259">
        <f>'F03 COM Y EQ COM'!P21</f>
        <v>0</v>
      </c>
      <c r="H80" s="259">
        <f>'F03 COM Y EQ COM'!Q21</f>
        <v>0</v>
      </c>
      <c r="I80" s="259">
        <f>'F03 COM Y EQ COM'!R21</f>
        <v>0</v>
      </c>
      <c r="J80" s="259">
        <f>'F03 COM Y EQ COM'!S21</f>
        <v>0</v>
      </c>
      <c r="K80" s="259">
        <f>'F03 COM Y EQ COM'!T21</f>
        <v>0</v>
      </c>
      <c r="L80" s="259">
        <f>'F03 COM Y EQ COM'!U21</f>
        <v>0</v>
      </c>
      <c r="M80" s="259">
        <f>'F03 COM Y EQ COM'!V21</f>
        <v>0</v>
      </c>
      <c r="N80" s="259">
        <f>'F03 COM Y EQ COM'!W21</f>
        <v>0</v>
      </c>
      <c r="O80" s="259">
        <f>'F03 COM Y EQ COM'!X21</f>
        <v>0</v>
      </c>
      <c r="P80" s="259">
        <f>'F03 COM Y EQ COM'!Y21</f>
        <v>0</v>
      </c>
      <c r="Q80" s="380">
        <f t="shared" si="11"/>
        <v>0</v>
      </c>
    </row>
    <row r="81" spans="1:20" ht="20.149999999999999" hidden="1" customHeight="1" outlineLevel="1" x14ac:dyDescent="0.35">
      <c r="A81" s="255" t="s">
        <v>176</v>
      </c>
      <c r="B81" s="262">
        <f t="shared" si="13"/>
        <v>0</v>
      </c>
      <c r="C81" s="256">
        <f>'F03 COM Y EQ COM'!L30</f>
        <v>0</v>
      </c>
      <c r="D81" s="256">
        <f>'F03 COM Y EQ COM'!M30</f>
        <v>0</v>
      </c>
      <c r="E81" s="256">
        <f>'F03 COM Y EQ COM'!N30</f>
        <v>0</v>
      </c>
      <c r="F81" s="256">
        <f>'F03 COM Y EQ COM'!O30</f>
        <v>0</v>
      </c>
      <c r="G81" s="256">
        <f>'F03 COM Y EQ COM'!P30</f>
        <v>0</v>
      </c>
      <c r="H81" s="256">
        <f>'F03 COM Y EQ COM'!Q30</f>
        <v>0</v>
      </c>
      <c r="I81" s="256">
        <f>'F03 COM Y EQ COM'!R30</f>
        <v>0</v>
      </c>
      <c r="J81" s="256">
        <f>'F03 COM Y EQ COM'!S30</f>
        <v>0</v>
      </c>
      <c r="K81" s="256">
        <f>'F03 COM Y EQ COM'!T30</f>
        <v>0</v>
      </c>
      <c r="L81" s="256">
        <f>'F03 COM Y EQ COM'!U30</f>
        <v>0</v>
      </c>
      <c r="M81" s="256">
        <f>'F03 COM Y EQ COM'!V30</f>
        <v>0</v>
      </c>
      <c r="N81" s="256">
        <f>'F03 COM Y EQ COM'!W30</f>
        <v>0</v>
      </c>
      <c r="O81" s="256">
        <f>'F03 COM Y EQ COM'!X30</f>
        <v>0</v>
      </c>
      <c r="P81" s="256">
        <f>'F03 COM Y EQ COM'!Y30</f>
        <v>0</v>
      </c>
      <c r="Q81" s="380">
        <f t="shared" si="11"/>
        <v>0</v>
      </c>
    </row>
    <row r="82" spans="1:20" s="3" customFormat="1" ht="20.149999999999999" customHeight="1" collapsed="1" x14ac:dyDescent="0.35">
      <c r="A82" s="263" t="s">
        <v>101</v>
      </c>
      <c r="B82" s="264">
        <f>SUM(B79:B81)</f>
        <v>0</v>
      </c>
      <c r="C82" s="265">
        <f>SUM(C79:C81)</f>
        <v>0</v>
      </c>
      <c r="D82" s="265">
        <f t="shared" ref="D82:P82" si="15">SUM(D79:D81)</f>
        <v>0</v>
      </c>
      <c r="E82" s="265">
        <f t="shared" si="15"/>
        <v>0</v>
      </c>
      <c r="F82" s="265">
        <f t="shared" si="15"/>
        <v>0</v>
      </c>
      <c r="G82" s="265">
        <f t="shared" si="15"/>
        <v>0</v>
      </c>
      <c r="H82" s="265">
        <f t="shared" si="15"/>
        <v>0</v>
      </c>
      <c r="I82" s="265">
        <f t="shared" si="15"/>
        <v>0</v>
      </c>
      <c r="J82" s="265">
        <f t="shared" si="15"/>
        <v>0</v>
      </c>
      <c r="K82" s="265">
        <f t="shared" si="15"/>
        <v>0</v>
      </c>
      <c r="L82" s="265">
        <f t="shared" si="15"/>
        <v>0</v>
      </c>
      <c r="M82" s="265">
        <f t="shared" si="15"/>
        <v>0</v>
      </c>
      <c r="N82" s="265">
        <f t="shared" si="15"/>
        <v>0</v>
      </c>
      <c r="O82" s="265">
        <f t="shared" si="15"/>
        <v>0</v>
      </c>
      <c r="P82" s="265">
        <f t="shared" si="15"/>
        <v>0</v>
      </c>
      <c r="Q82" s="380">
        <f t="shared" si="11"/>
        <v>0</v>
      </c>
      <c r="R82" s="2"/>
      <c r="S82" s="2"/>
      <c r="T82" s="2"/>
    </row>
    <row r="83" spans="1:20" ht="20.149999999999999" hidden="1" customHeight="1" outlineLevel="1" x14ac:dyDescent="0.35">
      <c r="A83" s="255" t="s">
        <v>177</v>
      </c>
      <c r="B83" s="262">
        <f>SUM(C83:P83)</f>
        <v>0</v>
      </c>
      <c r="C83" s="262">
        <f>'F07 OPERAC. (MAT,SERV &amp; EQUIPO)'!L53</f>
        <v>0</v>
      </c>
      <c r="D83" s="262">
        <f>'F07 OPERAC. (MAT,SERV &amp; EQUIPO)'!M53</f>
        <v>0</v>
      </c>
      <c r="E83" s="262">
        <f>'F07 OPERAC. (MAT,SERV &amp; EQUIPO)'!N53</f>
        <v>0</v>
      </c>
      <c r="F83" s="262">
        <f>'F07 OPERAC. (MAT,SERV &amp; EQUIPO)'!O53</f>
        <v>0</v>
      </c>
      <c r="G83" s="262">
        <f>'F07 OPERAC. (MAT,SERV &amp; EQUIPO)'!P53</f>
        <v>0</v>
      </c>
      <c r="H83" s="262">
        <f>'F07 OPERAC. (MAT,SERV &amp; EQUIPO)'!Q53</f>
        <v>0</v>
      </c>
      <c r="I83" s="262">
        <f>'F07 OPERAC. (MAT,SERV &amp; EQUIPO)'!R53</f>
        <v>0</v>
      </c>
      <c r="J83" s="262">
        <f>'F07 OPERAC. (MAT,SERV &amp; EQUIPO)'!S53</f>
        <v>0</v>
      </c>
      <c r="K83" s="262">
        <f>'F07 OPERAC. (MAT,SERV &amp; EQUIPO)'!T53</f>
        <v>0</v>
      </c>
      <c r="L83" s="262">
        <f>'F07 OPERAC. (MAT,SERV &amp; EQUIPO)'!U53</f>
        <v>0</v>
      </c>
      <c r="M83" s="262">
        <f>'F07 OPERAC. (MAT,SERV &amp; EQUIPO)'!V53</f>
        <v>0</v>
      </c>
      <c r="N83" s="262">
        <f>'F07 OPERAC. (MAT,SERV &amp; EQUIPO)'!W53</f>
        <v>0</v>
      </c>
      <c r="O83" s="262">
        <f>'F07 OPERAC. (MAT,SERV &amp; EQUIPO)'!X53</f>
        <v>0</v>
      </c>
      <c r="P83" s="262">
        <f>'F07 OPERAC. (MAT,SERV &amp; EQUIPO)'!Y53</f>
        <v>0</v>
      </c>
      <c r="Q83" s="380">
        <f t="shared" si="11"/>
        <v>0</v>
      </c>
    </row>
    <row r="84" spans="1:20" ht="20.149999999999999" hidden="1" customHeight="1" outlineLevel="1" x14ac:dyDescent="0.35">
      <c r="A84" s="258" t="s">
        <v>178</v>
      </c>
      <c r="B84" s="262">
        <f t="shared" ref="B84:B145" si="16">SUM(C84:P84)</f>
        <v>0</v>
      </c>
      <c r="C84" s="259">
        <f>'F07 OPERAC. (MAT,SERV &amp; EQUIPO)'!L54</f>
        <v>0</v>
      </c>
      <c r="D84" s="259">
        <f>'F07 OPERAC. (MAT,SERV &amp; EQUIPO)'!M54</f>
        <v>0</v>
      </c>
      <c r="E84" s="259">
        <f>'F07 OPERAC. (MAT,SERV &amp; EQUIPO)'!N54</f>
        <v>0</v>
      </c>
      <c r="F84" s="259">
        <f>'F07 OPERAC. (MAT,SERV &amp; EQUIPO)'!O54</f>
        <v>0</v>
      </c>
      <c r="G84" s="259">
        <f>'F07 OPERAC. (MAT,SERV &amp; EQUIPO)'!P54</f>
        <v>0</v>
      </c>
      <c r="H84" s="259">
        <f>'F07 OPERAC. (MAT,SERV &amp; EQUIPO)'!Q54</f>
        <v>0</v>
      </c>
      <c r="I84" s="259">
        <f>'F07 OPERAC. (MAT,SERV &amp; EQUIPO)'!R54</f>
        <v>0</v>
      </c>
      <c r="J84" s="259">
        <f>'F07 OPERAC. (MAT,SERV &amp; EQUIPO)'!S54</f>
        <v>0</v>
      </c>
      <c r="K84" s="259">
        <f>'F07 OPERAC. (MAT,SERV &amp; EQUIPO)'!T54</f>
        <v>0</v>
      </c>
      <c r="L84" s="259">
        <f>'F07 OPERAC. (MAT,SERV &amp; EQUIPO)'!U54</f>
        <v>0</v>
      </c>
      <c r="M84" s="259">
        <f>'F07 OPERAC. (MAT,SERV &amp; EQUIPO)'!V54</f>
        <v>0</v>
      </c>
      <c r="N84" s="259">
        <f>'F07 OPERAC. (MAT,SERV &amp; EQUIPO)'!W54</f>
        <v>0</v>
      </c>
      <c r="O84" s="259">
        <f>'F07 OPERAC. (MAT,SERV &amp; EQUIPO)'!X54</f>
        <v>0</v>
      </c>
      <c r="P84" s="259">
        <f>'F07 OPERAC. (MAT,SERV &amp; EQUIPO)'!Y54</f>
        <v>0</v>
      </c>
      <c r="Q84" s="380">
        <f t="shared" si="11"/>
        <v>0</v>
      </c>
    </row>
    <row r="85" spans="1:20" ht="20.149999999999999" hidden="1" customHeight="1" outlineLevel="1" x14ac:dyDescent="0.35">
      <c r="A85" s="255" t="s">
        <v>179</v>
      </c>
      <c r="B85" s="262">
        <f t="shared" si="16"/>
        <v>903.5</v>
      </c>
      <c r="C85" s="262">
        <f>'F07 OPERAC. (MAT,SERV &amp; EQUIPO)'!L55</f>
        <v>903.5</v>
      </c>
      <c r="D85" s="262">
        <f>'F07 OPERAC. (MAT,SERV &amp; EQUIPO)'!M55</f>
        <v>0</v>
      </c>
      <c r="E85" s="262">
        <f>'F07 OPERAC. (MAT,SERV &amp; EQUIPO)'!N55</f>
        <v>0</v>
      </c>
      <c r="F85" s="262">
        <f>'F07 OPERAC. (MAT,SERV &amp; EQUIPO)'!O55</f>
        <v>0</v>
      </c>
      <c r="G85" s="262">
        <f>'F07 OPERAC. (MAT,SERV &amp; EQUIPO)'!P55</f>
        <v>0</v>
      </c>
      <c r="H85" s="262">
        <f>'F07 OPERAC. (MAT,SERV &amp; EQUIPO)'!Q55</f>
        <v>0</v>
      </c>
      <c r="I85" s="262">
        <f>'F07 OPERAC. (MAT,SERV &amp; EQUIPO)'!R55</f>
        <v>0</v>
      </c>
      <c r="J85" s="262">
        <f>'F07 OPERAC. (MAT,SERV &amp; EQUIPO)'!S55</f>
        <v>0</v>
      </c>
      <c r="K85" s="262">
        <f>'F07 OPERAC. (MAT,SERV &amp; EQUIPO)'!T55</f>
        <v>0</v>
      </c>
      <c r="L85" s="262">
        <f>'F07 OPERAC. (MAT,SERV &amp; EQUIPO)'!U55</f>
        <v>0</v>
      </c>
      <c r="M85" s="262">
        <f>'F07 OPERAC. (MAT,SERV &amp; EQUIPO)'!V55</f>
        <v>0</v>
      </c>
      <c r="N85" s="262">
        <f>'F07 OPERAC. (MAT,SERV &amp; EQUIPO)'!W55</f>
        <v>0</v>
      </c>
      <c r="O85" s="262">
        <f>'F07 OPERAC. (MAT,SERV &amp; EQUIPO)'!X55</f>
        <v>0</v>
      </c>
      <c r="P85" s="262">
        <f>'F07 OPERAC. (MAT,SERV &amp; EQUIPO)'!Y55</f>
        <v>0</v>
      </c>
      <c r="Q85" s="380">
        <f t="shared" si="11"/>
        <v>3.8837832246465131E-5</v>
      </c>
    </row>
    <row r="86" spans="1:20" ht="20.149999999999999" hidden="1" customHeight="1" outlineLevel="1" x14ac:dyDescent="0.35">
      <c r="A86" s="258" t="s">
        <v>180</v>
      </c>
      <c r="B86" s="262">
        <f t="shared" si="16"/>
        <v>0</v>
      </c>
      <c r="C86" s="259">
        <f>'F07 OPERAC. (MAT,SERV &amp; EQUIPO)'!L56</f>
        <v>0</v>
      </c>
      <c r="D86" s="259">
        <f>'F07 OPERAC. (MAT,SERV &amp; EQUIPO)'!M56</f>
        <v>0</v>
      </c>
      <c r="E86" s="259">
        <f>'F07 OPERAC. (MAT,SERV &amp; EQUIPO)'!N56</f>
        <v>0</v>
      </c>
      <c r="F86" s="259">
        <f>'F07 OPERAC. (MAT,SERV &amp; EQUIPO)'!O56</f>
        <v>0</v>
      </c>
      <c r="G86" s="259">
        <f>'F07 OPERAC. (MAT,SERV &amp; EQUIPO)'!P56</f>
        <v>0</v>
      </c>
      <c r="H86" s="259">
        <f>'F07 OPERAC. (MAT,SERV &amp; EQUIPO)'!Q56</f>
        <v>0</v>
      </c>
      <c r="I86" s="259">
        <f>'F07 OPERAC. (MAT,SERV &amp; EQUIPO)'!R56</f>
        <v>0</v>
      </c>
      <c r="J86" s="259">
        <f>'F07 OPERAC. (MAT,SERV &amp; EQUIPO)'!S56</f>
        <v>0</v>
      </c>
      <c r="K86" s="259">
        <f>'F07 OPERAC. (MAT,SERV &amp; EQUIPO)'!T56</f>
        <v>0</v>
      </c>
      <c r="L86" s="259">
        <f>'F07 OPERAC. (MAT,SERV &amp; EQUIPO)'!U56</f>
        <v>0</v>
      </c>
      <c r="M86" s="259">
        <f>'F07 OPERAC. (MAT,SERV &amp; EQUIPO)'!V56</f>
        <v>0</v>
      </c>
      <c r="N86" s="259">
        <f>'F07 OPERAC. (MAT,SERV &amp; EQUIPO)'!W56</f>
        <v>0</v>
      </c>
      <c r="O86" s="259">
        <f>'F07 OPERAC. (MAT,SERV &amp; EQUIPO)'!X56</f>
        <v>0</v>
      </c>
      <c r="P86" s="259">
        <f>'F07 OPERAC. (MAT,SERV &amp; EQUIPO)'!Y56</f>
        <v>0</v>
      </c>
      <c r="Q86" s="380">
        <f t="shared" si="11"/>
        <v>0</v>
      </c>
    </row>
    <row r="87" spans="1:20" ht="20.149999999999999" hidden="1" customHeight="1" outlineLevel="1" x14ac:dyDescent="0.35">
      <c r="A87" s="255" t="s">
        <v>181</v>
      </c>
      <c r="B87" s="262">
        <f t="shared" si="16"/>
        <v>0</v>
      </c>
      <c r="C87" s="262">
        <f>'F07 OPERAC. (MAT,SERV &amp; EQUIPO)'!L57</f>
        <v>0</v>
      </c>
      <c r="D87" s="262">
        <f>'F07 OPERAC. (MAT,SERV &amp; EQUIPO)'!M57</f>
        <v>0</v>
      </c>
      <c r="E87" s="262">
        <f>'F07 OPERAC. (MAT,SERV &amp; EQUIPO)'!N57</f>
        <v>0</v>
      </c>
      <c r="F87" s="262">
        <f>'F07 OPERAC. (MAT,SERV &amp; EQUIPO)'!O57</f>
        <v>0</v>
      </c>
      <c r="G87" s="262">
        <f>'F07 OPERAC. (MAT,SERV &amp; EQUIPO)'!P57</f>
        <v>0</v>
      </c>
      <c r="H87" s="262">
        <f>'F07 OPERAC. (MAT,SERV &amp; EQUIPO)'!Q57</f>
        <v>0</v>
      </c>
      <c r="I87" s="262">
        <f>'F07 OPERAC. (MAT,SERV &amp; EQUIPO)'!R57</f>
        <v>0</v>
      </c>
      <c r="J87" s="262">
        <f>'F07 OPERAC. (MAT,SERV &amp; EQUIPO)'!S57</f>
        <v>0</v>
      </c>
      <c r="K87" s="262">
        <f>'F07 OPERAC. (MAT,SERV &amp; EQUIPO)'!T57</f>
        <v>0</v>
      </c>
      <c r="L87" s="262">
        <f>'F07 OPERAC. (MAT,SERV &amp; EQUIPO)'!U57</f>
        <v>0</v>
      </c>
      <c r="M87" s="262">
        <f>'F07 OPERAC. (MAT,SERV &amp; EQUIPO)'!V57</f>
        <v>0</v>
      </c>
      <c r="N87" s="262">
        <f>'F07 OPERAC. (MAT,SERV &amp; EQUIPO)'!W57</f>
        <v>0</v>
      </c>
      <c r="O87" s="262">
        <f>'F07 OPERAC. (MAT,SERV &amp; EQUIPO)'!X57</f>
        <v>0</v>
      </c>
      <c r="P87" s="262">
        <f>'F07 OPERAC. (MAT,SERV &amp; EQUIPO)'!Y57</f>
        <v>0</v>
      </c>
      <c r="Q87" s="380">
        <f t="shared" si="11"/>
        <v>0</v>
      </c>
    </row>
    <row r="88" spans="1:20" ht="20.149999999999999" hidden="1" customHeight="1" outlineLevel="1" x14ac:dyDescent="0.35">
      <c r="A88" s="258" t="s">
        <v>182</v>
      </c>
      <c r="B88" s="262">
        <f t="shared" si="16"/>
        <v>0</v>
      </c>
      <c r="C88" s="259">
        <f>'F07 OPERAC. (MAT,SERV &amp; EQUIPO)'!L58</f>
        <v>0</v>
      </c>
      <c r="D88" s="259">
        <f>'F07 OPERAC. (MAT,SERV &amp; EQUIPO)'!M58</f>
        <v>0</v>
      </c>
      <c r="E88" s="259">
        <f>'F07 OPERAC. (MAT,SERV &amp; EQUIPO)'!N58</f>
        <v>0</v>
      </c>
      <c r="F88" s="259">
        <f>'F07 OPERAC. (MAT,SERV &amp; EQUIPO)'!O58</f>
        <v>0</v>
      </c>
      <c r="G88" s="259">
        <f>'F07 OPERAC. (MAT,SERV &amp; EQUIPO)'!P58</f>
        <v>0</v>
      </c>
      <c r="H88" s="259">
        <f>'F07 OPERAC. (MAT,SERV &amp; EQUIPO)'!Q58</f>
        <v>0</v>
      </c>
      <c r="I88" s="259">
        <f>'F07 OPERAC. (MAT,SERV &amp; EQUIPO)'!R58</f>
        <v>0</v>
      </c>
      <c r="J88" s="259">
        <f>'F07 OPERAC. (MAT,SERV &amp; EQUIPO)'!S58</f>
        <v>0</v>
      </c>
      <c r="K88" s="259">
        <f>'F07 OPERAC. (MAT,SERV &amp; EQUIPO)'!T58</f>
        <v>0</v>
      </c>
      <c r="L88" s="259">
        <f>'F07 OPERAC. (MAT,SERV &amp; EQUIPO)'!U58</f>
        <v>0</v>
      </c>
      <c r="M88" s="259">
        <f>'F07 OPERAC. (MAT,SERV &amp; EQUIPO)'!V58</f>
        <v>0</v>
      </c>
      <c r="N88" s="259">
        <f>'F07 OPERAC. (MAT,SERV &amp; EQUIPO)'!W58</f>
        <v>0</v>
      </c>
      <c r="O88" s="259">
        <f>'F07 OPERAC. (MAT,SERV &amp; EQUIPO)'!X58</f>
        <v>0</v>
      </c>
      <c r="P88" s="259">
        <f>'F07 OPERAC. (MAT,SERV &amp; EQUIPO)'!Y58</f>
        <v>0</v>
      </c>
      <c r="Q88" s="380">
        <f t="shared" si="11"/>
        <v>0</v>
      </c>
    </row>
    <row r="89" spans="1:20" ht="20.149999999999999" hidden="1" customHeight="1" outlineLevel="1" x14ac:dyDescent="0.35">
      <c r="A89" s="255" t="s">
        <v>183</v>
      </c>
      <c r="B89" s="262">
        <f t="shared" si="16"/>
        <v>0</v>
      </c>
      <c r="C89" s="262">
        <f>'F07 OPERAC. (MAT,SERV &amp; EQUIPO)'!L59</f>
        <v>0</v>
      </c>
      <c r="D89" s="262">
        <f>'F07 OPERAC. (MAT,SERV &amp; EQUIPO)'!M59</f>
        <v>0</v>
      </c>
      <c r="E89" s="262">
        <f>'F07 OPERAC. (MAT,SERV &amp; EQUIPO)'!N59</f>
        <v>0</v>
      </c>
      <c r="F89" s="262">
        <f>'F07 OPERAC. (MAT,SERV &amp; EQUIPO)'!O59</f>
        <v>0</v>
      </c>
      <c r="G89" s="262">
        <f>'F07 OPERAC. (MAT,SERV &amp; EQUIPO)'!P59</f>
        <v>0</v>
      </c>
      <c r="H89" s="262">
        <f>'F07 OPERAC. (MAT,SERV &amp; EQUIPO)'!Q59</f>
        <v>0</v>
      </c>
      <c r="I89" s="262">
        <f>'F07 OPERAC. (MAT,SERV &amp; EQUIPO)'!R59</f>
        <v>0</v>
      </c>
      <c r="J89" s="262">
        <f>'F07 OPERAC. (MAT,SERV &amp; EQUIPO)'!S59</f>
        <v>0</v>
      </c>
      <c r="K89" s="262">
        <f>'F07 OPERAC. (MAT,SERV &amp; EQUIPO)'!T59</f>
        <v>0</v>
      </c>
      <c r="L89" s="262">
        <f>'F07 OPERAC. (MAT,SERV &amp; EQUIPO)'!U59</f>
        <v>0</v>
      </c>
      <c r="M89" s="262">
        <f>'F07 OPERAC. (MAT,SERV &amp; EQUIPO)'!V59</f>
        <v>0</v>
      </c>
      <c r="N89" s="262">
        <f>'F07 OPERAC. (MAT,SERV &amp; EQUIPO)'!W59</f>
        <v>0</v>
      </c>
      <c r="O89" s="262">
        <f>'F07 OPERAC. (MAT,SERV &amp; EQUIPO)'!X59</f>
        <v>0</v>
      </c>
      <c r="P89" s="262">
        <f>'F07 OPERAC. (MAT,SERV &amp; EQUIPO)'!Y59</f>
        <v>0</v>
      </c>
      <c r="Q89" s="380">
        <f t="shared" si="11"/>
        <v>0</v>
      </c>
    </row>
    <row r="90" spans="1:20" ht="20.149999999999999" hidden="1" customHeight="1" outlineLevel="1" x14ac:dyDescent="0.35">
      <c r="A90" s="258" t="s">
        <v>184</v>
      </c>
      <c r="B90" s="262">
        <f t="shared" si="16"/>
        <v>0</v>
      </c>
      <c r="C90" s="259">
        <f>'F07 OPERAC. (MAT,SERV &amp; EQUIPO)'!L60</f>
        <v>0</v>
      </c>
      <c r="D90" s="259">
        <f>'F07 OPERAC. (MAT,SERV &amp; EQUIPO)'!M60</f>
        <v>0</v>
      </c>
      <c r="E90" s="259">
        <f>'F07 OPERAC. (MAT,SERV &amp; EQUIPO)'!N60</f>
        <v>0</v>
      </c>
      <c r="F90" s="259">
        <f>'F07 OPERAC. (MAT,SERV &amp; EQUIPO)'!O60</f>
        <v>0</v>
      </c>
      <c r="G90" s="259">
        <f>'F07 OPERAC. (MAT,SERV &amp; EQUIPO)'!P60</f>
        <v>0</v>
      </c>
      <c r="H90" s="259">
        <f>'F07 OPERAC. (MAT,SERV &amp; EQUIPO)'!Q60</f>
        <v>0</v>
      </c>
      <c r="I90" s="259">
        <f>'F07 OPERAC. (MAT,SERV &amp; EQUIPO)'!R60</f>
        <v>0</v>
      </c>
      <c r="J90" s="259">
        <f>'F07 OPERAC. (MAT,SERV &amp; EQUIPO)'!S60</f>
        <v>0</v>
      </c>
      <c r="K90" s="259">
        <f>'F07 OPERAC. (MAT,SERV &amp; EQUIPO)'!T60</f>
        <v>0</v>
      </c>
      <c r="L90" s="259">
        <f>'F07 OPERAC. (MAT,SERV &amp; EQUIPO)'!U60</f>
        <v>0</v>
      </c>
      <c r="M90" s="259">
        <f>'F07 OPERAC. (MAT,SERV &amp; EQUIPO)'!V60</f>
        <v>0</v>
      </c>
      <c r="N90" s="259">
        <f>'F07 OPERAC. (MAT,SERV &amp; EQUIPO)'!W60</f>
        <v>0</v>
      </c>
      <c r="O90" s="259">
        <f>'F07 OPERAC. (MAT,SERV &amp; EQUIPO)'!X60</f>
        <v>0</v>
      </c>
      <c r="P90" s="259">
        <f>'F07 OPERAC. (MAT,SERV &amp; EQUIPO)'!Y60</f>
        <v>0</v>
      </c>
      <c r="Q90" s="380">
        <f t="shared" si="11"/>
        <v>0</v>
      </c>
    </row>
    <row r="91" spans="1:20" ht="20.149999999999999" hidden="1" customHeight="1" outlineLevel="1" x14ac:dyDescent="0.35">
      <c r="A91" s="255" t="s">
        <v>185</v>
      </c>
      <c r="B91" s="262">
        <f t="shared" si="16"/>
        <v>0</v>
      </c>
      <c r="C91" s="262">
        <f>'F07 OPERAC. (MAT,SERV &amp; EQUIPO)'!L61</f>
        <v>0</v>
      </c>
      <c r="D91" s="262">
        <f>'F07 OPERAC. (MAT,SERV &amp; EQUIPO)'!M61</f>
        <v>0</v>
      </c>
      <c r="E91" s="262">
        <f>'F07 OPERAC. (MAT,SERV &amp; EQUIPO)'!N61</f>
        <v>0</v>
      </c>
      <c r="F91" s="262">
        <f>'F07 OPERAC. (MAT,SERV &amp; EQUIPO)'!O61</f>
        <v>0</v>
      </c>
      <c r="G91" s="262">
        <f>'F07 OPERAC. (MAT,SERV &amp; EQUIPO)'!P61</f>
        <v>0</v>
      </c>
      <c r="H91" s="262">
        <f>'F07 OPERAC. (MAT,SERV &amp; EQUIPO)'!Q61</f>
        <v>0</v>
      </c>
      <c r="I91" s="262">
        <f>'F07 OPERAC. (MAT,SERV &amp; EQUIPO)'!R61</f>
        <v>0</v>
      </c>
      <c r="J91" s="262">
        <f>'F07 OPERAC. (MAT,SERV &amp; EQUIPO)'!S61</f>
        <v>0</v>
      </c>
      <c r="K91" s="262">
        <f>'F07 OPERAC. (MAT,SERV &amp; EQUIPO)'!T61</f>
        <v>0</v>
      </c>
      <c r="L91" s="262">
        <f>'F07 OPERAC. (MAT,SERV &amp; EQUIPO)'!U61</f>
        <v>0</v>
      </c>
      <c r="M91" s="262">
        <f>'F07 OPERAC. (MAT,SERV &amp; EQUIPO)'!V61</f>
        <v>0</v>
      </c>
      <c r="N91" s="262">
        <f>'F07 OPERAC. (MAT,SERV &amp; EQUIPO)'!W61</f>
        <v>0</v>
      </c>
      <c r="O91" s="262">
        <f>'F07 OPERAC. (MAT,SERV &amp; EQUIPO)'!X61</f>
        <v>0</v>
      </c>
      <c r="P91" s="262">
        <f>'F07 OPERAC. (MAT,SERV &amp; EQUIPO)'!Y61</f>
        <v>0</v>
      </c>
      <c r="Q91" s="380">
        <f t="shared" si="11"/>
        <v>0</v>
      </c>
    </row>
    <row r="92" spans="1:20" ht="20.149999999999999" hidden="1" customHeight="1" outlineLevel="1" x14ac:dyDescent="0.35">
      <c r="A92" s="258" t="s">
        <v>186</v>
      </c>
      <c r="B92" s="262">
        <f t="shared" si="16"/>
        <v>0</v>
      </c>
      <c r="C92" s="259">
        <f>'F07 OPERAC. (MAT,SERV &amp; EQUIPO)'!L62</f>
        <v>0</v>
      </c>
      <c r="D92" s="259">
        <f>'F07 OPERAC. (MAT,SERV &amp; EQUIPO)'!M62</f>
        <v>0</v>
      </c>
      <c r="E92" s="259">
        <f>'F07 OPERAC. (MAT,SERV &amp; EQUIPO)'!N62</f>
        <v>0</v>
      </c>
      <c r="F92" s="259">
        <f>'F07 OPERAC. (MAT,SERV &amp; EQUIPO)'!O62</f>
        <v>0</v>
      </c>
      <c r="G92" s="259">
        <f>'F07 OPERAC. (MAT,SERV &amp; EQUIPO)'!P62</f>
        <v>0</v>
      </c>
      <c r="H92" s="259">
        <f>'F07 OPERAC. (MAT,SERV &amp; EQUIPO)'!Q62</f>
        <v>0</v>
      </c>
      <c r="I92" s="259">
        <f>'F07 OPERAC. (MAT,SERV &amp; EQUIPO)'!R62</f>
        <v>0</v>
      </c>
      <c r="J92" s="259">
        <f>'F07 OPERAC. (MAT,SERV &amp; EQUIPO)'!S62</f>
        <v>0</v>
      </c>
      <c r="K92" s="259">
        <f>'F07 OPERAC. (MAT,SERV &amp; EQUIPO)'!T62</f>
        <v>0</v>
      </c>
      <c r="L92" s="259">
        <f>'F07 OPERAC. (MAT,SERV &amp; EQUIPO)'!U62</f>
        <v>0</v>
      </c>
      <c r="M92" s="259">
        <f>'F07 OPERAC. (MAT,SERV &amp; EQUIPO)'!V62</f>
        <v>0</v>
      </c>
      <c r="N92" s="259">
        <f>'F07 OPERAC. (MAT,SERV &amp; EQUIPO)'!W62</f>
        <v>0</v>
      </c>
      <c r="O92" s="259">
        <f>'F07 OPERAC. (MAT,SERV &amp; EQUIPO)'!X62</f>
        <v>0</v>
      </c>
      <c r="P92" s="259">
        <f>'F07 OPERAC. (MAT,SERV &amp; EQUIPO)'!Y62</f>
        <v>0</v>
      </c>
      <c r="Q92" s="380">
        <f t="shared" si="11"/>
        <v>0</v>
      </c>
    </row>
    <row r="93" spans="1:20" ht="20.149999999999999" hidden="1" customHeight="1" outlineLevel="1" x14ac:dyDescent="0.35">
      <c r="A93" s="255" t="s">
        <v>187</v>
      </c>
      <c r="B93" s="262">
        <f t="shared" si="16"/>
        <v>0</v>
      </c>
      <c r="C93" s="262">
        <f>'F07 OPERAC. (MAT,SERV &amp; EQUIPO)'!L63</f>
        <v>0</v>
      </c>
      <c r="D93" s="262">
        <f>'F07 OPERAC. (MAT,SERV &amp; EQUIPO)'!M63</f>
        <v>0</v>
      </c>
      <c r="E93" s="262">
        <f>'F07 OPERAC. (MAT,SERV &amp; EQUIPO)'!N63</f>
        <v>0</v>
      </c>
      <c r="F93" s="262">
        <f>'F07 OPERAC. (MAT,SERV &amp; EQUIPO)'!O63</f>
        <v>0</v>
      </c>
      <c r="G93" s="262">
        <f>'F07 OPERAC. (MAT,SERV &amp; EQUIPO)'!P63</f>
        <v>0</v>
      </c>
      <c r="H93" s="262">
        <f>'F07 OPERAC. (MAT,SERV &amp; EQUIPO)'!Q63</f>
        <v>0</v>
      </c>
      <c r="I93" s="262">
        <f>'F07 OPERAC. (MAT,SERV &amp; EQUIPO)'!R63</f>
        <v>0</v>
      </c>
      <c r="J93" s="262">
        <f>'F07 OPERAC. (MAT,SERV &amp; EQUIPO)'!S63</f>
        <v>0</v>
      </c>
      <c r="K93" s="262">
        <f>'F07 OPERAC. (MAT,SERV &amp; EQUIPO)'!T63</f>
        <v>0</v>
      </c>
      <c r="L93" s="262">
        <f>'F07 OPERAC. (MAT,SERV &amp; EQUIPO)'!U63</f>
        <v>0</v>
      </c>
      <c r="M93" s="262">
        <f>'F07 OPERAC. (MAT,SERV &amp; EQUIPO)'!V63</f>
        <v>0</v>
      </c>
      <c r="N93" s="262">
        <f>'F07 OPERAC. (MAT,SERV &amp; EQUIPO)'!W63</f>
        <v>0</v>
      </c>
      <c r="O93" s="262">
        <f>'F07 OPERAC. (MAT,SERV &amp; EQUIPO)'!X63</f>
        <v>0</v>
      </c>
      <c r="P93" s="262">
        <f>'F07 OPERAC. (MAT,SERV &amp; EQUIPO)'!Y63</f>
        <v>0</v>
      </c>
      <c r="Q93" s="380">
        <f t="shared" si="11"/>
        <v>0</v>
      </c>
    </row>
    <row r="94" spans="1:20" ht="20.149999999999999" hidden="1" customHeight="1" outlineLevel="1" x14ac:dyDescent="0.35">
      <c r="A94" s="258" t="s">
        <v>188</v>
      </c>
      <c r="B94" s="262">
        <f t="shared" si="16"/>
        <v>0</v>
      </c>
      <c r="C94" s="259">
        <f>'F07 OPERAC. (MAT,SERV &amp; EQUIPO)'!L64</f>
        <v>0</v>
      </c>
      <c r="D94" s="259">
        <f>'F07 OPERAC. (MAT,SERV &amp; EQUIPO)'!M64</f>
        <v>0</v>
      </c>
      <c r="E94" s="259">
        <f>'F07 OPERAC. (MAT,SERV &amp; EQUIPO)'!N64</f>
        <v>0</v>
      </c>
      <c r="F94" s="259">
        <f>'F07 OPERAC. (MAT,SERV &amp; EQUIPO)'!O64</f>
        <v>0</v>
      </c>
      <c r="G94" s="259">
        <f>'F07 OPERAC. (MAT,SERV &amp; EQUIPO)'!P64</f>
        <v>0</v>
      </c>
      <c r="H94" s="259">
        <f>'F07 OPERAC. (MAT,SERV &amp; EQUIPO)'!Q64</f>
        <v>0</v>
      </c>
      <c r="I94" s="259">
        <f>'F07 OPERAC. (MAT,SERV &amp; EQUIPO)'!R64</f>
        <v>0</v>
      </c>
      <c r="J94" s="259">
        <f>'F07 OPERAC. (MAT,SERV &amp; EQUIPO)'!S64</f>
        <v>0</v>
      </c>
      <c r="K94" s="259">
        <f>'F07 OPERAC. (MAT,SERV &amp; EQUIPO)'!T64</f>
        <v>0</v>
      </c>
      <c r="L94" s="259">
        <f>'F07 OPERAC. (MAT,SERV &amp; EQUIPO)'!U64</f>
        <v>0</v>
      </c>
      <c r="M94" s="259">
        <f>'F07 OPERAC. (MAT,SERV &amp; EQUIPO)'!V64</f>
        <v>0</v>
      </c>
      <c r="N94" s="259">
        <f>'F07 OPERAC. (MAT,SERV &amp; EQUIPO)'!W64</f>
        <v>0</v>
      </c>
      <c r="O94" s="259">
        <f>'F07 OPERAC. (MAT,SERV &amp; EQUIPO)'!X64</f>
        <v>0</v>
      </c>
      <c r="P94" s="259">
        <f>'F07 OPERAC. (MAT,SERV &amp; EQUIPO)'!Y64</f>
        <v>0</v>
      </c>
      <c r="Q94" s="380">
        <f t="shared" si="11"/>
        <v>0</v>
      </c>
    </row>
    <row r="95" spans="1:20" ht="20.149999999999999" hidden="1" customHeight="1" outlineLevel="1" x14ac:dyDescent="0.35">
      <c r="A95" s="255" t="s">
        <v>189</v>
      </c>
      <c r="B95" s="262">
        <f t="shared" si="16"/>
        <v>0</v>
      </c>
      <c r="C95" s="262">
        <f>'F07 OPERAC. (MAT,SERV &amp; EQUIPO)'!L65</f>
        <v>0</v>
      </c>
      <c r="D95" s="262">
        <f>'F07 OPERAC. (MAT,SERV &amp; EQUIPO)'!M65</f>
        <v>0</v>
      </c>
      <c r="E95" s="262">
        <f>'F07 OPERAC. (MAT,SERV &amp; EQUIPO)'!N65</f>
        <v>0</v>
      </c>
      <c r="F95" s="262">
        <f>'F07 OPERAC. (MAT,SERV &amp; EQUIPO)'!O65</f>
        <v>0</v>
      </c>
      <c r="G95" s="262">
        <f>'F07 OPERAC. (MAT,SERV &amp; EQUIPO)'!P65</f>
        <v>0</v>
      </c>
      <c r="H95" s="262">
        <f>'F07 OPERAC. (MAT,SERV &amp; EQUIPO)'!Q65</f>
        <v>0</v>
      </c>
      <c r="I95" s="262">
        <f>'F07 OPERAC. (MAT,SERV &amp; EQUIPO)'!R65</f>
        <v>0</v>
      </c>
      <c r="J95" s="262">
        <f>'F07 OPERAC. (MAT,SERV &amp; EQUIPO)'!S65</f>
        <v>0</v>
      </c>
      <c r="K95" s="262">
        <f>'F07 OPERAC. (MAT,SERV &amp; EQUIPO)'!T65</f>
        <v>0</v>
      </c>
      <c r="L95" s="262">
        <f>'F07 OPERAC. (MAT,SERV &amp; EQUIPO)'!U65</f>
        <v>0</v>
      </c>
      <c r="M95" s="262">
        <f>'F07 OPERAC. (MAT,SERV &amp; EQUIPO)'!V65</f>
        <v>0</v>
      </c>
      <c r="N95" s="262">
        <f>'F07 OPERAC. (MAT,SERV &amp; EQUIPO)'!W65</f>
        <v>0</v>
      </c>
      <c r="O95" s="262">
        <f>'F07 OPERAC. (MAT,SERV &amp; EQUIPO)'!X65</f>
        <v>0</v>
      </c>
      <c r="P95" s="262">
        <f>'F07 OPERAC. (MAT,SERV &amp; EQUIPO)'!Y65</f>
        <v>0</v>
      </c>
      <c r="Q95" s="380">
        <f t="shared" si="11"/>
        <v>0</v>
      </c>
    </row>
    <row r="96" spans="1:20" ht="20.149999999999999" hidden="1" customHeight="1" outlineLevel="1" x14ac:dyDescent="0.35">
      <c r="A96" s="258" t="s">
        <v>190</v>
      </c>
      <c r="B96" s="262">
        <f t="shared" si="16"/>
        <v>0</v>
      </c>
      <c r="C96" s="259">
        <f>'F07 OPERAC. (MAT,SERV &amp; EQUIPO)'!L66</f>
        <v>0</v>
      </c>
      <c r="D96" s="259">
        <f>'F07 OPERAC. (MAT,SERV &amp; EQUIPO)'!M66</f>
        <v>0</v>
      </c>
      <c r="E96" s="259">
        <f>'F07 OPERAC. (MAT,SERV &amp; EQUIPO)'!N66</f>
        <v>0</v>
      </c>
      <c r="F96" s="259">
        <f>'F07 OPERAC. (MAT,SERV &amp; EQUIPO)'!O66</f>
        <v>0</v>
      </c>
      <c r="G96" s="259">
        <f>'F07 OPERAC. (MAT,SERV &amp; EQUIPO)'!P66</f>
        <v>0</v>
      </c>
      <c r="H96" s="259">
        <f>'F07 OPERAC. (MAT,SERV &amp; EQUIPO)'!Q66</f>
        <v>0</v>
      </c>
      <c r="I96" s="259">
        <f>'F07 OPERAC. (MAT,SERV &amp; EQUIPO)'!R66</f>
        <v>0</v>
      </c>
      <c r="J96" s="259">
        <f>'F07 OPERAC. (MAT,SERV &amp; EQUIPO)'!S66</f>
        <v>0</v>
      </c>
      <c r="K96" s="259">
        <f>'F07 OPERAC. (MAT,SERV &amp; EQUIPO)'!T66</f>
        <v>0</v>
      </c>
      <c r="L96" s="259">
        <f>'F07 OPERAC. (MAT,SERV &amp; EQUIPO)'!U66</f>
        <v>0</v>
      </c>
      <c r="M96" s="259">
        <f>'F07 OPERAC. (MAT,SERV &amp; EQUIPO)'!V66</f>
        <v>0</v>
      </c>
      <c r="N96" s="259">
        <f>'F07 OPERAC. (MAT,SERV &amp; EQUIPO)'!W66</f>
        <v>0</v>
      </c>
      <c r="O96" s="259">
        <f>'F07 OPERAC. (MAT,SERV &amp; EQUIPO)'!X66</f>
        <v>0</v>
      </c>
      <c r="P96" s="259">
        <f>'F07 OPERAC. (MAT,SERV &amp; EQUIPO)'!Y66</f>
        <v>0</v>
      </c>
      <c r="Q96" s="380">
        <f t="shared" si="11"/>
        <v>0</v>
      </c>
    </row>
    <row r="97" spans="1:17" ht="20.149999999999999" hidden="1" customHeight="1" outlineLevel="1" x14ac:dyDescent="0.35">
      <c r="A97" s="255" t="s">
        <v>191</v>
      </c>
      <c r="B97" s="262">
        <f t="shared" si="16"/>
        <v>0</v>
      </c>
      <c r="C97" s="262">
        <f>'F07 OPERAC. (MAT,SERV &amp; EQUIPO)'!L67</f>
        <v>0</v>
      </c>
      <c r="D97" s="262">
        <f>'F07 OPERAC. (MAT,SERV &amp; EQUIPO)'!M67</f>
        <v>0</v>
      </c>
      <c r="E97" s="262">
        <f>'F07 OPERAC. (MAT,SERV &amp; EQUIPO)'!N67</f>
        <v>0</v>
      </c>
      <c r="F97" s="262">
        <f>'F07 OPERAC. (MAT,SERV &amp; EQUIPO)'!O67</f>
        <v>0</v>
      </c>
      <c r="G97" s="262">
        <f>'F07 OPERAC. (MAT,SERV &amp; EQUIPO)'!P67</f>
        <v>0</v>
      </c>
      <c r="H97" s="262">
        <f>'F07 OPERAC. (MAT,SERV &amp; EQUIPO)'!Q67</f>
        <v>0</v>
      </c>
      <c r="I97" s="262">
        <f>'F07 OPERAC. (MAT,SERV &amp; EQUIPO)'!R67</f>
        <v>0</v>
      </c>
      <c r="J97" s="262">
        <f>'F07 OPERAC. (MAT,SERV &amp; EQUIPO)'!S67</f>
        <v>0</v>
      </c>
      <c r="K97" s="262">
        <f>'F07 OPERAC. (MAT,SERV &amp; EQUIPO)'!T67</f>
        <v>0</v>
      </c>
      <c r="L97" s="262">
        <f>'F07 OPERAC. (MAT,SERV &amp; EQUIPO)'!U67</f>
        <v>0</v>
      </c>
      <c r="M97" s="262">
        <f>'F07 OPERAC. (MAT,SERV &amp; EQUIPO)'!V67</f>
        <v>0</v>
      </c>
      <c r="N97" s="262">
        <f>'F07 OPERAC. (MAT,SERV &amp; EQUIPO)'!W67</f>
        <v>0</v>
      </c>
      <c r="O97" s="262">
        <f>'F07 OPERAC. (MAT,SERV &amp; EQUIPO)'!X67</f>
        <v>0</v>
      </c>
      <c r="P97" s="262">
        <f>'F07 OPERAC. (MAT,SERV &amp; EQUIPO)'!Y67</f>
        <v>0</v>
      </c>
      <c r="Q97" s="380">
        <f t="shared" si="11"/>
        <v>0</v>
      </c>
    </row>
    <row r="98" spans="1:17" ht="20.149999999999999" hidden="1" customHeight="1" outlineLevel="1" x14ac:dyDescent="0.35">
      <c r="A98" s="258" t="s">
        <v>192</v>
      </c>
      <c r="B98" s="262">
        <f t="shared" si="16"/>
        <v>1938545.66</v>
      </c>
      <c r="C98" s="259">
        <f>'F07 OPERAC. (MAT,SERV &amp; EQUIPO)'!L68</f>
        <v>1938545.66</v>
      </c>
      <c r="D98" s="259">
        <f>'F07 OPERAC. (MAT,SERV &amp; EQUIPO)'!M68</f>
        <v>0</v>
      </c>
      <c r="E98" s="259">
        <f>'F07 OPERAC. (MAT,SERV &amp; EQUIPO)'!N68</f>
        <v>0</v>
      </c>
      <c r="F98" s="259">
        <f>'F07 OPERAC. (MAT,SERV &amp; EQUIPO)'!O68</f>
        <v>0</v>
      </c>
      <c r="G98" s="259">
        <f>'F07 OPERAC. (MAT,SERV &amp; EQUIPO)'!P68</f>
        <v>0</v>
      </c>
      <c r="H98" s="259">
        <f>'F07 OPERAC. (MAT,SERV &amp; EQUIPO)'!Q68</f>
        <v>0</v>
      </c>
      <c r="I98" s="259">
        <f>'F07 OPERAC. (MAT,SERV &amp; EQUIPO)'!R68</f>
        <v>0</v>
      </c>
      <c r="J98" s="259">
        <f>'F07 OPERAC. (MAT,SERV &amp; EQUIPO)'!S68</f>
        <v>0</v>
      </c>
      <c r="K98" s="259">
        <f>'F07 OPERAC. (MAT,SERV &amp; EQUIPO)'!T68</f>
        <v>0</v>
      </c>
      <c r="L98" s="259">
        <f>'F07 OPERAC. (MAT,SERV &amp; EQUIPO)'!U68</f>
        <v>0</v>
      </c>
      <c r="M98" s="259">
        <f>'F07 OPERAC. (MAT,SERV &amp; EQUIPO)'!V68</f>
        <v>0</v>
      </c>
      <c r="N98" s="259">
        <f>'F07 OPERAC. (MAT,SERV &amp; EQUIPO)'!W68</f>
        <v>0</v>
      </c>
      <c r="O98" s="259">
        <f>'F07 OPERAC. (MAT,SERV &amp; EQUIPO)'!X68</f>
        <v>0</v>
      </c>
      <c r="P98" s="259">
        <f>'F07 OPERAC. (MAT,SERV &amp; EQUIPO)'!Y68</f>
        <v>0</v>
      </c>
      <c r="Q98" s="380">
        <f t="shared" si="11"/>
        <v>8.3330283503257357E-2</v>
      </c>
    </row>
    <row r="99" spans="1:17" ht="20.149999999999999" hidden="1" customHeight="1" outlineLevel="1" x14ac:dyDescent="0.35">
      <c r="A99" s="255" t="s">
        <v>193</v>
      </c>
      <c r="B99" s="262">
        <f t="shared" si="16"/>
        <v>0</v>
      </c>
      <c r="C99" s="262">
        <f>'F07 OPERAC. (MAT,SERV &amp; EQUIPO)'!L69</f>
        <v>0</v>
      </c>
      <c r="D99" s="262">
        <f>'F07 OPERAC. (MAT,SERV &amp; EQUIPO)'!M69</f>
        <v>0</v>
      </c>
      <c r="E99" s="262">
        <f>'F07 OPERAC. (MAT,SERV &amp; EQUIPO)'!N69</f>
        <v>0</v>
      </c>
      <c r="F99" s="262">
        <f>'F07 OPERAC. (MAT,SERV &amp; EQUIPO)'!O69</f>
        <v>0</v>
      </c>
      <c r="G99" s="262">
        <f>'F07 OPERAC. (MAT,SERV &amp; EQUIPO)'!P69</f>
        <v>0</v>
      </c>
      <c r="H99" s="262">
        <f>'F07 OPERAC. (MAT,SERV &amp; EQUIPO)'!Q69</f>
        <v>0</v>
      </c>
      <c r="I99" s="262">
        <f>'F07 OPERAC. (MAT,SERV &amp; EQUIPO)'!R69</f>
        <v>0</v>
      </c>
      <c r="J99" s="262">
        <f>'F07 OPERAC. (MAT,SERV &amp; EQUIPO)'!S69</f>
        <v>0</v>
      </c>
      <c r="K99" s="262">
        <f>'F07 OPERAC. (MAT,SERV &amp; EQUIPO)'!T69</f>
        <v>0</v>
      </c>
      <c r="L99" s="262">
        <f>'F07 OPERAC. (MAT,SERV &amp; EQUIPO)'!U69</f>
        <v>0</v>
      </c>
      <c r="M99" s="262">
        <f>'F07 OPERAC. (MAT,SERV &amp; EQUIPO)'!V69</f>
        <v>0</v>
      </c>
      <c r="N99" s="262">
        <f>'F07 OPERAC. (MAT,SERV &amp; EQUIPO)'!W69</f>
        <v>0</v>
      </c>
      <c r="O99" s="262">
        <f>'F07 OPERAC. (MAT,SERV &amp; EQUIPO)'!X69</f>
        <v>0</v>
      </c>
      <c r="P99" s="262">
        <f>'F07 OPERAC. (MAT,SERV &amp; EQUIPO)'!Y69</f>
        <v>0</v>
      </c>
      <c r="Q99" s="380">
        <f t="shared" si="11"/>
        <v>0</v>
      </c>
    </row>
    <row r="100" spans="1:17" ht="20.149999999999999" hidden="1" customHeight="1" outlineLevel="1" x14ac:dyDescent="0.35">
      <c r="A100" s="258" t="s">
        <v>194</v>
      </c>
      <c r="B100" s="262">
        <f t="shared" si="16"/>
        <v>0</v>
      </c>
      <c r="C100" s="259">
        <f>'F07 OPERAC. (MAT,SERV &amp; EQUIPO)'!L70</f>
        <v>0</v>
      </c>
      <c r="D100" s="259">
        <f>'F07 OPERAC. (MAT,SERV &amp; EQUIPO)'!M70</f>
        <v>0</v>
      </c>
      <c r="E100" s="259">
        <f>'F07 OPERAC. (MAT,SERV &amp; EQUIPO)'!N70</f>
        <v>0</v>
      </c>
      <c r="F100" s="259">
        <f>'F07 OPERAC. (MAT,SERV &amp; EQUIPO)'!O70</f>
        <v>0</v>
      </c>
      <c r="G100" s="259">
        <f>'F07 OPERAC. (MAT,SERV &amp; EQUIPO)'!P70</f>
        <v>0</v>
      </c>
      <c r="H100" s="259">
        <f>'F07 OPERAC. (MAT,SERV &amp; EQUIPO)'!Q70</f>
        <v>0</v>
      </c>
      <c r="I100" s="259">
        <f>'F07 OPERAC. (MAT,SERV &amp; EQUIPO)'!R70</f>
        <v>0</v>
      </c>
      <c r="J100" s="259">
        <f>'F07 OPERAC. (MAT,SERV &amp; EQUIPO)'!S70</f>
        <v>0</v>
      </c>
      <c r="K100" s="259">
        <f>'F07 OPERAC. (MAT,SERV &amp; EQUIPO)'!T70</f>
        <v>0</v>
      </c>
      <c r="L100" s="259">
        <f>'F07 OPERAC. (MAT,SERV &amp; EQUIPO)'!U70</f>
        <v>0</v>
      </c>
      <c r="M100" s="259">
        <f>'F07 OPERAC. (MAT,SERV &amp; EQUIPO)'!V70</f>
        <v>0</v>
      </c>
      <c r="N100" s="259">
        <f>'F07 OPERAC. (MAT,SERV &amp; EQUIPO)'!W70</f>
        <v>0</v>
      </c>
      <c r="O100" s="259">
        <f>'F07 OPERAC. (MAT,SERV &amp; EQUIPO)'!X70</f>
        <v>0</v>
      </c>
      <c r="P100" s="259">
        <f>'F07 OPERAC. (MAT,SERV &amp; EQUIPO)'!Y70</f>
        <v>0</v>
      </c>
      <c r="Q100" s="380">
        <f t="shared" si="11"/>
        <v>0</v>
      </c>
    </row>
    <row r="101" spans="1:17" ht="20.149999999999999" hidden="1" customHeight="1" outlineLevel="1" x14ac:dyDescent="0.35">
      <c r="A101" s="255" t="s">
        <v>195</v>
      </c>
      <c r="B101" s="262">
        <f t="shared" si="16"/>
        <v>0</v>
      </c>
      <c r="C101" s="262">
        <f>'F07 OPERAC. (MAT,SERV &amp; EQUIPO)'!L71</f>
        <v>0</v>
      </c>
      <c r="D101" s="262">
        <f>'F07 OPERAC. (MAT,SERV &amp; EQUIPO)'!M71</f>
        <v>0</v>
      </c>
      <c r="E101" s="262">
        <f>'F07 OPERAC. (MAT,SERV &amp; EQUIPO)'!N71</f>
        <v>0</v>
      </c>
      <c r="F101" s="262">
        <f>'F07 OPERAC. (MAT,SERV &amp; EQUIPO)'!O71</f>
        <v>0</v>
      </c>
      <c r="G101" s="262">
        <f>'F07 OPERAC. (MAT,SERV &amp; EQUIPO)'!P71</f>
        <v>0</v>
      </c>
      <c r="H101" s="262">
        <f>'F07 OPERAC. (MAT,SERV &amp; EQUIPO)'!Q71</f>
        <v>0</v>
      </c>
      <c r="I101" s="262">
        <f>'F07 OPERAC. (MAT,SERV &amp; EQUIPO)'!R71</f>
        <v>0</v>
      </c>
      <c r="J101" s="262">
        <f>'F07 OPERAC. (MAT,SERV &amp; EQUIPO)'!S71</f>
        <v>0</v>
      </c>
      <c r="K101" s="262">
        <f>'F07 OPERAC. (MAT,SERV &amp; EQUIPO)'!T71</f>
        <v>0</v>
      </c>
      <c r="L101" s="262">
        <f>'F07 OPERAC. (MAT,SERV &amp; EQUIPO)'!U71</f>
        <v>0</v>
      </c>
      <c r="M101" s="262">
        <f>'F07 OPERAC. (MAT,SERV &amp; EQUIPO)'!V71</f>
        <v>0</v>
      </c>
      <c r="N101" s="262">
        <f>'F07 OPERAC. (MAT,SERV &amp; EQUIPO)'!W71</f>
        <v>0</v>
      </c>
      <c r="O101" s="262">
        <f>'F07 OPERAC. (MAT,SERV &amp; EQUIPO)'!X71</f>
        <v>0</v>
      </c>
      <c r="P101" s="262">
        <f>'F07 OPERAC. (MAT,SERV &amp; EQUIPO)'!Y71</f>
        <v>0</v>
      </c>
      <c r="Q101" s="380">
        <f t="shared" si="11"/>
        <v>0</v>
      </c>
    </row>
    <row r="102" spans="1:17" ht="20.149999999999999" hidden="1" customHeight="1" outlineLevel="1" x14ac:dyDescent="0.35">
      <c r="A102" s="255" t="s">
        <v>196</v>
      </c>
      <c r="B102" s="262">
        <f t="shared" si="16"/>
        <v>6432.92</v>
      </c>
      <c r="C102" s="262">
        <f>'F07 OPERAC. (MAT,SERV &amp; EQUIPO)'!L72</f>
        <v>3216.46</v>
      </c>
      <c r="D102" s="262">
        <f>'F07 OPERAC. (MAT,SERV &amp; EQUIPO)'!M72</f>
        <v>3216.46</v>
      </c>
      <c r="E102" s="262">
        <f>'F07 OPERAC. (MAT,SERV &amp; EQUIPO)'!N72</f>
        <v>0</v>
      </c>
      <c r="F102" s="262">
        <f>'F07 OPERAC. (MAT,SERV &amp; EQUIPO)'!O72</f>
        <v>0</v>
      </c>
      <c r="G102" s="262">
        <f>'F07 OPERAC. (MAT,SERV &amp; EQUIPO)'!P72</f>
        <v>0</v>
      </c>
      <c r="H102" s="262">
        <f>'F07 OPERAC. (MAT,SERV &amp; EQUIPO)'!Q72</f>
        <v>0</v>
      </c>
      <c r="I102" s="262">
        <f>'F07 OPERAC. (MAT,SERV &amp; EQUIPO)'!R72</f>
        <v>0</v>
      </c>
      <c r="J102" s="262">
        <f>'F07 OPERAC. (MAT,SERV &amp; EQUIPO)'!S72</f>
        <v>0</v>
      </c>
      <c r="K102" s="262">
        <f>'F07 OPERAC. (MAT,SERV &amp; EQUIPO)'!T72</f>
        <v>0</v>
      </c>
      <c r="L102" s="262">
        <f>'F07 OPERAC. (MAT,SERV &amp; EQUIPO)'!U72</f>
        <v>0</v>
      </c>
      <c r="M102" s="262">
        <f>'F07 OPERAC. (MAT,SERV &amp; EQUIPO)'!V72</f>
        <v>0</v>
      </c>
      <c r="N102" s="262">
        <f>'F07 OPERAC. (MAT,SERV &amp; EQUIPO)'!W72</f>
        <v>0</v>
      </c>
      <c r="O102" s="262">
        <f>'F07 OPERAC. (MAT,SERV &amp; EQUIPO)'!X72</f>
        <v>0</v>
      </c>
      <c r="P102" s="262">
        <f>'F07 OPERAC. (MAT,SERV &amp; EQUIPO)'!Y72</f>
        <v>0</v>
      </c>
      <c r="Q102" s="380">
        <f t="shared" si="11"/>
        <v>2.7652536559483171E-4</v>
      </c>
    </row>
    <row r="103" spans="1:17" ht="20.149999999999999" hidden="1" customHeight="1" outlineLevel="1" x14ac:dyDescent="0.35">
      <c r="A103" s="258" t="s">
        <v>197</v>
      </c>
      <c r="B103" s="262">
        <f t="shared" si="16"/>
        <v>0</v>
      </c>
      <c r="C103" s="259">
        <f>'F07 OPERAC. (MAT,SERV &amp; EQUIPO)'!L73</f>
        <v>0</v>
      </c>
      <c r="D103" s="259">
        <f>'F07 OPERAC. (MAT,SERV &amp; EQUIPO)'!M73</f>
        <v>0</v>
      </c>
      <c r="E103" s="259">
        <f>'F07 OPERAC. (MAT,SERV &amp; EQUIPO)'!N73</f>
        <v>0</v>
      </c>
      <c r="F103" s="259">
        <f>'F07 OPERAC. (MAT,SERV &amp; EQUIPO)'!O73</f>
        <v>0</v>
      </c>
      <c r="G103" s="259">
        <f>'F07 OPERAC. (MAT,SERV &amp; EQUIPO)'!P73</f>
        <v>0</v>
      </c>
      <c r="H103" s="259">
        <f>'F07 OPERAC. (MAT,SERV &amp; EQUIPO)'!Q73</f>
        <v>0</v>
      </c>
      <c r="I103" s="259">
        <f>'F07 OPERAC. (MAT,SERV &amp; EQUIPO)'!R73</f>
        <v>0</v>
      </c>
      <c r="J103" s="259">
        <f>'F07 OPERAC. (MAT,SERV &amp; EQUIPO)'!S73</f>
        <v>0</v>
      </c>
      <c r="K103" s="259">
        <f>'F07 OPERAC. (MAT,SERV &amp; EQUIPO)'!T73</f>
        <v>0</v>
      </c>
      <c r="L103" s="259">
        <f>'F07 OPERAC. (MAT,SERV &amp; EQUIPO)'!U73</f>
        <v>0</v>
      </c>
      <c r="M103" s="259">
        <f>'F07 OPERAC. (MAT,SERV &amp; EQUIPO)'!V73</f>
        <v>0</v>
      </c>
      <c r="N103" s="259">
        <f>'F07 OPERAC. (MAT,SERV &amp; EQUIPO)'!W73</f>
        <v>0</v>
      </c>
      <c r="O103" s="259">
        <f>'F07 OPERAC. (MAT,SERV &amp; EQUIPO)'!X73</f>
        <v>0</v>
      </c>
      <c r="P103" s="259">
        <f>'F07 OPERAC. (MAT,SERV &amp; EQUIPO)'!Y73</f>
        <v>0</v>
      </c>
      <c r="Q103" s="380">
        <f t="shared" si="11"/>
        <v>0</v>
      </c>
    </row>
    <row r="104" spans="1:17" ht="20.149999999999999" hidden="1" customHeight="1" outlineLevel="1" x14ac:dyDescent="0.35">
      <c r="A104" s="255" t="s">
        <v>198</v>
      </c>
      <c r="B104" s="262">
        <f t="shared" si="16"/>
        <v>0</v>
      </c>
      <c r="C104" s="262">
        <f>'F07 OPERAC. (MAT,SERV &amp; EQUIPO)'!L74</f>
        <v>0</v>
      </c>
      <c r="D104" s="262">
        <f>'F07 OPERAC. (MAT,SERV &amp; EQUIPO)'!M74</f>
        <v>0</v>
      </c>
      <c r="E104" s="262">
        <f>'F07 OPERAC. (MAT,SERV &amp; EQUIPO)'!N74</f>
        <v>0</v>
      </c>
      <c r="F104" s="262">
        <f>'F07 OPERAC. (MAT,SERV &amp; EQUIPO)'!O74</f>
        <v>0</v>
      </c>
      <c r="G104" s="262">
        <f>'F07 OPERAC. (MAT,SERV &amp; EQUIPO)'!P74</f>
        <v>0</v>
      </c>
      <c r="H104" s="262">
        <f>'F07 OPERAC. (MAT,SERV &amp; EQUIPO)'!Q74</f>
        <v>0</v>
      </c>
      <c r="I104" s="262">
        <f>'F07 OPERAC. (MAT,SERV &amp; EQUIPO)'!R74</f>
        <v>0</v>
      </c>
      <c r="J104" s="262">
        <f>'F07 OPERAC. (MAT,SERV &amp; EQUIPO)'!S74</f>
        <v>0</v>
      </c>
      <c r="K104" s="262">
        <f>'F07 OPERAC. (MAT,SERV &amp; EQUIPO)'!T74</f>
        <v>0</v>
      </c>
      <c r="L104" s="262">
        <f>'F07 OPERAC. (MAT,SERV &amp; EQUIPO)'!U74</f>
        <v>0</v>
      </c>
      <c r="M104" s="262">
        <f>'F07 OPERAC. (MAT,SERV &amp; EQUIPO)'!V74</f>
        <v>0</v>
      </c>
      <c r="N104" s="262">
        <f>'F07 OPERAC. (MAT,SERV &amp; EQUIPO)'!W74</f>
        <v>0</v>
      </c>
      <c r="O104" s="262">
        <f>'F07 OPERAC. (MAT,SERV &amp; EQUIPO)'!X74</f>
        <v>0</v>
      </c>
      <c r="P104" s="262">
        <f>'F07 OPERAC. (MAT,SERV &amp; EQUIPO)'!Y74</f>
        <v>0</v>
      </c>
      <c r="Q104" s="380">
        <f t="shared" ref="Q104:Q135" si="17">B104/$B$162</f>
        <v>0</v>
      </c>
    </row>
    <row r="105" spans="1:17" ht="20.149999999999999" hidden="1" customHeight="1" outlineLevel="1" x14ac:dyDescent="0.35">
      <c r="A105" s="258" t="s">
        <v>199</v>
      </c>
      <c r="B105" s="262">
        <f t="shared" si="16"/>
        <v>0</v>
      </c>
      <c r="C105" s="259">
        <f>'F07 OPERAC. (MAT,SERV &amp; EQUIPO)'!L75</f>
        <v>0</v>
      </c>
      <c r="D105" s="259">
        <f>'F07 OPERAC. (MAT,SERV &amp; EQUIPO)'!M75</f>
        <v>0</v>
      </c>
      <c r="E105" s="259">
        <f>'F07 OPERAC. (MAT,SERV &amp; EQUIPO)'!N75</f>
        <v>0</v>
      </c>
      <c r="F105" s="259">
        <f>'F07 OPERAC. (MAT,SERV &amp; EQUIPO)'!O75</f>
        <v>0</v>
      </c>
      <c r="G105" s="259">
        <f>'F07 OPERAC. (MAT,SERV &amp; EQUIPO)'!P75</f>
        <v>0</v>
      </c>
      <c r="H105" s="259">
        <f>'F07 OPERAC. (MAT,SERV &amp; EQUIPO)'!Q75</f>
        <v>0</v>
      </c>
      <c r="I105" s="259">
        <f>'F07 OPERAC. (MAT,SERV &amp; EQUIPO)'!R75</f>
        <v>0</v>
      </c>
      <c r="J105" s="259">
        <f>'F07 OPERAC. (MAT,SERV &amp; EQUIPO)'!S75</f>
        <v>0</v>
      </c>
      <c r="K105" s="259">
        <f>'F07 OPERAC. (MAT,SERV &amp; EQUIPO)'!T75</f>
        <v>0</v>
      </c>
      <c r="L105" s="259">
        <f>'F07 OPERAC. (MAT,SERV &amp; EQUIPO)'!U75</f>
        <v>0</v>
      </c>
      <c r="M105" s="259">
        <f>'F07 OPERAC. (MAT,SERV &amp; EQUIPO)'!V75</f>
        <v>0</v>
      </c>
      <c r="N105" s="259">
        <f>'F07 OPERAC. (MAT,SERV &amp; EQUIPO)'!W75</f>
        <v>0</v>
      </c>
      <c r="O105" s="259">
        <f>'F07 OPERAC. (MAT,SERV &amp; EQUIPO)'!X75</f>
        <v>0</v>
      </c>
      <c r="P105" s="259">
        <f>'F07 OPERAC. (MAT,SERV &amp; EQUIPO)'!Y75</f>
        <v>0</v>
      </c>
      <c r="Q105" s="380">
        <f t="shared" si="17"/>
        <v>0</v>
      </c>
    </row>
    <row r="106" spans="1:17" ht="20.149999999999999" hidden="1" customHeight="1" outlineLevel="1" x14ac:dyDescent="0.35">
      <c r="A106" s="255" t="s">
        <v>200</v>
      </c>
      <c r="B106" s="262">
        <f t="shared" si="16"/>
        <v>1189320.82</v>
      </c>
      <c r="C106" s="262">
        <f>'F07 OPERAC. (MAT,SERV &amp; EQUIPO)'!L76</f>
        <v>0</v>
      </c>
      <c r="D106" s="262">
        <f>'F07 OPERAC. (MAT,SERV &amp; EQUIPO)'!M76</f>
        <v>1189320.82</v>
      </c>
      <c r="E106" s="262">
        <f>'F07 OPERAC. (MAT,SERV &amp; EQUIPO)'!N76</f>
        <v>0</v>
      </c>
      <c r="F106" s="262">
        <f>'F07 OPERAC. (MAT,SERV &amp; EQUIPO)'!O76</f>
        <v>0</v>
      </c>
      <c r="G106" s="262">
        <f>'F07 OPERAC. (MAT,SERV &amp; EQUIPO)'!P76</f>
        <v>0</v>
      </c>
      <c r="H106" s="262">
        <f>'F07 OPERAC. (MAT,SERV &amp; EQUIPO)'!Q76</f>
        <v>0</v>
      </c>
      <c r="I106" s="262">
        <f>'F07 OPERAC. (MAT,SERV &amp; EQUIPO)'!R76</f>
        <v>0</v>
      </c>
      <c r="J106" s="262">
        <f>'F07 OPERAC. (MAT,SERV &amp; EQUIPO)'!S76</f>
        <v>0</v>
      </c>
      <c r="K106" s="262">
        <f>'F07 OPERAC. (MAT,SERV &amp; EQUIPO)'!T76</f>
        <v>0</v>
      </c>
      <c r="L106" s="262">
        <f>'F07 OPERAC. (MAT,SERV &amp; EQUIPO)'!U76</f>
        <v>0</v>
      </c>
      <c r="M106" s="262">
        <f>'F07 OPERAC. (MAT,SERV &amp; EQUIPO)'!V76</f>
        <v>0</v>
      </c>
      <c r="N106" s="262">
        <f>'F07 OPERAC. (MAT,SERV &amp; EQUIPO)'!W76</f>
        <v>0</v>
      </c>
      <c r="O106" s="262">
        <f>'F07 OPERAC. (MAT,SERV &amp; EQUIPO)'!X76</f>
        <v>0</v>
      </c>
      <c r="P106" s="262">
        <f>'F07 OPERAC. (MAT,SERV &amp; EQUIPO)'!Y76</f>
        <v>0</v>
      </c>
      <c r="Q106" s="380">
        <f t="shared" si="17"/>
        <v>5.1124120082333538E-2</v>
      </c>
    </row>
    <row r="107" spans="1:17" ht="20.149999999999999" hidden="1" customHeight="1" outlineLevel="1" x14ac:dyDescent="0.35">
      <c r="A107" s="258" t="s">
        <v>201</v>
      </c>
      <c r="B107" s="262">
        <f t="shared" si="16"/>
        <v>0</v>
      </c>
      <c r="C107" s="259">
        <f>'F07 OPERAC. (MAT,SERV &amp; EQUIPO)'!L77</f>
        <v>0</v>
      </c>
      <c r="D107" s="259">
        <f>'F07 OPERAC. (MAT,SERV &amp; EQUIPO)'!M77</f>
        <v>0</v>
      </c>
      <c r="E107" s="259">
        <f>'F07 OPERAC. (MAT,SERV &amp; EQUIPO)'!N77</f>
        <v>0</v>
      </c>
      <c r="F107" s="259">
        <f>'F07 OPERAC. (MAT,SERV &amp; EQUIPO)'!O77</f>
        <v>0</v>
      </c>
      <c r="G107" s="259">
        <f>'F07 OPERAC. (MAT,SERV &amp; EQUIPO)'!P77</f>
        <v>0</v>
      </c>
      <c r="H107" s="259">
        <f>'F07 OPERAC. (MAT,SERV &amp; EQUIPO)'!Q77</f>
        <v>0</v>
      </c>
      <c r="I107" s="259">
        <f>'F07 OPERAC. (MAT,SERV &amp; EQUIPO)'!R77</f>
        <v>0</v>
      </c>
      <c r="J107" s="259">
        <f>'F07 OPERAC. (MAT,SERV &amp; EQUIPO)'!S77</f>
        <v>0</v>
      </c>
      <c r="K107" s="259">
        <f>'F07 OPERAC. (MAT,SERV &amp; EQUIPO)'!T77</f>
        <v>0</v>
      </c>
      <c r="L107" s="259">
        <f>'F07 OPERAC. (MAT,SERV &amp; EQUIPO)'!U77</f>
        <v>0</v>
      </c>
      <c r="M107" s="259">
        <f>'F07 OPERAC. (MAT,SERV &amp; EQUIPO)'!V77</f>
        <v>0</v>
      </c>
      <c r="N107" s="259">
        <f>'F07 OPERAC. (MAT,SERV &amp; EQUIPO)'!W77</f>
        <v>0</v>
      </c>
      <c r="O107" s="259">
        <f>'F07 OPERAC. (MAT,SERV &amp; EQUIPO)'!X77</f>
        <v>0</v>
      </c>
      <c r="P107" s="259">
        <f>'F07 OPERAC. (MAT,SERV &amp; EQUIPO)'!Y77</f>
        <v>0</v>
      </c>
      <c r="Q107" s="380">
        <f t="shared" si="17"/>
        <v>0</v>
      </c>
    </row>
    <row r="108" spans="1:17" ht="20.149999999999999" hidden="1" customHeight="1" outlineLevel="1" x14ac:dyDescent="0.35">
      <c r="A108" s="255" t="s">
        <v>202</v>
      </c>
      <c r="B108" s="262">
        <f t="shared" si="16"/>
        <v>0</v>
      </c>
      <c r="C108" s="262">
        <f>'F07 OPERAC. (MAT,SERV &amp; EQUIPO)'!L78</f>
        <v>0</v>
      </c>
      <c r="D108" s="262">
        <f>'F07 OPERAC. (MAT,SERV &amp; EQUIPO)'!M78</f>
        <v>0</v>
      </c>
      <c r="E108" s="262">
        <f>'F07 OPERAC. (MAT,SERV &amp; EQUIPO)'!N78</f>
        <v>0</v>
      </c>
      <c r="F108" s="262">
        <f>'F07 OPERAC. (MAT,SERV &amp; EQUIPO)'!O78</f>
        <v>0</v>
      </c>
      <c r="G108" s="262">
        <f>'F07 OPERAC. (MAT,SERV &amp; EQUIPO)'!P78</f>
        <v>0</v>
      </c>
      <c r="H108" s="262">
        <f>'F07 OPERAC. (MAT,SERV &amp; EQUIPO)'!Q78</f>
        <v>0</v>
      </c>
      <c r="I108" s="262">
        <f>'F07 OPERAC. (MAT,SERV &amp; EQUIPO)'!R78</f>
        <v>0</v>
      </c>
      <c r="J108" s="262">
        <f>'F07 OPERAC. (MAT,SERV &amp; EQUIPO)'!S78</f>
        <v>0</v>
      </c>
      <c r="K108" s="262">
        <f>'F07 OPERAC. (MAT,SERV &amp; EQUIPO)'!T78</f>
        <v>0</v>
      </c>
      <c r="L108" s="262">
        <f>'F07 OPERAC. (MAT,SERV &amp; EQUIPO)'!U78</f>
        <v>0</v>
      </c>
      <c r="M108" s="262">
        <f>'F07 OPERAC. (MAT,SERV &amp; EQUIPO)'!V78</f>
        <v>0</v>
      </c>
      <c r="N108" s="262">
        <f>'F07 OPERAC. (MAT,SERV &amp; EQUIPO)'!W78</f>
        <v>0</v>
      </c>
      <c r="O108" s="262">
        <f>'F07 OPERAC. (MAT,SERV &amp; EQUIPO)'!X78</f>
        <v>0</v>
      </c>
      <c r="P108" s="262">
        <f>'F07 OPERAC. (MAT,SERV &amp; EQUIPO)'!Y78</f>
        <v>0</v>
      </c>
      <c r="Q108" s="380">
        <f t="shared" si="17"/>
        <v>0</v>
      </c>
    </row>
    <row r="109" spans="1:17" ht="20.149999999999999" hidden="1" customHeight="1" outlineLevel="1" x14ac:dyDescent="0.35">
      <c r="A109" s="258" t="s">
        <v>203</v>
      </c>
      <c r="B109" s="262">
        <f t="shared" si="16"/>
        <v>0</v>
      </c>
      <c r="C109" s="259">
        <f>'F07 OPERAC. (MAT,SERV &amp; EQUIPO)'!L79</f>
        <v>0</v>
      </c>
      <c r="D109" s="259">
        <f>'F07 OPERAC. (MAT,SERV &amp; EQUIPO)'!M79</f>
        <v>0</v>
      </c>
      <c r="E109" s="259">
        <f>'F07 OPERAC. (MAT,SERV &amp; EQUIPO)'!N79</f>
        <v>0</v>
      </c>
      <c r="F109" s="259">
        <f>'F07 OPERAC. (MAT,SERV &amp; EQUIPO)'!O79</f>
        <v>0</v>
      </c>
      <c r="G109" s="259">
        <f>'F07 OPERAC. (MAT,SERV &amp; EQUIPO)'!P79</f>
        <v>0</v>
      </c>
      <c r="H109" s="259">
        <f>'F07 OPERAC. (MAT,SERV &amp; EQUIPO)'!Q79</f>
        <v>0</v>
      </c>
      <c r="I109" s="259">
        <f>'F07 OPERAC. (MAT,SERV &amp; EQUIPO)'!R79</f>
        <v>0</v>
      </c>
      <c r="J109" s="259">
        <f>'F07 OPERAC. (MAT,SERV &amp; EQUIPO)'!S79</f>
        <v>0</v>
      </c>
      <c r="K109" s="259">
        <f>'F07 OPERAC. (MAT,SERV &amp; EQUIPO)'!T79</f>
        <v>0</v>
      </c>
      <c r="L109" s="259">
        <f>'F07 OPERAC. (MAT,SERV &amp; EQUIPO)'!U79</f>
        <v>0</v>
      </c>
      <c r="M109" s="259">
        <f>'F07 OPERAC. (MAT,SERV &amp; EQUIPO)'!V79</f>
        <v>0</v>
      </c>
      <c r="N109" s="259">
        <f>'F07 OPERAC. (MAT,SERV &amp; EQUIPO)'!W79</f>
        <v>0</v>
      </c>
      <c r="O109" s="259">
        <f>'F07 OPERAC. (MAT,SERV &amp; EQUIPO)'!X79</f>
        <v>0</v>
      </c>
      <c r="P109" s="259">
        <f>'F07 OPERAC. (MAT,SERV &amp; EQUIPO)'!Y79</f>
        <v>0</v>
      </c>
      <c r="Q109" s="380">
        <f t="shared" si="17"/>
        <v>0</v>
      </c>
    </row>
    <row r="110" spans="1:17" ht="20.149999999999999" hidden="1" customHeight="1" outlineLevel="1" x14ac:dyDescent="0.35">
      <c r="A110" s="255" t="s">
        <v>204</v>
      </c>
      <c r="B110" s="262">
        <f t="shared" si="16"/>
        <v>0</v>
      </c>
      <c r="C110" s="262">
        <f>'F07 OPERAC. (MAT,SERV &amp; EQUIPO)'!L80</f>
        <v>0</v>
      </c>
      <c r="D110" s="262">
        <f>'F07 OPERAC. (MAT,SERV &amp; EQUIPO)'!M80</f>
        <v>0</v>
      </c>
      <c r="E110" s="262">
        <f>'F07 OPERAC. (MAT,SERV &amp; EQUIPO)'!N80</f>
        <v>0</v>
      </c>
      <c r="F110" s="262">
        <f>'F07 OPERAC. (MAT,SERV &amp; EQUIPO)'!O80</f>
        <v>0</v>
      </c>
      <c r="G110" s="262">
        <f>'F07 OPERAC. (MAT,SERV &amp; EQUIPO)'!P80</f>
        <v>0</v>
      </c>
      <c r="H110" s="262">
        <f>'F07 OPERAC. (MAT,SERV &amp; EQUIPO)'!Q80</f>
        <v>0</v>
      </c>
      <c r="I110" s="262">
        <f>'F07 OPERAC. (MAT,SERV &amp; EQUIPO)'!R80</f>
        <v>0</v>
      </c>
      <c r="J110" s="262">
        <f>'F07 OPERAC. (MAT,SERV &amp; EQUIPO)'!S80</f>
        <v>0</v>
      </c>
      <c r="K110" s="262">
        <f>'F07 OPERAC. (MAT,SERV &amp; EQUIPO)'!T80</f>
        <v>0</v>
      </c>
      <c r="L110" s="262">
        <f>'F07 OPERAC. (MAT,SERV &amp; EQUIPO)'!U80</f>
        <v>0</v>
      </c>
      <c r="M110" s="262">
        <f>'F07 OPERAC. (MAT,SERV &amp; EQUIPO)'!V80</f>
        <v>0</v>
      </c>
      <c r="N110" s="262">
        <f>'F07 OPERAC. (MAT,SERV &amp; EQUIPO)'!W80</f>
        <v>0</v>
      </c>
      <c r="O110" s="262">
        <f>'F07 OPERAC. (MAT,SERV &amp; EQUIPO)'!X80</f>
        <v>0</v>
      </c>
      <c r="P110" s="262">
        <f>'F07 OPERAC. (MAT,SERV &amp; EQUIPO)'!Y80</f>
        <v>0</v>
      </c>
      <c r="Q110" s="380">
        <f t="shared" si="17"/>
        <v>0</v>
      </c>
    </row>
    <row r="111" spans="1:17" ht="20.149999999999999" hidden="1" customHeight="1" outlineLevel="1" x14ac:dyDescent="0.35">
      <c r="A111" s="258" t="s">
        <v>205</v>
      </c>
      <c r="B111" s="262">
        <f t="shared" si="16"/>
        <v>0</v>
      </c>
      <c r="C111" s="259">
        <f>'F07 OPERAC. (MAT,SERV &amp; EQUIPO)'!L81</f>
        <v>0</v>
      </c>
      <c r="D111" s="259">
        <f>'F07 OPERAC. (MAT,SERV &amp; EQUIPO)'!M81</f>
        <v>0</v>
      </c>
      <c r="E111" s="259">
        <f>'F07 OPERAC. (MAT,SERV &amp; EQUIPO)'!N81</f>
        <v>0</v>
      </c>
      <c r="F111" s="259">
        <f>'F07 OPERAC. (MAT,SERV &amp; EQUIPO)'!O81</f>
        <v>0</v>
      </c>
      <c r="G111" s="259">
        <f>'F07 OPERAC. (MAT,SERV &amp; EQUIPO)'!P81</f>
        <v>0</v>
      </c>
      <c r="H111" s="259">
        <f>'F07 OPERAC. (MAT,SERV &amp; EQUIPO)'!Q81</f>
        <v>0</v>
      </c>
      <c r="I111" s="259">
        <f>'F07 OPERAC. (MAT,SERV &amp; EQUIPO)'!R81</f>
        <v>0</v>
      </c>
      <c r="J111" s="259">
        <f>'F07 OPERAC. (MAT,SERV &amp; EQUIPO)'!S81</f>
        <v>0</v>
      </c>
      <c r="K111" s="259">
        <f>'F07 OPERAC. (MAT,SERV &amp; EQUIPO)'!T81</f>
        <v>0</v>
      </c>
      <c r="L111" s="259">
        <f>'F07 OPERAC. (MAT,SERV &amp; EQUIPO)'!U81</f>
        <v>0</v>
      </c>
      <c r="M111" s="259">
        <f>'F07 OPERAC. (MAT,SERV &amp; EQUIPO)'!V81</f>
        <v>0</v>
      </c>
      <c r="N111" s="259">
        <f>'F07 OPERAC. (MAT,SERV &amp; EQUIPO)'!W81</f>
        <v>0</v>
      </c>
      <c r="O111" s="259">
        <f>'F07 OPERAC. (MAT,SERV &amp; EQUIPO)'!X81</f>
        <v>0</v>
      </c>
      <c r="P111" s="259">
        <f>'F07 OPERAC. (MAT,SERV &amp; EQUIPO)'!Y81</f>
        <v>0</v>
      </c>
      <c r="Q111" s="380">
        <f t="shared" si="17"/>
        <v>0</v>
      </c>
    </row>
    <row r="112" spans="1:17" ht="20.149999999999999" hidden="1" customHeight="1" outlineLevel="1" x14ac:dyDescent="0.35">
      <c r="A112" s="255" t="s">
        <v>206</v>
      </c>
      <c r="B112" s="262">
        <f t="shared" si="16"/>
        <v>0</v>
      </c>
      <c r="C112" s="262">
        <f>'F07 OPERAC. (MAT,SERV &amp; EQUIPO)'!L82</f>
        <v>0</v>
      </c>
      <c r="D112" s="262">
        <f>'F07 OPERAC. (MAT,SERV &amp; EQUIPO)'!M82</f>
        <v>0</v>
      </c>
      <c r="E112" s="262">
        <f>'F07 OPERAC. (MAT,SERV &amp; EQUIPO)'!N82</f>
        <v>0</v>
      </c>
      <c r="F112" s="262">
        <f>'F07 OPERAC. (MAT,SERV &amp; EQUIPO)'!O82</f>
        <v>0</v>
      </c>
      <c r="G112" s="262">
        <f>'F07 OPERAC. (MAT,SERV &amp; EQUIPO)'!P82</f>
        <v>0</v>
      </c>
      <c r="H112" s="262">
        <f>'F07 OPERAC. (MAT,SERV &amp; EQUIPO)'!Q82</f>
        <v>0</v>
      </c>
      <c r="I112" s="262">
        <f>'F07 OPERAC. (MAT,SERV &amp; EQUIPO)'!R82</f>
        <v>0</v>
      </c>
      <c r="J112" s="262">
        <f>'F07 OPERAC. (MAT,SERV &amp; EQUIPO)'!S82</f>
        <v>0</v>
      </c>
      <c r="K112" s="262">
        <f>'F07 OPERAC. (MAT,SERV &amp; EQUIPO)'!T82</f>
        <v>0</v>
      </c>
      <c r="L112" s="262">
        <f>'F07 OPERAC. (MAT,SERV &amp; EQUIPO)'!U82</f>
        <v>0</v>
      </c>
      <c r="M112" s="262">
        <f>'F07 OPERAC. (MAT,SERV &amp; EQUIPO)'!V82</f>
        <v>0</v>
      </c>
      <c r="N112" s="262">
        <f>'F07 OPERAC. (MAT,SERV &amp; EQUIPO)'!W82</f>
        <v>0</v>
      </c>
      <c r="O112" s="262">
        <f>'F07 OPERAC. (MAT,SERV &amp; EQUIPO)'!X82</f>
        <v>0</v>
      </c>
      <c r="P112" s="262">
        <f>'F07 OPERAC. (MAT,SERV &amp; EQUIPO)'!Y82</f>
        <v>0</v>
      </c>
      <c r="Q112" s="380">
        <f t="shared" si="17"/>
        <v>0</v>
      </c>
    </row>
    <row r="113" spans="1:17" ht="20.149999999999999" hidden="1" customHeight="1" outlineLevel="1" x14ac:dyDescent="0.35">
      <c r="A113" s="258" t="s">
        <v>207</v>
      </c>
      <c r="B113" s="262">
        <f t="shared" si="16"/>
        <v>0</v>
      </c>
      <c r="C113" s="259">
        <f>'F07 OPERAC. (MAT,SERV &amp; EQUIPO)'!L83</f>
        <v>0</v>
      </c>
      <c r="D113" s="259">
        <f>'F07 OPERAC. (MAT,SERV &amp; EQUIPO)'!M83</f>
        <v>0</v>
      </c>
      <c r="E113" s="259">
        <f>'F07 OPERAC. (MAT,SERV &amp; EQUIPO)'!N83</f>
        <v>0</v>
      </c>
      <c r="F113" s="259">
        <f>'F07 OPERAC. (MAT,SERV &amp; EQUIPO)'!O83</f>
        <v>0</v>
      </c>
      <c r="G113" s="259">
        <f>'F07 OPERAC. (MAT,SERV &amp; EQUIPO)'!P83</f>
        <v>0</v>
      </c>
      <c r="H113" s="259">
        <f>'F07 OPERAC. (MAT,SERV &amp; EQUIPO)'!Q83</f>
        <v>0</v>
      </c>
      <c r="I113" s="259">
        <f>'F07 OPERAC. (MAT,SERV &amp; EQUIPO)'!R83</f>
        <v>0</v>
      </c>
      <c r="J113" s="259">
        <f>'F07 OPERAC. (MAT,SERV &amp; EQUIPO)'!S83</f>
        <v>0</v>
      </c>
      <c r="K113" s="259">
        <f>'F07 OPERAC. (MAT,SERV &amp; EQUIPO)'!T83</f>
        <v>0</v>
      </c>
      <c r="L113" s="259">
        <f>'F07 OPERAC. (MAT,SERV &amp; EQUIPO)'!U83</f>
        <v>0</v>
      </c>
      <c r="M113" s="259">
        <f>'F07 OPERAC. (MAT,SERV &amp; EQUIPO)'!V83</f>
        <v>0</v>
      </c>
      <c r="N113" s="259">
        <f>'F07 OPERAC. (MAT,SERV &amp; EQUIPO)'!W83</f>
        <v>0</v>
      </c>
      <c r="O113" s="259">
        <f>'F07 OPERAC. (MAT,SERV &amp; EQUIPO)'!X83</f>
        <v>0</v>
      </c>
      <c r="P113" s="259">
        <f>'F07 OPERAC. (MAT,SERV &amp; EQUIPO)'!Y83</f>
        <v>0</v>
      </c>
      <c r="Q113" s="380">
        <f t="shared" si="17"/>
        <v>0</v>
      </c>
    </row>
    <row r="114" spans="1:17" ht="20.149999999999999" hidden="1" customHeight="1" outlineLevel="1" x14ac:dyDescent="0.35">
      <c r="A114" s="255" t="s">
        <v>208</v>
      </c>
      <c r="B114" s="262">
        <f t="shared" si="16"/>
        <v>0</v>
      </c>
      <c r="C114" s="262">
        <f>'F07 OPERAC. (MAT,SERV &amp; EQUIPO)'!L84</f>
        <v>0</v>
      </c>
      <c r="D114" s="262">
        <f>'F07 OPERAC. (MAT,SERV &amp; EQUIPO)'!M84</f>
        <v>0</v>
      </c>
      <c r="E114" s="262">
        <f>'F07 OPERAC. (MAT,SERV &amp; EQUIPO)'!N84</f>
        <v>0</v>
      </c>
      <c r="F114" s="262">
        <f>'F07 OPERAC. (MAT,SERV &amp; EQUIPO)'!O84</f>
        <v>0</v>
      </c>
      <c r="G114" s="262">
        <f>'F07 OPERAC. (MAT,SERV &amp; EQUIPO)'!P84</f>
        <v>0</v>
      </c>
      <c r="H114" s="262">
        <f>'F07 OPERAC. (MAT,SERV &amp; EQUIPO)'!Q84</f>
        <v>0</v>
      </c>
      <c r="I114" s="262">
        <f>'F07 OPERAC. (MAT,SERV &amp; EQUIPO)'!R84</f>
        <v>0</v>
      </c>
      <c r="J114" s="262">
        <f>'F07 OPERAC. (MAT,SERV &amp; EQUIPO)'!S84</f>
        <v>0</v>
      </c>
      <c r="K114" s="262">
        <f>'F07 OPERAC. (MAT,SERV &amp; EQUIPO)'!T84</f>
        <v>0</v>
      </c>
      <c r="L114" s="262">
        <f>'F07 OPERAC. (MAT,SERV &amp; EQUIPO)'!U84</f>
        <v>0</v>
      </c>
      <c r="M114" s="262">
        <f>'F07 OPERAC. (MAT,SERV &amp; EQUIPO)'!V84</f>
        <v>0</v>
      </c>
      <c r="N114" s="262">
        <f>'F07 OPERAC. (MAT,SERV &amp; EQUIPO)'!W84</f>
        <v>0</v>
      </c>
      <c r="O114" s="262">
        <f>'F07 OPERAC. (MAT,SERV &amp; EQUIPO)'!X84</f>
        <v>0</v>
      </c>
      <c r="P114" s="262">
        <f>'F07 OPERAC. (MAT,SERV &amp; EQUIPO)'!Y84</f>
        <v>0</v>
      </c>
      <c r="Q114" s="380">
        <f t="shared" si="17"/>
        <v>0</v>
      </c>
    </row>
    <row r="115" spans="1:17" ht="20.149999999999999" hidden="1" customHeight="1" outlineLevel="1" x14ac:dyDescent="0.35">
      <c r="A115" s="258" t="s">
        <v>209</v>
      </c>
      <c r="B115" s="262">
        <f t="shared" si="16"/>
        <v>0</v>
      </c>
      <c r="C115" s="259">
        <f>'F07 OPERAC. (MAT,SERV &amp; EQUIPO)'!L85</f>
        <v>0</v>
      </c>
      <c r="D115" s="259">
        <f>'F07 OPERAC. (MAT,SERV &amp; EQUIPO)'!M85</f>
        <v>0</v>
      </c>
      <c r="E115" s="259">
        <f>'F07 OPERAC. (MAT,SERV &amp; EQUIPO)'!N85</f>
        <v>0</v>
      </c>
      <c r="F115" s="259">
        <f>'F07 OPERAC. (MAT,SERV &amp; EQUIPO)'!O85</f>
        <v>0</v>
      </c>
      <c r="G115" s="259">
        <f>'F07 OPERAC. (MAT,SERV &amp; EQUIPO)'!P85</f>
        <v>0</v>
      </c>
      <c r="H115" s="259">
        <f>'F07 OPERAC. (MAT,SERV &amp; EQUIPO)'!Q85</f>
        <v>0</v>
      </c>
      <c r="I115" s="259">
        <f>'F07 OPERAC. (MAT,SERV &amp; EQUIPO)'!R85</f>
        <v>0</v>
      </c>
      <c r="J115" s="259">
        <f>'F07 OPERAC. (MAT,SERV &amp; EQUIPO)'!S85</f>
        <v>0</v>
      </c>
      <c r="K115" s="259">
        <f>'F07 OPERAC. (MAT,SERV &amp; EQUIPO)'!T85</f>
        <v>0</v>
      </c>
      <c r="L115" s="259">
        <f>'F07 OPERAC. (MAT,SERV &amp; EQUIPO)'!U85</f>
        <v>0</v>
      </c>
      <c r="M115" s="259">
        <f>'F07 OPERAC. (MAT,SERV &amp; EQUIPO)'!V85</f>
        <v>0</v>
      </c>
      <c r="N115" s="259">
        <f>'F07 OPERAC. (MAT,SERV &amp; EQUIPO)'!W85</f>
        <v>0</v>
      </c>
      <c r="O115" s="259">
        <f>'F07 OPERAC. (MAT,SERV &amp; EQUIPO)'!X85</f>
        <v>0</v>
      </c>
      <c r="P115" s="259">
        <f>'F07 OPERAC. (MAT,SERV &amp; EQUIPO)'!Y85</f>
        <v>0</v>
      </c>
      <c r="Q115" s="380">
        <f t="shared" si="17"/>
        <v>0</v>
      </c>
    </row>
    <row r="116" spans="1:17" ht="20.149999999999999" hidden="1" customHeight="1" outlineLevel="1" x14ac:dyDescent="0.35">
      <c r="A116" s="255" t="s">
        <v>210</v>
      </c>
      <c r="B116" s="262">
        <f t="shared" si="16"/>
        <v>34110.3776</v>
      </c>
      <c r="C116" s="262">
        <f>'F07 OPERAC. (MAT,SERV &amp; EQUIPO)'!L86</f>
        <v>17055.1888</v>
      </c>
      <c r="D116" s="262">
        <f>'F07 OPERAC. (MAT,SERV &amp; EQUIPO)'!M86</f>
        <v>17055.1888</v>
      </c>
      <c r="E116" s="262">
        <f>'F07 OPERAC. (MAT,SERV &amp; EQUIPO)'!N86</f>
        <v>0</v>
      </c>
      <c r="F116" s="262">
        <f>'F07 OPERAC. (MAT,SERV &amp; EQUIPO)'!O86</f>
        <v>0</v>
      </c>
      <c r="G116" s="262">
        <f>'F07 OPERAC. (MAT,SERV &amp; EQUIPO)'!P86</f>
        <v>0</v>
      </c>
      <c r="H116" s="262">
        <f>'F07 OPERAC. (MAT,SERV &amp; EQUIPO)'!Q86</f>
        <v>0</v>
      </c>
      <c r="I116" s="262">
        <f>'F07 OPERAC. (MAT,SERV &amp; EQUIPO)'!R86</f>
        <v>0</v>
      </c>
      <c r="J116" s="262">
        <f>'F07 OPERAC. (MAT,SERV &amp; EQUIPO)'!S86</f>
        <v>0</v>
      </c>
      <c r="K116" s="262">
        <f>'F07 OPERAC. (MAT,SERV &amp; EQUIPO)'!T86</f>
        <v>0</v>
      </c>
      <c r="L116" s="262">
        <f>'F07 OPERAC. (MAT,SERV &amp; EQUIPO)'!U86</f>
        <v>0</v>
      </c>
      <c r="M116" s="262">
        <f>'F07 OPERAC. (MAT,SERV &amp; EQUIPO)'!V86</f>
        <v>0</v>
      </c>
      <c r="N116" s="262">
        <f>'F07 OPERAC. (MAT,SERV &amp; EQUIPO)'!W86</f>
        <v>0</v>
      </c>
      <c r="O116" s="262">
        <f>'F07 OPERAC. (MAT,SERV &amp; EQUIPO)'!X86</f>
        <v>0</v>
      </c>
      <c r="P116" s="262">
        <f>'F07 OPERAC. (MAT,SERV &amp; EQUIPO)'!Y86</f>
        <v>0</v>
      </c>
      <c r="Q116" s="380">
        <f t="shared" si="17"/>
        <v>1.4662679835001457E-3</v>
      </c>
    </row>
    <row r="117" spans="1:17" ht="20.149999999999999" hidden="1" customHeight="1" outlineLevel="1" x14ac:dyDescent="0.35">
      <c r="A117" s="258" t="s">
        <v>211</v>
      </c>
      <c r="B117" s="262">
        <f t="shared" si="16"/>
        <v>0</v>
      </c>
      <c r="C117" s="262">
        <f>'F07 OPERAC. (MAT,SERV &amp; EQUIPO)'!L87</f>
        <v>0</v>
      </c>
      <c r="D117" s="262">
        <f>'F07 OPERAC. (MAT,SERV &amp; EQUIPO)'!M87</f>
        <v>0</v>
      </c>
      <c r="E117" s="262">
        <f>'F07 OPERAC. (MAT,SERV &amp; EQUIPO)'!N87</f>
        <v>0</v>
      </c>
      <c r="F117" s="262">
        <f>'F07 OPERAC. (MAT,SERV &amp; EQUIPO)'!O87</f>
        <v>0</v>
      </c>
      <c r="G117" s="262">
        <f>'F07 OPERAC. (MAT,SERV &amp; EQUIPO)'!P87</f>
        <v>0</v>
      </c>
      <c r="H117" s="262">
        <f>'F07 OPERAC. (MAT,SERV &amp; EQUIPO)'!Q87</f>
        <v>0</v>
      </c>
      <c r="I117" s="262">
        <f>'F07 OPERAC. (MAT,SERV &amp; EQUIPO)'!R87</f>
        <v>0</v>
      </c>
      <c r="J117" s="262">
        <f>'F07 OPERAC. (MAT,SERV &amp; EQUIPO)'!S87</f>
        <v>0</v>
      </c>
      <c r="K117" s="262">
        <f>'F07 OPERAC. (MAT,SERV &amp; EQUIPO)'!T87</f>
        <v>0</v>
      </c>
      <c r="L117" s="262">
        <f>'F07 OPERAC. (MAT,SERV &amp; EQUIPO)'!U87</f>
        <v>0</v>
      </c>
      <c r="M117" s="262">
        <f>'F07 OPERAC. (MAT,SERV &amp; EQUIPO)'!V87</f>
        <v>0</v>
      </c>
      <c r="N117" s="262">
        <f>'F07 OPERAC. (MAT,SERV &amp; EQUIPO)'!W87</f>
        <v>0</v>
      </c>
      <c r="O117" s="262">
        <f>'F07 OPERAC. (MAT,SERV &amp; EQUIPO)'!X87</f>
        <v>0</v>
      </c>
      <c r="P117" s="262">
        <f>'F07 OPERAC. (MAT,SERV &amp; EQUIPO)'!Y87</f>
        <v>0</v>
      </c>
      <c r="Q117" s="380">
        <f t="shared" si="17"/>
        <v>0</v>
      </c>
    </row>
    <row r="118" spans="1:17" ht="20.149999999999999" hidden="1" customHeight="1" outlineLevel="1" x14ac:dyDescent="0.35">
      <c r="A118" s="255" t="s">
        <v>212</v>
      </c>
      <c r="B118" s="262">
        <f t="shared" si="16"/>
        <v>0</v>
      </c>
      <c r="C118" s="262">
        <f>'F07 OPERAC. (MAT,SERV &amp; EQUIPO)'!L88</f>
        <v>0</v>
      </c>
      <c r="D118" s="262">
        <f>'F07 OPERAC. (MAT,SERV &amp; EQUIPO)'!M88</f>
        <v>0</v>
      </c>
      <c r="E118" s="262">
        <f>'F07 OPERAC. (MAT,SERV &amp; EQUIPO)'!N88</f>
        <v>0</v>
      </c>
      <c r="F118" s="262">
        <f>'F07 OPERAC. (MAT,SERV &amp; EQUIPO)'!O88</f>
        <v>0</v>
      </c>
      <c r="G118" s="262">
        <f>'F07 OPERAC. (MAT,SERV &amp; EQUIPO)'!P88</f>
        <v>0</v>
      </c>
      <c r="H118" s="262">
        <f>'F07 OPERAC. (MAT,SERV &amp; EQUIPO)'!Q88</f>
        <v>0</v>
      </c>
      <c r="I118" s="262">
        <f>'F07 OPERAC. (MAT,SERV &amp; EQUIPO)'!R88</f>
        <v>0</v>
      </c>
      <c r="J118" s="262">
        <f>'F07 OPERAC. (MAT,SERV &amp; EQUIPO)'!S88</f>
        <v>0</v>
      </c>
      <c r="K118" s="262">
        <f>'F07 OPERAC. (MAT,SERV &amp; EQUIPO)'!T88</f>
        <v>0</v>
      </c>
      <c r="L118" s="262">
        <f>'F07 OPERAC. (MAT,SERV &amp; EQUIPO)'!U88</f>
        <v>0</v>
      </c>
      <c r="M118" s="262">
        <f>'F07 OPERAC. (MAT,SERV &amp; EQUIPO)'!V88</f>
        <v>0</v>
      </c>
      <c r="N118" s="262">
        <f>'F07 OPERAC. (MAT,SERV &amp; EQUIPO)'!W88</f>
        <v>0</v>
      </c>
      <c r="O118" s="262">
        <f>'F07 OPERAC. (MAT,SERV &amp; EQUIPO)'!X88</f>
        <v>0</v>
      </c>
      <c r="P118" s="262">
        <f>'F07 OPERAC. (MAT,SERV &amp; EQUIPO)'!Y88</f>
        <v>0</v>
      </c>
      <c r="Q118" s="380">
        <f t="shared" si="17"/>
        <v>0</v>
      </c>
    </row>
    <row r="119" spans="1:17" ht="20.149999999999999" hidden="1" customHeight="1" outlineLevel="1" x14ac:dyDescent="0.35">
      <c r="A119" s="258" t="s">
        <v>213</v>
      </c>
      <c r="B119" s="262">
        <f t="shared" si="16"/>
        <v>0</v>
      </c>
      <c r="C119" s="259">
        <f>'F07 OPERAC. (MAT,SERV &amp; EQUIPO)'!L89</f>
        <v>0</v>
      </c>
      <c r="D119" s="259">
        <f>'F07 OPERAC. (MAT,SERV &amp; EQUIPO)'!M89</f>
        <v>0</v>
      </c>
      <c r="E119" s="259">
        <f>'F07 OPERAC. (MAT,SERV &amp; EQUIPO)'!N89</f>
        <v>0</v>
      </c>
      <c r="F119" s="259">
        <f>'F07 OPERAC. (MAT,SERV &amp; EQUIPO)'!O89</f>
        <v>0</v>
      </c>
      <c r="G119" s="259">
        <f>'F07 OPERAC. (MAT,SERV &amp; EQUIPO)'!P89</f>
        <v>0</v>
      </c>
      <c r="H119" s="259">
        <f>'F07 OPERAC. (MAT,SERV &amp; EQUIPO)'!Q89</f>
        <v>0</v>
      </c>
      <c r="I119" s="259">
        <f>'F07 OPERAC. (MAT,SERV &amp; EQUIPO)'!R89</f>
        <v>0</v>
      </c>
      <c r="J119" s="259">
        <f>'F07 OPERAC. (MAT,SERV &amp; EQUIPO)'!S89</f>
        <v>0</v>
      </c>
      <c r="K119" s="259">
        <f>'F07 OPERAC. (MAT,SERV &amp; EQUIPO)'!T89</f>
        <v>0</v>
      </c>
      <c r="L119" s="259">
        <f>'F07 OPERAC. (MAT,SERV &amp; EQUIPO)'!U89</f>
        <v>0</v>
      </c>
      <c r="M119" s="259">
        <f>'F07 OPERAC. (MAT,SERV &amp; EQUIPO)'!V89</f>
        <v>0</v>
      </c>
      <c r="N119" s="259">
        <f>'F07 OPERAC. (MAT,SERV &amp; EQUIPO)'!W89</f>
        <v>0</v>
      </c>
      <c r="O119" s="259">
        <f>'F07 OPERAC. (MAT,SERV &amp; EQUIPO)'!X89</f>
        <v>0</v>
      </c>
      <c r="P119" s="259">
        <f>'F07 OPERAC. (MAT,SERV &amp; EQUIPO)'!Y89</f>
        <v>0</v>
      </c>
      <c r="Q119" s="380">
        <f t="shared" si="17"/>
        <v>0</v>
      </c>
    </row>
    <row r="120" spans="1:17" ht="20.149999999999999" hidden="1" customHeight="1" outlineLevel="1" x14ac:dyDescent="0.35">
      <c r="A120" s="255" t="s">
        <v>214</v>
      </c>
      <c r="B120" s="262">
        <f t="shared" si="16"/>
        <v>0</v>
      </c>
      <c r="C120" s="262">
        <f>'F07 OPERAC. (MAT,SERV &amp; EQUIPO)'!L90</f>
        <v>0</v>
      </c>
      <c r="D120" s="262">
        <f>'F07 OPERAC. (MAT,SERV &amp; EQUIPO)'!M90</f>
        <v>0</v>
      </c>
      <c r="E120" s="262">
        <f>'F07 OPERAC. (MAT,SERV &amp; EQUIPO)'!N90</f>
        <v>0</v>
      </c>
      <c r="F120" s="262">
        <f>'F07 OPERAC. (MAT,SERV &amp; EQUIPO)'!O90</f>
        <v>0</v>
      </c>
      <c r="G120" s="262">
        <f>'F07 OPERAC. (MAT,SERV &amp; EQUIPO)'!P90</f>
        <v>0</v>
      </c>
      <c r="H120" s="262">
        <f>'F07 OPERAC. (MAT,SERV &amp; EQUIPO)'!Q90</f>
        <v>0</v>
      </c>
      <c r="I120" s="262">
        <f>'F07 OPERAC. (MAT,SERV &amp; EQUIPO)'!R90</f>
        <v>0</v>
      </c>
      <c r="J120" s="262">
        <f>'F07 OPERAC. (MAT,SERV &amp; EQUIPO)'!S90</f>
        <v>0</v>
      </c>
      <c r="K120" s="262">
        <f>'F07 OPERAC. (MAT,SERV &amp; EQUIPO)'!T90</f>
        <v>0</v>
      </c>
      <c r="L120" s="262">
        <f>'F07 OPERAC. (MAT,SERV &amp; EQUIPO)'!U90</f>
        <v>0</v>
      </c>
      <c r="M120" s="262">
        <f>'F07 OPERAC. (MAT,SERV &amp; EQUIPO)'!V90</f>
        <v>0</v>
      </c>
      <c r="N120" s="262">
        <f>'F07 OPERAC. (MAT,SERV &amp; EQUIPO)'!W90</f>
        <v>0</v>
      </c>
      <c r="O120" s="262">
        <f>'F07 OPERAC. (MAT,SERV &amp; EQUIPO)'!X90</f>
        <v>0</v>
      </c>
      <c r="P120" s="262">
        <f>'F07 OPERAC. (MAT,SERV &amp; EQUIPO)'!Y90</f>
        <v>0</v>
      </c>
      <c r="Q120" s="380">
        <f t="shared" si="17"/>
        <v>0</v>
      </c>
    </row>
    <row r="121" spans="1:17" ht="20.149999999999999" hidden="1" customHeight="1" outlineLevel="1" x14ac:dyDescent="0.35">
      <c r="A121" s="258" t="s">
        <v>215</v>
      </c>
      <c r="B121" s="262">
        <f t="shared" si="16"/>
        <v>0</v>
      </c>
      <c r="C121" s="259">
        <f>'F07 OPERAC. (MAT,SERV &amp; EQUIPO)'!L91</f>
        <v>0</v>
      </c>
      <c r="D121" s="259">
        <f>'F07 OPERAC. (MAT,SERV &amp; EQUIPO)'!M91</f>
        <v>0</v>
      </c>
      <c r="E121" s="259">
        <f>'F07 OPERAC. (MAT,SERV &amp; EQUIPO)'!N91</f>
        <v>0</v>
      </c>
      <c r="F121" s="259">
        <f>'F07 OPERAC. (MAT,SERV &amp; EQUIPO)'!O91</f>
        <v>0</v>
      </c>
      <c r="G121" s="259">
        <f>'F07 OPERAC. (MAT,SERV &amp; EQUIPO)'!P91</f>
        <v>0</v>
      </c>
      <c r="H121" s="259">
        <f>'F07 OPERAC. (MAT,SERV &amp; EQUIPO)'!Q91</f>
        <v>0</v>
      </c>
      <c r="I121" s="259">
        <f>'F07 OPERAC. (MAT,SERV &amp; EQUIPO)'!R91</f>
        <v>0</v>
      </c>
      <c r="J121" s="259">
        <f>'F07 OPERAC. (MAT,SERV &amp; EQUIPO)'!S91</f>
        <v>0</v>
      </c>
      <c r="K121" s="259">
        <f>'F07 OPERAC. (MAT,SERV &amp; EQUIPO)'!T91</f>
        <v>0</v>
      </c>
      <c r="L121" s="259">
        <f>'F07 OPERAC. (MAT,SERV &amp; EQUIPO)'!U91</f>
        <v>0</v>
      </c>
      <c r="M121" s="259">
        <f>'F07 OPERAC. (MAT,SERV &amp; EQUIPO)'!V91</f>
        <v>0</v>
      </c>
      <c r="N121" s="259">
        <f>'F07 OPERAC. (MAT,SERV &amp; EQUIPO)'!W91</f>
        <v>0</v>
      </c>
      <c r="O121" s="259">
        <f>'F07 OPERAC. (MAT,SERV &amp; EQUIPO)'!X91</f>
        <v>0</v>
      </c>
      <c r="P121" s="259">
        <f>'F07 OPERAC. (MAT,SERV &amp; EQUIPO)'!Y91</f>
        <v>0</v>
      </c>
      <c r="Q121" s="380">
        <f t="shared" si="17"/>
        <v>0</v>
      </c>
    </row>
    <row r="122" spans="1:17" ht="20.149999999999999" hidden="1" customHeight="1" outlineLevel="1" x14ac:dyDescent="0.35">
      <c r="A122" s="255" t="s">
        <v>216</v>
      </c>
      <c r="B122" s="262">
        <f t="shared" si="16"/>
        <v>0</v>
      </c>
      <c r="C122" s="262">
        <f>'F07 OPERAC. (MAT,SERV &amp; EQUIPO)'!L92</f>
        <v>0</v>
      </c>
      <c r="D122" s="262">
        <f>'F07 OPERAC. (MAT,SERV &amp; EQUIPO)'!M92</f>
        <v>0</v>
      </c>
      <c r="E122" s="262">
        <f>'F07 OPERAC. (MAT,SERV &amp; EQUIPO)'!N92</f>
        <v>0</v>
      </c>
      <c r="F122" s="262">
        <f>'F07 OPERAC. (MAT,SERV &amp; EQUIPO)'!O92</f>
        <v>0</v>
      </c>
      <c r="G122" s="262">
        <f>'F07 OPERAC. (MAT,SERV &amp; EQUIPO)'!P92</f>
        <v>0</v>
      </c>
      <c r="H122" s="262">
        <f>'F07 OPERAC. (MAT,SERV &amp; EQUIPO)'!Q92</f>
        <v>0</v>
      </c>
      <c r="I122" s="262">
        <f>'F07 OPERAC. (MAT,SERV &amp; EQUIPO)'!R92</f>
        <v>0</v>
      </c>
      <c r="J122" s="262">
        <f>'F07 OPERAC. (MAT,SERV &amp; EQUIPO)'!S92</f>
        <v>0</v>
      </c>
      <c r="K122" s="262">
        <f>'F07 OPERAC. (MAT,SERV &amp; EQUIPO)'!T92</f>
        <v>0</v>
      </c>
      <c r="L122" s="262">
        <f>'F07 OPERAC. (MAT,SERV &amp; EQUIPO)'!U92</f>
        <v>0</v>
      </c>
      <c r="M122" s="262">
        <f>'F07 OPERAC. (MAT,SERV &amp; EQUIPO)'!V92</f>
        <v>0</v>
      </c>
      <c r="N122" s="262">
        <f>'F07 OPERAC. (MAT,SERV &amp; EQUIPO)'!W92</f>
        <v>0</v>
      </c>
      <c r="O122" s="262">
        <f>'F07 OPERAC. (MAT,SERV &amp; EQUIPO)'!X92</f>
        <v>0</v>
      </c>
      <c r="P122" s="262">
        <f>'F07 OPERAC. (MAT,SERV &amp; EQUIPO)'!Y92</f>
        <v>0</v>
      </c>
      <c r="Q122" s="380">
        <f t="shared" si="17"/>
        <v>0</v>
      </c>
    </row>
    <row r="123" spans="1:17" ht="20.149999999999999" hidden="1" customHeight="1" outlineLevel="1" x14ac:dyDescent="0.35">
      <c r="A123" s="258" t="s">
        <v>217</v>
      </c>
      <c r="B123" s="262">
        <f t="shared" si="16"/>
        <v>0</v>
      </c>
      <c r="C123" s="259">
        <f>'F07 OPERAC. (MAT,SERV &amp; EQUIPO)'!L93</f>
        <v>0</v>
      </c>
      <c r="D123" s="259">
        <f>'F07 OPERAC. (MAT,SERV &amp; EQUIPO)'!M93</f>
        <v>0</v>
      </c>
      <c r="E123" s="259">
        <f>'F07 OPERAC. (MAT,SERV &amp; EQUIPO)'!N93</f>
        <v>0</v>
      </c>
      <c r="F123" s="259">
        <f>'F07 OPERAC. (MAT,SERV &amp; EQUIPO)'!O93</f>
        <v>0</v>
      </c>
      <c r="G123" s="259">
        <f>'F07 OPERAC. (MAT,SERV &amp; EQUIPO)'!P93</f>
        <v>0</v>
      </c>
      <c r="H123" s="259">
        <f>'F07 OPERAC. (MAT,SERV &amp; EQUIPO)'!Q93</f>
        <v>0</v>
      </c>
      <c r="I123" s="259">
        <f>'F07 OPERAC. (MAT,SERV &amp; EQUIPO)'!R93</f>
        <v>0</v>
      </c>
      <c r="J123" s="259">
        <f>'F07 OPERAC. (MAT,SERV &amp; EQUIPO)'!S93</f>
        <v>0</v>
      </c>
      <c r="K123" s="259">
        <f>'F07 OPERAC. (MAT,SERV &amp; EQUIPO)'!T93</f>
        <v>0</v>
      </c>
      <c r="L123" s="259">
        <f>'F07 OPERAC. (MAT,SERV &amp; EQUIPO)'!U93</f>
        <v>0</v>
      </c>
      <c r="M123" s="259">
        <f>'F07 OPERAC. (MAT,SERV &amp; EQUIPO)'!V93</f>
        <v>0</v>
      </c>
      <c r="N123" s="259">
        <f>'F07 OPERAC. (MAT,SERV &amp; EQUIPO)'!W93</f>
        <v>0</v>
      </c>
      <c r="O123" s="259">
        <f>'F07 OPERAC. (MAT,SERV &amp; EQUIPO)'!X93</f>
        <v>0</v>
      </c>
      <c r="P123" s="259">
        <f>'F07 OPERAC. (MAT,SERV &amp; EQUIPO)'!Y93</f>
        <v>0</v>
      </c>
      <c r="Q123" s="380">
        <f t="shared" si="17"/>
        <v>0</v>
      </c>
    </row>
    <row r="124" spans="1:17" ht="20.149999999999999" hidden="1" customHeight="1" outlineLevel="1" x14ac:dyDescent="0.35">
      <c r="A124" s="255" t="s">
        <v>218</v>
      </c>
      <c r="B124" s="262">
        <f t="shared" si="16"/>
        <v>0</v>
      </c>
      <c r="C124" s="262">
        <f>'F07 OPERAC. (MAT,SERV &amp; EQUIPO)'!L94</f>
        <v>0</v>
      </c>
      <c r="D124" s="262">
        <f>'F07 OPERAC. (MAT,SERV &amp; EQUIPO)'!M94</f>
        <v>0</v>
      </c>
      <c r="E124" s="262">
        <f>'F07 OPERAC. (MAT,SERV &amp; EQUIPO)'!N94</f>
        <v>0</v>
      </c>
      <c r="F124" s="262">
        <f>'F07 OPERAC. (MAT,SERV &amp; EQUIPO)'!O94</f>
        <v>0</v>
      </c>
      <c r="G124" s="262">
        <f>'F07 OPERAC. (MAT,SERV &amp; EQUIPO)'!P94</f>
        <v>0</v>
      </c>
      <c r="H124" s="262">
        <f>'F07 OPERAC. (MAT,SERV &amp; EQUIPO)'!Q94</f>
        <v>0</v>
      </c>
      <c r="I124" s="262">
        <f>'F07 OPERAC. (MAT,SERV &amp; EQUIPO)'!R94</f>
        <v>0</v>
      </c>
      <c r="J124" s="262">
        <f>'F07 OPERAC. (MAT,SERV &amp; EQUIPO)'!S94</f>
        <v>0</v>
      </c>
      <c r="K124" s="262">
        <f>'F07 OPERAC. (MAT,SERV &amp; EQUIPO)'!T94</f>
        <v>0</v>
      </c>
      <c r="L124" s="262">
        <f>'F07 OPERAC. (MAT,SERV &amp; EQUIPO)'!U94</f>
        <v>0</v>
      </c>
      <c r="M124" s="262">
        <f>'F07 OPERAC. (MAT,SERV &amp; EQUIPO)'!V94</f>
        <v>0</v>
      </c>
      <c r="N124" s="262">
        <f>'F07 OPERAC. (MAT,SERV &amp; EQUIPO)'!W94</f>
        <v>0</v>
      </c>
      <c r="O124" s="262">
        <f>'F07 OPERAC. (MAT,SERV &amp; EQUIPO)'!X94</f>
        <v>0</v>
      </c>
      <c r="P124" s="262">
        <f>'F07 OPERAC. (MAT,SERV &amp; EQUIPO)'!Y94</f>
        <v>0</v>
      </c>
      <c r="Q124" s="380">
        <f t="shared" si="17"/>
        <v>0</v>
      </c>
    </row>
    <row r="125" spans="1:17" ht="20.149999999999999" hidden="1" customHeight="1" outlineLevel="1" x14ac:dyDescent="0.35">
      <c r="A125" s="258" t="s">
        <v>219</v>
      </c>
      <c r="B125" s="262">
        <f t="shared" si="16"/>
        <v>0</v>
      </c>
      <c r="C125" s="259">
        <f>'F07 OPERAC. (MAT,SERV &amp; EQUIPO)'!L95</f>
        <v>0</v>
      </c>
      <c r="D125" s="259">
        <f>'F07 OPERAC. (MAT,SERV &amp; EQUIPO)'!M95</f>
        <v>0</v>
      </c>
      <c r="E125" s="259">
        <f>'F07 OPERAC. (MAT,SERV &amp; EQUIPO)'!N95</f>
        <v>0</v>
      </c>
      <c r="F125" s="259">
        <f>'F07 OPERAC. (MAT,SERV &amp; EQUIPO)'!O95</f>
        <v>0</v>
      </c>
      <c r="G125" s="259">
        <f>'F07 OPERAC. (MAT,SERV &amp; EQUIPO)'!P95</f>
        <v>0</v>
      </c>
      <c r="H125" s="259">
        <f>'F07 OPERAC. (MAT,SERV &amp; EQUIPO)'!Q95</f>
        <v>0</v>
      </c>
      <c r="I125" s="259">
        <f>'F07 OPERAC. (MAT,SERV &amp; EQUIPO)'!R95</f>
        <v>0</v>
      </c>
      <c r="J125" s="259">
        <f>'F07 OPERAC. (MAT,SERV &amp; EQUIPO)'!S95</f>
        <v>0</v>
      </c>
      <c r="K125" s="259">
        <f>'F07 OPERAC. (MAT,SERV &amp; EQUIPO)'!T95</f>
        <v>0</v>
      </c>
      <c r="L125" s="259">
        <f>'F07 OPERAC. (MAT,SERV &amp; EQUIPO)'!U95</f>
        <v>0</v>
      </c>
      <c r="M125" s="259">
        <f>'F07 OPERAC. (MAT,SERV &amp; EQUIPO)'!V95</f>
        <v>0</v>
      </c>
      <c r="N125" s="259">
        <f>'F07 OPERAC. (MAT,SERV &amp; EQUIPO)'!W95</f>
        <v>0</v>
      </c>
      <c r="O125" s="259">
        <f>'F07 OPERAC. (MAT,SERV &amp; EQUIPO)'!X95</f>
        <v>0</v>
      </c>
      <c r="P125" s="259">
        <f>'F07 OPERAC. (MAT,SERV &amp; EQUIPO)'!Y95</f>
        <v>0</v>
      </c>
      <c r="Q125" s="380">
        <f t="shared" si="17"/>
        <v>0</v>
      </c>
    </row>
    <row r="126" spans="1:17" ht="20.149999999999999" hidden="1" customHeight="1" outlineLevel="1" x14ac:dyDescent="0.35">
      <c r="A126" s="255" t="s">
        <v>220</v>
      </c>
      <c r="B126" s="262">
        <f t="shared" si="16"/>
        <v>0</v>
      </c>
      <c r="C126" s="262">
        <f>'F07 OPERAC. (MAT,SERV &amp; EQUIPO)'!L96</f>
        <v>0</v>
      </c>
      <c r="D126" s="262">
        <f>'F07 OPERAC. (MAT,SERV &amp; EQUIPO)'!M96</f>
        <v>0</v>
      </c>
      <c r="E126" s="262">
        <f>'F07 OPERAC. (MAT,SERV &amp; EQUIPO)'!N96</f>
        <v>0</v>
      </c>
      <c r="F126" s="262">
        <f>'F07 OPERAC. (MAT,SERV &amp; EQUIPO)'!O96</f>
        <v>0</v>
      </c>
      <c r="G126" s="262">
        <f>'F07 OPERAC. (MAT,SERV &amp; EQUIPO)'!P96</f>
        <v>0</v>
      </c>
      <c r="H126" s="262">
        <f>'F07 OPERAC. (MAT,SERV &amp; EQUIPO)'!Q96</f>
        <v>0</v>
      </c>
      <c r="I126" s="262">
        <f>'F07 OPERAC. (MAT,SERV &amp; EQUIPO)'!R96</f>
        <v>0</v>
      </c>
      <c r="J126" s="262">
        <f>'F07 OPERAC. (MAT,SERV &amp; EQUIPO)'!S96</f>
        <v>0</v>
      </c>
      <c r="K126" s="262">
        <f>'F07 OPERAC. (MAT,SERV &amp; EQUIPO)'!T96</f>
        <v>0</v>
      </c>
      <c r="L126" s="262">
        <f>'F07 OPERAC. (MAT,SERV &amp; EQUIPO)'!U96</f>
        <v>0</v>
      </c>
      <c r="M126" s="262">
        <f>'F07 OPERAC. (MAT,SERV &amp; EQUIPO)'!V96</f>
        <v>0</v>
      </c>
      <c r="N126" s="262">
        <f>'F07 OPERAC. (MAT,SERV &amp; EQUIPO)'!W96</f>
        <v>0</v>
      </c>
      <c r="O126" s="262">
        <f>'F07 OPERAC. (MAT,SERV &amp; EQUIPO)'!X96</f>
        <v>0</v>
      </c>
      <c r="P126" s="262">
        <f>'F07 OPERAC. (MAT,SERV &amp; EQUIPO)'!Y96</f>
        <v>0</v>
      </c>
      <c r="Q126" s="380">
        <f t="shared" si="17"/>
        <v>0</v>
      </c>
    </row>
    <row r="127" spans="1:17" ht="20.149999999999999" hidden="1" customHeight="1" outlineLevel="1" x14ac:dyDescent="0.35">
      <c r="A127" s="258" t="s">
        <v>221</v>
      </c>
      <c r="B127" s="262">
        <f t="shared" si="16"/>
        <v>0</v>
      </c>
      <c r="C127" s="259">
        <f>'F07 OPERAC. (MAT,SERV &amp; EQUIPO)'!L97</f>
        <v>0</v>
      </c>
      <c r="D127" s="259">
        <f>'F07 OPERAC. (MAT,SERV &amp; EQUIPO)'!M97</f>
        <v>0</v>
      </c>
      <c r="E127" s="259">
        <f>'F07 OPERAC. (MAT,SERV &amp; EQUIPO)'!N97</f>
        <v>0</v>
      </c>
      <c r="F127" s="259">
        <f>'F07 OPERAC. (MAT,SERV &amp; EQUIPO)'!O97</f>
        <v>0</v>
      </c>
      <c r="G127" s="259">
        <f>'F07 OPERAC. (MAT,SERV &amp; EQUIPO)'!P97</f>
        <v>0</v>
      </c>
      <c r="H127" s="259">
        <f>'F07 OPERAC. (MAT,SERV &amp; EQUIPO)'!Q97</f>
        <v>0</v>
      </c>
      <c r="I127" s="259">
        <f>'F07 OPERAC. (MAT,SERV &amp; EQUIPO)'!R97</f>
        <v>0</v>
      </c>
      <c r="J127" s="259">
        <f>'F07 OPERAC. (MAT,SERV &amp; EQUIPO)'!S97</f>
        <v>0</v>
      </c>
      <c r="K127" s="259">
        <f>'F07 OPERAC. (MAT,SERV &amp; EQUIPO)'!T97</f>
        <v>0</v>
      </c>
      <c r="L127" s="259">
        <f>'F07 OPERAC. (MAT,SERV &amp; EQUIPO)'!U97</f>
        <v>0</v>
      </c>
      <c r="M127" s="259">
        <f>'F07 OPERAC. (MAT,SERV &amp; EQUIPO)'!V97</f>
        <v>0</v>
      </c>
      <c r="N127" s="259">
        <f>'F07 OPERAC. (MAT,SERV &amp; EQUIPO)'!W97</f>
        <v>0</v>
      </c>
      <c r="O127" s="259">
        <f>'F07 OPERAC. (MAT,SERV &amp; EQUIPO)'!X97</f>
        <v>0</v>
      </c>
      <c r="P127" s="259">
        <f>'F07 OPERAC. (MAT,SERV &amp; EQUIPO)'!Y97</f>
        <v>0</v>
      </c>
      <c r="Q127" s="380">
        <f t="shared" si="17"/>
        <v>0</v>
      </c>
    </row>
    <row r="128" spans="1:17" ht="20.149999999999999" hidden="1" customHeight="1" outlineLevel="1" x14ac:dyDescent="0.35">
      <c r="A128" s="255" t="s">
        <v>222</v>
      </c>
      <c r="B128" s="262">
        <f t="shared" si="16"/>
        <v>0</v>
      </c>
      <c r="C128" s="262">
        <f>'F07 OPERAC. (MAT,SERV &amp; EQUIPO)'!L98</f>
        <v>0</v>
      </c>
      <c r="D128" s="262">
        <f>'F07 OPERAC. (MAT,SERV &amp; EQUIPO)'!M98</f>
        <v>0</v>
      </c>
      <c r="E128" s="262">
        <f>'F07 OPERAC. (MAT,SERV &amp; EQUIPO)'!N98</f>
        <v>0</v>
      </c>
      <c r="F128" s="262">
        <f>'F07 OPERAC. (MAT,SERV &amp; EQUIPO)'!O98</f>
        <v>0</v>
      </c>
      <c r="G128" s="262">
        <f>'F07 OPERAC. (MAT,SERV &amp; EQUIPO)'!P98</f>
        <v>0</v>
      </c>
      <c r="H128" s="262">
        <f>'F07 OPERAC. (MAT,SERV &amp; EQUIPO)'!Q98</f>
        <v>0</v>
      </c>
      <c r="I128" s="262">
        <f>'F07 OPERAC. (MAT,SERV &amp; EQUIPO)'!R98</f>
        <v>0</v>
      </c>
      <c r="J128" s="262">
        <f>'F07 OPERAC. (MAT,SERV &amp; EQUIPO)'!S98</f>
        <v>0</v>
      </c>
      <c r="K128" s="262">
        <f>'F07 OPERAC. (MAT,SERV &amp; EQUIPO)'!T98</f>
        <v>0</v>
      </c>
      <c r="L128" s="262">
        <f>'F07 OPERAC. (MAT,SERV &amp; EQUIPO)'!U98</f>
        <v>0</v>
      </c>
      <c r="M128" s="262">
        <f>'F07 OPERAC. (MAT,SERV &amp; EQUIPO)'!V98</f>
        <v>0</v>
      </c>
      <c r="N128" s="262">
        <f>'F07 OPERAC. (MAT,SERV &amp; EQUIPO)'!W98</f>
        <v>0</v>
      </c>
      <c r="O128" s="262">
        <f>'F07 OPERAC. (MAT,SERV &amp; EQUIPO)'!X98</f>
        <v>0</v>
      </c>
      <c r="P128" s="262">
        <f>'F07 OPERAC. (MAT,SERV &amp; EQUIPO)'!Y98</f>
        <v>0</v>
      </c>
      <c r="Q128" s="380">
        <f t="shared" si="17"/>
        <v>0</v>
      </c>
    </row>
    <row r="129" spans="1:17" ht="20.149999999999999" hidden="1" customHeight="1" outlineLevel="1" x14ac:dyDescent="0.35">
      <c r="A129" s="258" t="s">
        <v>223</v>
      </c>
      <c r="B129" s="262">
        <f t="shared" si="16"/>
        <v>0</v>
      </c>
      <c r="C129" s="259">
        <f>'F07 OPERAC. (MAT,SERV &amp; EQUIPO)'!L99</f>
        <v>0</v>
      </c>
      <c r="D129" s="259">
        <f>'F07 OPERAC. (MAT,SERV &amp; EQUIPO)'!M99</f>
        <v>0</v>
      </c>
      <c r="E129" s="259">
        <f>'F07 OPERAC. (MAT,SERV &amp; EQUIPO)'!N99</f>
        <v>0</v>
      </c>
      <c r="F129" s="259">
        <f>'F07 OPERAC. (MAT,SERV &amp; EQUIPO)'!O99</f>
        <v>0</v>
      </c>
      <c r="G129" s="259">
        <f>'F07 OPERAC. (MAT,SERV &amp; EQUIPO)'!P99</f>
        <v>0</v>
      </c>
      <c r="H129" s="259">
        <f>'F07 OPERAC. (MAT,SERV &amp; EQUIPO)'!Q99</f>
        <v>0</v>
      </c>
      <c r="I129" s="259">
        <f>'F07 OPERAC. (MAT,SERV &amp; EQUIPO)'!R99</f>
        <v>0</v>
      </c>
      <c r="J129" s="259">
        <f>'F07 OPERAC. (MAT,SERV &amp; EQUIPO)'!S99</f>
        <v>0</v>
      </c>
      <c r="K129" s="259">
        <f>'F07 OPERAC. (MAT,SERV &amp; EQUIPO)'!T99</f>
        <v>0</v>
      </c>
      <c r="L129" s="259">
        <f>'F07 OPERAC. (MAT,SERV &amp; EQUIPO)'!U99</f>
        <v>0</v>
      </c>
      <c r="M129" s="259">
        <f>'F07 OPERAC. (MAT,SERV &amp; EQUIPO)'!V99</f>
        <v>0</v>
      </c>
      <c r="N129" s="259">
        <f>'F07 OPERAC. (MAT,SERV &amp; EQUIPO)'!W99</f>
        <v>0</v>
      </c>
      <c r="O129" s="259">
        <f>'F07 OPERAC. (MAT,SERV &amp; EQUIPO)'!X99</f>
        <v>0</v>
      </c>
      <c r="P129" s="259">
        <f>'F07 OPERAC. (MAT,SERV &amp; EQUIPO)'!Y99</f>
        <v>0</v>
      </c>
      <c r="Q129" s="380">
        <f t="shared" si="17"/>
        <v>0</v>
      </c>
    </row>
    <row r="130" spans="1:17" ht="20.149999999999999" hidden="1" customHeight="1" outlineLevel="1" x14ac:dyDescent="0.35">
      <c r="A130" s="255" t="s">
        <v>224</v>
      </c>
      <c r="B130" s="262">
        <f t="shared" si="16"/>
        <v>0</v>
      </c>
      <c r="C130" s="262">
        <f>'F07 OPERAC. (MAT,SERV &amp; EQUIPO)'!L100</f>
        <v>0</v>
      </c>
      <c r="D130" s="262">
        <f>'F07 OPERAC. (MAT,SERV &amp; EQUIPO)'!M100</f>
        <v>0</v>
      </c>
      <c r="E130" s="262">
        <f>'F07 OPERAC. (MAT,SERV &amp; EQUIPO)'!N100</f>
        <v>0</v>
      </c>
      <c r="F130" s="262">
        <f>'F07 OPERAC. (MAT,SERV &amp; EQUIPO)'!O100</f>
        <v>0</v>
      </c>
      <c r="G130" s="262">
        <f>'F07 OPERAC. (MAT,SERV &amp; EQUIPO)'!P100</f>
        <v>0</v>
      </c>
      <c r="H130" s="262">
        <f>'F07 OPERAC. (MAT,SERV &amp; EQUIPO)'!Q100</f>
        <v>0</v>
      </c>
      <c r="I130" s="262">
        <f>'F07 OPERAC. (MAT,SERV &amp; EQUIPO)'!R100</f>
        <v>0</v>
      </c>
      <c r="J130" s="262">
        <f>'F07 OPERAC. (MAT,SERV &amp; EQUIPO)'!S100</f>
        <v>0</v>
      </c>
      <c r="K130" s="262">
        <f>'F07 OPERAC. (MAT,SERV &amp; EQUIPO)'!T100</f>
        <v>0</v>
      </c>
      <c r="L130" s="262">
        <f>'F07 OPERAC. (MAT,SERV &amp; EQUIPO)'!U100</f>
        <v>0</v>
      </c>
      <c r="M130" s="262">
        <f>'F07 OPERAC. (MAT,SERV &amp; EQUIPO)'!V100</f>
        <v>0</v>
      </c>
      <c r="N130" s="262">
        <f>'F07 OPERAC. (MAT,SERV &amp; EQUIPO)'!W100</f>
        <v>0</v>
      </c>
      <c r="O130" s="262">
        <f>'F07 OPERAC. (MAT,SERV &amp; EQUIPO)'!X100</f>
        <v>0</v>
      </c>
      <c r="P130" s="262">
        <f>'F07 OPERAC. (MAT,SERV &amp; EQUIPO)'!Y100</f>
        <v>0</v>
      </c>
      <c r="Q130" s="380">
        <f t="shared" si="17"/>
        <v>0</v>
      </c>
    </row>
    <row r="131" spans="1:17" ht="20.149999999999999" hidden="1" customHeight="1" outlineLevel="1" x14ac:dyDescent="0.35">
      <c r="A131" s="258" t="s">
        <v>225</v>
      </c>
      <c r="B131" s="262">
        <f t="shared" si="16"/>
        <v>0</v>
      </c>
      <c r="C131" s="259">
        <f>'F07 OPERAC. (MAT,SERV &amp; EQUIPO)'!L101</f>
        <v>0</v>
      </c>
      <c r="D131" s="259">
        <f>'F07 OPERAC. (MAT,SERV &amp; EQUIPO)'!M101</f>
        <v>0</v>
      </c>
      <c r="E131" s="259">
        <f>'F07 OPERAC. (MAT,SERV &amp; EQUIPO)'!N101</f>
        <v>0</v>
      </c>
      <c r="F131" s="259">
        <f>'F07 OPERAC. (MAT,SERV &amp; EQUIPO)'!O101</f>
        <v>0</v>
      </c>
      <c r="G131" s="259">
        <f>'F07 OPERAC. (MAT,SERV &amp; EQUIPO)'!P101</f>
        <v>0</v>
      </c>
      <c r="H131" s="259">
        <f>'F07 OPERAC. (MAT,SERV &amp; EQUIPO)'!Q101</f>
        <v>0</v>
      </c>
      <c r="I131" s="259">
        <f>'F07 OPERAC. (MAT,SERV &amp; EQUIPO)'!R101</f>
        <v>0</v>
      </c>
      <c r="J131" s="259">
        <f>'F07 OPERAC. (MAT,SERV &amp; EQUIPO)'!S101</f>
        <v>0</v>
      </c>
      <c r="K131" s="259">
        <f>'F07 OPERAC. (MAT,SERV &amp; EQUIPO)'!T101</f>
        <v>0</v>
      </c>
      <c r="L131" s="259">
        <f>'F07 OPERAC. (MAT,SERV &amp; EQUIPO)'!U101</f>
        <v>0</v>
      </c>
      <c r="M131" s="259">
        <f>'F07 OPERAC. (MAT,SERV &amp; EQUIPO)'!V101</f>
        <v>0</v>
      </c>
      <c r="N131" s="259">
        <f>'F07 OPERAC. (MAT,SERV &amp; EQUIPO)'!W101</f>
        <v>0</v>
      </c>
      <c r="O131" s="259">
        <f>'F07 OPERAC. (MAT,SERV &amp; EQUIPO)'!X101</f>
        <v>0</v>
      </c>
      <c r="P131" s="259">
        <f>'F07 OPERAC. (MAT,SERV &amp; EQUIPO)'!Y101</f>
        <v>0</v>
      </c>
      <c r="Q131" s="380">
        <f t="shared" si="17"/>
        <v>0</v>
      </c>
    </row>
    <row r="132" spans="1:17" ht="20.149999999999999" hidden="1" customHeight="1" outlineLevel="1" x14ac:dyDescent="0.35">
      <c r="A132" s="255" t="s">
        <v>226</v>
      </c>
      <c r="B132" s="262">
        <f t="shared" si="16"/>
        <v>0</v>
      </c>
      <c r="C132" s="262">
        <f>'F07 OPERAC. (MAT,SERV &amp; EQUIPO)'!L102</f>
        <v>0</v>
      </c>
      <c r="D132" s="262">
        <f>'F07 OPERAC. (MAT,SERV &amp; EQUIPO)'!M102</f>
        <v>0</v>
      </c>
      <c r="E132" s="262">
        <f>'F07 OPERAC. (MAT,SERV &amp; EQUIPO)'!N102</f>
        <v>0</v>
      </c>
      <c r="F132" s="262">
        <f>'F07 OPERAC. (MAT,SERV &amp; EQUIPO)'!O102</f>
        <v>0</v>
      </c>
      <c r="G132" s="262">
        <f>'F07 OPERAC. (MAT,SERV &amp; EQUIPO)'!P102</f>
        <v>0</v>
      </c>
      <c r="H132" s="262">
        <f>'F07 OPERAC. (MAT,SERV &amp; EQUIPO)'!Q102</f>
        <v>0</v>
      </c>
      <c r="I132" s="262">
        <f>'F07 OPERAC. (MAT,SERV &amp; EQUIPO)'!R102</f>
        <v>0</v>
      </c>
      <c r="J132" s="262">
        <f>'F07 OPERAC. (MAT,SERV &amp; EQUIPO)'!S102</f>
        <v>0</v>
      </c>
      <c r="K132" s="262">
        <f>'F07 OPERAC. (MAT,SERV &amp; EQUIPO)'!T102</f>
        <v>0</v>
      </c>
      <c r="L132" s="262">
        <f>'F07 OPERAC. (MAT,SERV &amp; EQUIPO)'!U102</f>
        <v>0</v>
      </c>
      <c r="M132" s="262">
        <f>'F07 OPERAC. (MAT,SERV &amp; EQUIPO)'!V102</f>
        <v>0</v>
      </c>
      <c r="N132" s="262">
        <f>'F07 OPERAC. (MAT,SERV &amp; EQUIPO)'!W102</f>
        <v>0</v>
      </c>
      <c r="O132" s="262">
        <f>'F07 OPERAC. (MAT,SERV &amp; EQUIPO)'!X102</f>
        <v>0</v>
      </c>
      <c r="P132" s="262">
        <f>'F07 OPERAC. (MAT,SERV &amp; EQUIPO)'!Y102</f>
        <v>0</v>
      </c>
      <c r="Q132" s="380">
        <f t="shared" si="17"/>
        <v>0</v>
      </c>
    </row>
    <row r="133" spans="1:17" ht="20.149999999999999" hidden="1" customHeight="1" outlineLevel="1" x14ac:dyDescent="0.35">
      <c r="A133" s="258" t="s">
        <v>227</v>
      </c>
      <c r="B133" s="262">
        <f t="shared" si="16"/>
        <v>0</v>
      </c>
      <c r="C133" s="259">
        <f>'F07 OPERAC. (MAT,SERV &amp; EQUIPO)'!L103</f>
        <v>0</v>
      </c>
      <c r="D133" s="259">
        <f>'F07 OPERAC. (MAT,SERV &amp; EQUIPO)'!M103</f>
        <v>0</v>
      </c>
      <c r="E133" s="259">
        <f>'F07 OPERAC. (MAT,SERV &amp; EQUIPO)'!N103</f>
        <v>0</v>
      </c>
      <c r="F133" s="259">
        <f>'F07 OPERAC. (MAT,SERV &amp; EQUIPO)'!O103</f>
        <v>0</v>
      </c>
      <c r="G133" s="259">
        <f>'F07 OPERAC. (MAT,SERV &amp; EQUIPO)'!P103</f>
        <v>0</v>
      </c>
      <c r="H133" s="259">
        <f>'F07 OPERAC. (MAT,SERV &amp; EQUIPO)'!Q103</f>
        <v>0</v>
      </c>
      <c r="I133" s="259">
        <f>'F07 OPERAC. (MAT,SERV &amp; EQUIPO)'!R103</f>
        <v>0</v>
      </c>
      <c r="J133" s="259">
        <f>'F07 OPERAC. (MAT,SERV &amp; EQUIPO)'!S103</f>
        <v>0</v>
      </c>
      <c r="K133" s="259">
        <f>'F07 OPERAC. (MAT,SERV &amp; EQUIPO)'!T103</f>
        <v>0</v>
      </c>
      <c r="L133" s="259">
        <f>'F07 OPERAC. (MAT,SERV &amp; EQUIPO)'!U103</f>
        <v>0</v>
      </c>
      <c r="M133" s="259">
        <f>'F07 OPERAC. (MAT,SERV &amp; EQUIPO)'!V103</f>
        <v>0</v>
      </c>
      <c r="N133" s="259">
        <f>'F07 OPERAC. (MAT,SERV &amp; EQUIPO)'!W103</f>
        <v>0</v>
      </c>
      <c r="O133" s="259">
        <f>'F07 OPERAC. (MAT,SERV &amp; EQUIPO)'!X103</f>
        <v>0</v>
      </c>
      <c r="P133" s="259">
        <f>'F07 OPERAC. (MAT,SERV &amp; EQUIPO)'!Y103</f>
        <v>0</v>
      </c>
      <c r="Q133" s="380">
        <f t="shared" si="17"/>
        <v>0</v>
      </c>
    </row>
    <row r="134" spans="1:17" ht="20.149999999999999" hidden="1" customHeight="1" outlineLevel="1" x14ac:dyDescent="0.35">
      <c r="A134" s="255" t="s">
        <v>228</v>
      </c>
      <c r="B134" s="262">
        <f t="shared" si="16"/>
        <v>0</v>
      </c>
      <c r="C134" s="262">
        <f>'F07 OPERAC. (MAT,SERV &amp; EQUIPO)'!L104</f>
        <v>0</v>
      </c>
      <c r="D134" s="262">
        <f>'F07 OPERAC. (MAT,SERV &amp; EQUIPO)'!M104</f>
        <v>0</v>
      </c>
      <c r="E134" s="262">
        <f>'F07 OPERAC. (MAT,SERV &amp; EQUIPO)'!N104</f>
        <v>0</v>
      </c>
      <c r="F134" s="262">
        <f>'F07 OPERAC. (MAT,SERV &amp; EQUIPO)'!O104</f>
        <v>0</v>
      </c>
      <c r="G134" s="262">
        <f>'F07 OPERAC. (MAT,SERV &amp; EQUIPO)'!P104</f>
        <v>0</v>
      </c>
      <c r="H134" s="262">
        <f>'F07 OPERAC. (MAT,SERV &amp; EQUIPO)'!Q104</f>
        <v>0</v>
      </c>
      <c r="I134" s="262">
        <f>'F07 OPERAC. (MAT,SERV &amp; EQUIPO)'!R104</f>
        <v>0</v>
      </c>
      <c r="J134" s="262">
        <f>'F07 OPERAC. (MAT,SERV &amp; EQUIPO)'!S104</f>
        <v>0</v>
      </c>
      <c r="K134" s="262">
        <f>'F07 OPERAC. (MAT,SERV &amp; EQUIPO)'!T104</f>
        <v>0</v>
      </c>
      <c r="L134" s="262">
        <f>'F07 OPERAC. (MAT,SERV &amp; EQUIPO)'!U104</f>
        <v>0</v>
      </c>
      <c r="M134" s="262">
        <f>'F07 OPERAC. (MAT,SERV &amp; EQUIPO)'!V104</f>
        <v>0</v>
      </c>
      <c r="N134" s="262">
        <f>'F07 OPERAC. (MAT,SERV &amp; EQUIPO)'!W104</f>
        <v>0</v>
      </c>
      <c r="O134" s="262">
        <f>'F07 OPERAC. (MAT,SERV &amp; EQUIPO)'!X104</f>
        <v>0</v>
      </c>
      <c r="P134" s="262">
        <f>'F07 OPERAC. (MAT,SERV &amp; EQUIPO)'!Y104</f>
        <v>0</v>
      </c>
      <c r="Q134" s="380">
        <f t="shared" si="17"/>
        <v>0</v>
      </c>
    </row>
    <row r="135" spans="1:17" ht="20.149999999999999" hidden="1" customHeight="1" outlineLevel="1" x14ac:dyDescent="0.35">
      <c r="A135" s="258" t="s">
        <v>229</v>
      </c>
      <c r="B135" s="262">
        <f t="shared" si="16"/>
        <v>72280</v>
      </c>
      <c r="C135" s="259">
        <f>'F07 OPERAC. (MAT,SERV &amp; EQUIPO)'!L105</f>
        <v>0</v>
      </c>
      <c r="D135" s="259">
        <f>'F07 OPERAC. (MAT,SERV &amp; EQUIPO)'!M105</f>
        <v>72280</v>
      </c>
      <c r="E135" s="259">
        <f>'F07 OPERAC. (MAT,SERV &amp; EQUIPO)'!N105</f>
        <v>0</v>
      </c>
      <c r="F135" s="259">
        <f>'F07 OPERAC. (MAT,SERV &amp; EQUIPO)'!O105</f>
        <v>0</v>
      </c>
      <c r="G135" s="259">
        <f>'F07 OPERAC. (MAT,SERV &amp; EQUIPO)'!P105</f>
        <v>0</v>
      </c>
      <c r="H135" s="259">
        <f>'F07 OPERAC. (MAT,SERV &amp; EQUIPO)'!Q105</f>
        <v>0</v>
      </c>
      <c r="I135" s="259">
        <f>'F07 OPERAC. (MAT,SERV &amp; EQUIPO)'!R105</f>
        <v>0</v>
      </c>
      <c r="J135" s="259">
        <f>'F07 OPERAC. (MAT,SERV &amp; EQUIPO)'!S105</f>
        <v>0</v>
      </c>
      <c r="K135" s="259">
        <f>'F07 OPERAC. (MAT,SERV &amp; EQUIPO)'!T105</f>
        <v>0</v>
      </c>
      <c r="L135" s="259">
        <f>'F07 OPERAC. (MAT,SERV &amp; EQUIPO)'!U105</f>
        <v>0</v>
      </c>
      <c r="M135" s="259">
        <f>'F07 OPERAC. (MAT,SERV &amp; EQUIPO)'!V105</f>
        <v>0</v>
      </c>
      <c r="N135" s="259">
        <f>'F07 OPERAC. (MAT,SERV &amp; EQUIPO)'!W105</f>
        <v>0</v>
      </c>
      <c r="O135" s="259">
        <f>'F07 OPERAC. (MAT,SERV &amp; EQUIPO)'!X105</f>
        <v>0</v>
      </c>
      <c r="P135" s="259">
        <f>'F07 OPERAC. (MAT,SERV &amp; EQUIPO)'!Y105</f>
        <v>0</v>
      </c>
      <c r="Q135" s="380">
        <f t="shared" si="17"/>
        <v>3.1070265797172101E-3</v>
      </c>
    </row>
    <row r="136" spans="1:17" ht="20.149999999999999" hidden="1" customHeight="1" outlineLevel="1" x14ac:dyDescent="0.35">
      <c r="A136" s="255" t="s">
        <v>105</v>
      </c>
      <c r="B136" s="262">
        <f t="shared" si="16"/>
        <v>0</v>
      </c>
      <c r="C136" s="262">
        <f>'F07 OPERAC. (MAT,SERV &amp; EQUIPO)'!L106</f>
        <v>0</v>
      </c>
      <c r="D136" s="262">
        <f>'F07 OPERAC. (MAT,SERV &amp; EQUIPO)'!M106</f>
        <v>0</v>
      </c>
      <c r="E136" s="262">
        <f>'F07 OPERAC. (MAT,SERV &amp; EQUIPO)'!N106</f>
        <v>0</v>
      </c>
      <c r="F136" s="262">
        <f>'F07 OPERAC. (MAT,SERV &amp; EQUIPO)'!O106</f>
        <v>0</v>
      </c>
      <c r="G136" s="262">
        <f>'F07 OPERAC. (MAT,SERV &amp; EQUIPO)'!P106</f>
        <v>0</v>
      </c>
      <c r="H136" s="262">
        <f>'F07 OPERAC. (MAT,SERV &amp; EQUIPO)'!Q106</f>
        <v>0</v>
      </c>
      <c r="I136" s="262">
        <f>'F07 OPERAC. (MAT,SERV &amp; EQUIPO)'!R106</f>
        <v>0</v>
      </c>
      <c r="J136" s="262">
        <f>'F07 OPERAC. (MAT,SERV &amp; EQUIPO)'!S106</f>
        <v>0</v>
      </c>
      <c r="K136" s="262">
        <f>'F07 OPERAC. (MAT,SERV &amp; EQUIPO)'!T106</f>
        <v>0</v>
      </c>
      <c r="L136" s="262">
        <f>'F07 OPERAC. (MAT,SERV &amp; EQUIPO)'!U106</f>
        <v>0</v>
      </c>
      <c r="M136" s="262">
        <f>'F07 OPERAC. (MAT,SERV &amp; EQUIPO)'!V106</f>
        <v>0</v>
      </c>
      <c r="N136" s="262">
        <f>'F07 OPERAC. (MAT,SERV &amp; EQUIPO)'!W106</f>
        <v>0</v>
      </c>
      <c r="O136" s="262">
        <f>'F07 OPERAC. (MAT,SERV &amp; EQUIPO)'!X106</f>
        <v>0</v>
      </c>
      <c r="P136" s="262">
        <f>'F07 OPERAC. (MAT,SERV &amp; EQUIPO)'!Y106</f>
        <v>0</v>
      </c>
      <c r="Q136" s="380">
        <f t="shared" ref="Q136:Q161" si="18">B136/$B$162</f>
        <v>0</v>
      </c>
    </row>
    <row r="137" spans="1:17" ht="20.149999999999999" hidden="1" customHeight="1" outlineLevel="1" x14ac:dyDescent="0.35">
      <c r="A137" s="258" t="s">
        <v>230</v>
      </c>
      <c r="B137" s="262">
        <f t="shared" si="16"/>
        <v>0</v>
      </c>
      <c r="C137" s="259">
        <f>'F07 OPERAC. (MAT,SERV &amp; EQUIPO)'!L107</f>
        <v>0</v>
      </c>
      <c r="D137" s="259">
        <f>'F07 OPERAC. (MAT,SERV &amp; EQUIPO)'!M107</f>
        <v>0</v>
      </c>
      <c r="E137" s="259">
        <f>'F07 OPERAC. (MAT,SERV &amp; EQUIPO)'!N107</f>
        <v>0</v>
      </c>
      <c r="F137" s="259">
        <f>'F07 OPERAC. (MAT,SERV &amp; EQUIPO)'!O107</f>
        <v>0</v>
      </c>
      <c r="G137" s="259">
        <f>'F07 OPERAC. (MAT,SERV &amp; EQUIPO)'!P107</f>
        <v>0</v>
      </c>
      <c r="H137" s="259">
        <f>'F07 OPERAC. (MAT,SERV &amp; EQUIPO)'!Q107</f>
        <v>0</v>
      </c>
      <c r="I137" s="259">
        <f>'F07 OPERAC. (MAT,SERV &amp; EQUIPO)'!R107</f>
        <v>0</v>
      </c>
      <c r="J137" s="259">
        <f>'F07 OPERAC. (MAT,SERV &amp; EQUIPO)'!S107</f>
        <v>0</v>
      </c>
      <c r="K137" s="259">
        <f>'F07 OPERAC. (MAT,SERV &amp; EQUIPO)'!T107</f>
        <v>0</v>
      </c>
      <c r="L137" s="259">
        <f>'F07 OPERAC. (MAT,SERV &amp; EQUIPO)'!U107</f>
        <v>0</v>
      </c>
      <c r="M137" s="259">
        <f>'F07 OPERAC. (MAT,SERV &amp; EQUIPO)'!V107</f>
        <v>0</v>
      </c>
      <c r="N137" s="259">
        <f>'F07 OPERAC. (MAT,SERV &amp; EQUIPO)'!W107</f>
        <v>0</v>
      </c>
      <c r="O137" s="259">
        <f>'F07 OPERAC. (MAT,SERV &amp; EQUIPO)'!X107</f>
        <v>0</v>
      </c>
      <c r="P137" s="259">
        <f>'F07 OPERAC. (MAT,SERV &amp; EQUIPO)'!Y107</f>
        <v>0</v>
      </c>
      <c r="Q137" s="380">
        <f t="shared" si="18"/>
        <v>0</v>
      </c>
    </row>
    <row r="138" spans="1:17" ht="20.149999999999999" hidden="1" customHeight="1" outlineLevel="1" x14ac:dyDescent="0.35">
      <c r="A138" s="255" t="s">
        <v>231</v>
      </c>
      <c r="B138" s="262">
        <f t="shared" si="16"/>
        <v>0</v>
      </c>
      <c r="C138" s="262">
        <f>'F07 OPERAC. (MAT,SERV &amp; EQUIPO)'!L108</f>
        <v>0</v>
      </c>
      <c r="D138" s="262">
        <f>'F07 OPERAC. (MAT,SERV &amp; EQUIPO)'!M108</f>
        <v>0</v>
      </c>
      <c r="E138" s="262">
        <f>'F07 OPERAC. (MAT,SERV &amp; EQUIPO)'!N108</f>
        <v>0</v>
      </c>
      <c r="F138" s="262">
        <f>'F07 OPERAC. (MAT,SERV &amp; EQUIPO)'!O108</f>
        <v>0</v>
      </c>
      <c r="G138" s="262">
        <f>'F07 OPERAC. (MAT,SERV &amp; EQUIPO)'!P108</f>
        <v>0</v>
      </c>
      <c r="H138" s="262">
        <f>'F07 OPERAC. (MAT,SERV &amp; EQUIPO)'!Q108</f>
        <v>0</v>
      </c>
      <c r="I138" s="262">
        <f>'F07 OPERAC. (MAT,SERV &amp; EQUIPO)'!R108</f>
        <v>0</v>
      </c>
      <c r="J138" s="262">
        <f>'F07 OPERAC. (MAT,SERV &amp; EQUIPO)'!S108</f>
        <v>0</v>
      </c>
      <c r="K138" s="262">
        <f>'F07 OPERAC. (MAT,SERV &amp; EQUIPO)'!T108</f>
        <v>0</v>
      </c>
      <c r="L138" s="262">
        <f>'F07 OPERAC. (MAT,SERV &amp; EQUIPO)'!U108</f>
        <v>0</v>
      </c>
      <c r="M138" s="262">
        <f>'F07 OPERAC. (MAT,SERV &amp; EQUIPO)'!V108</f>
        <v>0</v>
      </c>
      <c r="N138" s="262">
        <f>'F07 OPERAC. (MAT,SERV &amp; EQUIPO)'!W108</f>
        <v>0</v>
      </c>
      <c r="O138" s="262">
        <f>'F07 OPERAC. (MAT,SERV &amp; EQUIPO)'!X108</f>
        <v>0</v>
      </c>
      <c r="P138" s="262">
        <f>'F07 OPERAC. (MAT,SERV &amp; EQUIPO)'!Y108</f>
        <v>0</v>
      </c>
      <c r="Q138" s="380">
        <f t="shared" si="18"/>
        <v>0</v>
      </c>
    </row>
    <row r="139" spans="1:17" ht="20.149999999999999" hidden="1" customHeight="1" outlineLevel="1" x14ac:dyDescent="0.35">
      <c r="A139" s="258" t="s">
        <v>232</v>
      </c>
      <c r="B139" s="262">
        <f t="shared" si="16"/>
        <v>0</v>
      </c>
      <c r="C139" s="259">
        <f>'F07 OPERAC. (MAT,SERV &amp; EQUIPO)'!L109</f>
        <v>0</v>
      </c>
      <c r="D139" s="259">
        <f>'F07 OPERAC. (MAT,SERV &amp; EQUIPO)'!M109</f>
        <v>0</v>
      </c>
      <c r="E139" s="259">
        <f>'F07 OPERAC. (MAT,SERV &amp; EQUIPO)'!N109</f>
        <v>0</v>
      </c>
      <c r="F139" s="259">
        <f>'F07 OPERAC. (MAT,SERV &amp; EQUIPO)'!O109</f>
        <v>0</v>
      </c>
      <c r="G139" s="259">
        <f>'F07 OPERAC. (MAT,SERV &amp; EQUIPO)'!P109</f>
        <v>0</v>
      </c>
      <c r="H139" s="259">
        <f>'F07 OPERAC. (MAT,SERV &amp; EQUIPO)'!Q109</f>
        <v>0</v>
      </c>
      <c r="I139" s="259">
        <f>'F07 OPERAC. (MAT,SERV &amp; EQUIPO)'!R109</f>
        <v>0</v>
      </c>
      <c r="J139" s="259">
        <f>'F07 OPERAC. (MAT,SERV &amp; EQUIPO)'!S109</f>
        <v>0</v>
      </c>
      <c r="K139" s="259">
        <f>'F07 OPERAC. (MAT,SERV &amp; EQUIPO)'!T109</f>
        <v>0</v>
      </c>
      <c r="L139" s="259">
        <f>'F07 OPERAC. (MAT,SERV &amp; EQUIPO)'!U109</f>
        <v>0</v>
      </c>
      <c r="M139" s="259">
        <f>'F07 OPERAC. (MAT,SERV &amp; EQUIPO)'!V109</f>
        <v>0</v>
      </c>
      <c r="N139" s="259">
        <f>'F07 OPERAC. (MAT,SERV &amp; EQUIPO)'!W109</f>
        <v>0</v>
      </c>
      <c r="O139" s="259">
        <f>'F07 OPERAC. (MAT,SERV &amp; EQUIPO)'!X109</f>
        <v>0</v>
      </c>
      <c r="P139" s="259">
        <f>'F07 OPERAC. (MAT,SERV &amp; EQUIPO)'!Y109</f>
        <v>0</v>
      </c>
      <c r="Q139" s="380">
        <f t="shared" si="18"/>
        <v>0</v>
      </c>
    </row>
    <row r="140" spans="1:17" ht="20.149999999999999" hidden="1" customHeight="1" outlineLevel="1" x14ac:dyDescent="0.35">
      <c r="A140" s="255" t="s">
        <v>233</v>
      </c>
      <c r="B140" s="262">
        <f t="shared" si="16"/>
        <v>0</v>
      </c>
      <c r="C140" s="262">
        <f>'F07 OPERAC. (MAT,SERV &amp; EQUIPO)'!L110</f>
        <v>0</v>
      </c>
      <c r="D140" s="262">
        <f>'F07 OPERAC. (MAT,SERV &amp; EQUIPO)'!M110</f>
        <v>0</v>
      </c>
      <c r="E140" s="262">
        <f>'F07 OPERAC. (MAT,SERV &amp; EQUIPO)'!N110</f>
        <v>0</v>
      </c>
      <c r="F140" s="262">
        <f>'F07 OPERAC. (MAT,SERV &amp; EQUIPO)'!O110</f>
        <v>0</v>
      </c>
      <c r="G140" s="262">
        <f>'F07 OPERAC. (MAT,SERV &amp; EQUIPO)'!P110</f>
        <v>0</v>
      </c>
      <c r="H140" s="262">
        <f>'F07 OPERAC. (MAT,SERV &amp; EQUIPO)'!Q110</f>
        <v>0</v>
      </c>
      <c r="I140" s="262">
        <f>'F07 OPERAC. (MAT,SERV &amp; EQUIPO)'!R110</f>
        <v>0</v>
      </c>
      <c r="J140" s="262">
        <f>'F07 OPERAC. (MAT,SERV &amp; EQUIPO)'!S110</f>
        <v>0</v>
      </c>
      <c r="K140" s="262">
        <f>'F07 OPERAC. (MAT,SERV &amp; EQUIPO)'!T110</f>
        <v>0</v>
      </c>
      <c r="L140" s="262">
        <f>'F07 OPERAC. (MAT,SERV &amp; EQUIPO)'!U110</f>
        <v>0</v>
      </c>
      <c r="M140" s="262">
        <f>'F07 OPERAC. (MAT,SERV &amp; EQUIPO)'!V110</f>
        <v>0</v>
      </c>
      <c r="N140" s="262">
        <f>'F07 OPERAC. (MAT,SERV &amp; EQUIPO)'!W110</f>
        <v>0</v>
      </c>
      <c r="O140" s="262">
        <f>'F07 OPERAC. (MAT,SERV &amp; EQUIPO)'!X110</f>
        <v>0</v>
      </c>
      <c r="P140" s="262">
        <f>'F07 OPERAC. (MAT,SERV &amp; EQUIPO)'!Y110</f>
        <v>0</v>
      </c>
      <c r="Q140" s="380">
        <f t="shared" si="18"/>
        <v>0</v>
      </c>
    </row>
    <row r="141" spans="1:17" ht="20.149999999999999" hidden="1" customHeight="1" outlineLevel="1" x14ac:dyDescent="0.35">
      <c r="A141" s="258" t="s">
        <v>234</v>
      </c>
      <c r="B141" s="262">
        <f t="shared" si="16"/>
        <v>0</v>
      </c>
      <c r="C141" s="259">
        <f>'F07 OPERAC. (MAT,SERV &amp; EQUIPO)'!L111</f>
        <v>0</v>
      </c>
      <c r="D141" s="259">
        <f>'F07 OPERAC. (MAT,SERV &amp; EQUIPO)'!M111</f>
        <v>0</v>
      </c>
      <c r="E141" s="259">
        <f>'F07 OPERAC. (MAT,SERV &amp; EQUIPO)'!N111</f>
        <v>0</v>
      </c>
      <c r="F141" s="259">
        <f>'F07 OPERAC. (MAT,SERV &amp; EQUIPO)'!O111</f>
        <v>0</v>
      </c>
      <c r="G141" s="259">
        <f>'F07 OPERAC. (MAT,SERV &amp; EQUIPO)'!P111</f>
        <v>0</v>
      </c>
      <c r="H141" s="259">
        <f>'F07 OPERAC. (MAT,SERV &amp; EQUIPO)'!Q111</f>
        <v>0</v>
      </c>
      <c r="I141" s="259">
        <f>'F07 OPERAC. (MAT,SERV &amp; EQUIPO)'!R111</f>
        <v>0</v>
      </c>
      <c r="J141" s="259">
        <f>'F07 OPERAC. (MAT,SERV &amp; EQUIPO)'!S111</f>
        <v>0</v>
      </c>
      <c r="K141" s="259">
        <f>'F07 OPERAC. (MAT,SERV &amp; EQUIPO)'!T111</f>
        <v>0</v>
      </c>
      <c r="L141" s="259">
        <f>'F07 OPERAC. (MAT,SERV &amp; EQUIPO)'!U111</f>
        <v>0</v>
      </c>
      <c r="M141" s="259">
        <f>'F07 OPERAC. (MAT,SERV &amp; EQUIPO)'!V111</f>
        <v>0</v>
      </c>
      <c r="N141" s="259">
        <f>'F07 OPERAC. (MAT,SERV &amp; EQUIPO)'!W111</f>
        <v>0</v>
      </c>
      <c r="O141" s="259">
        <f>'F07 OPERAC. (MAT,SERV &amp; EQUIPO)'!X111</f>
        <v>0</v>
      </c>
      <c r="P141" s="259">
        <f>'F07 OPERAC. (MAT,SERV &amp; EQUIPO)'!Y111</f>
        <v>0</v>
      </c>
      <c r="Q141" s="380">
        <f t="shared" si="18"/>
        <v>0</v>
      </c>
    </row>
    <row r="142" spans="1:17" ht="20.149999999999999" hidden="1" customHeight="1" outlineLevel="1" x14ac:dyDescent="0.35">
      <c r="A142" s="255" t="s">
        <v>235</v>
      </c>
      <c r="B142" s="262">
        <f t="shared" si="16"/>
        <v>0</v>
      </c>
      <c r="C142" s="262">
        <f>'F07 OPERAC. (MAT,SERV &amp; EQUIPO)'!L112</f>
        <v>0</v>
      </c>
      <c r="D142" s="262">
        <f>'F07 OPERAC. (MAT,SERV &amp; EQUIPO)'!M112</f>
        <v>0</v>
      </c>
      <c r="E142" s="262">
        <f>'F07 OPERAC. (MAT,SERV &amp; EQUIPO)'!N112</f>
        <v>0</v>
      </c>
      <c r="F142" s="262">
        <f>'F07 OPERAC. (MAT,SERV &amp; EQUIPO)'!O112</f>
        <v>0</v>
      </c>
      <c r="G142" s="262">
        <f>'F07 OPERAC. (MAT,SERV &amp; EQUIPO)'!P112</f>
        <v>0</v>
      </c>
      <c r="H142" s="262">
        <f>'F07 OPERAC. (MAT,SERV &amp; EQUIPO)'!Q112</f>
        <v>0</v>
      </c>
      <c r="I142" s="262">
        <f>'F07 OPERAC. (MAT,SERV &amp; EQUIPO)'!R112</f>
        <v>0</v>
      </c>
      <c r="J142" s="262">
        <f>'F07 OPERAC. (MAT,SERV &amp; EQUIPO)'!S112</f>
        <v>0</v>
      </c>
      <c r="K142" s="262">
        <f>'F07 OPERAC. (MAT,SERV &amp; EQUIPO)'!T112</f>
        <v>0</v>
      </c>
      <c r="L142" s="262">
        <f>'F07 OPERAC. (MAT,SERV &amp; EQUIPO)'!U112</f>
        <v>0</v>
      </c>
      <c r="M142" s="262">
        <f>'F07 OPERAC. (MAT,SERV &amp; EQUIPO)'!V112</f>
        <v>0</v>
      </c>
      <c r="N142" s="262">
        <f>'F07 OPERAC. (MAT,SERV &amp; EQUIPO)'!W112</f>
        <v>0</v>
      </c>
      <c r="O142" s="262">
        <f>'F07 OPERAC. (MAT,SERV &amp; EQUIPO)'!X112</f>
        <v>0</v>
      </c>
      <c r="P142" s="262">
        <f>'F07 OPERAC. (MAT,SERV &amp; EQUIPO)'!Y112</f>
        <v>0</v>
      </c>
      <c r="Q142" s="380">
        <f t="shared" si="18"/>
        <v>0</v>
      </c>
    </row>
    <row r="143" spans="1:17" ht="20.149999999999999" hidden="1" customHeight="1" outlineLevel="1" x14ac:dyDescent="0.35">
      <c r="A143" s="258" t="s">
        <v>191</v>
      </c>
      <c r="B143" s="262">
        <f t="shared" si="16"/>
        <v>0</v>
      </c>
      <c r="C143" s="259">
        <f>'F07 OPERAC. (MAT,SERV &amp; EQUIPO)'!L113</f>
        <v>0</v>
      </c>
      <c r="D143" s="259">
        <f>'F07 OPERAC. (MAT,SERV &amp; EQUIPO)'!M113</f>
        <v>0</v>
      </c>
      <c r="E143" s="259">
        <f>'F07 OPERAC. (MAT,SERV &amp; EQUIPO)'!N113</f>
        <v>0</v>
      </c>
      <c r="F143" s="259">
        <f>'F07 OPERAC. (MAT,SERV &amp; EQUIPO)'!O113</f>
        <v>0</v>
      </c>
      <c r="G143" s="259">
        <f>'F07 OPERAC. (MAT,SERV &amp; EQUIPO)'!P113</f>
        <v>0</v>
      </c>
      <c r="H143" s="259">
        <f>'F07 OPERAC. (MAT,SERV &amp; EQUIPO)'!Q113</f>
        <v>0</v>
      </c>
      <c r="I143" s="259">
        <f>'F07 OPERAC. (MAT,SERV &amp; EQUIPO)'!R113</f>
        <v>0</v>
      </c>
      <c r="J143" s="259">
        <f>'F07 OPERAC. (MAT,SERV &amp; EQUIPO)'!S113</f>
        <v>0</v>
      </c>
      <c r="K143" s="259">
        <f>'F07 OPERAC. (MAT,SERV &amp; EQUIPO)'!T113</f>
        <v>0</v>
      </c>
      <c r="L143" s="259">
        <f>'F07 OPERAC. (MAT,SERV &amp; EQUIPO)'!U113</f>
        <v>0</v>
      </c>
      <c r="M143" s="259">
        <f>'F07 OPERAC. (MAT,SERV &amp; EQUIPO)'!V113</f>
        <v>0</v>
      </c>
      <c r="N143" s="259">
        <f>'F07 OPERAC. (MAT,SERV &amp; EQUIPO)'!W113</f>
        <v>0</v>
      </c>
      <c r="O143" s="259">
        <f>'F07 OPERAC. (MAT,SERV &amp; EQUIPO)'!X113</f>
        <v>0</v>
      </c>
      <c r="P143" s="259">
        <f>'F07 OPERAC. (MAT,SERV &amp; EQUIPO)'!Y113</f>
        <v>0</v>
      </c>
      <c r="Q143" s="380">
        <f t="shared" si="18"/>
        <v>0</v>
      </c>
    </row>
    <row r="144" spans="1:17" ht="20.149999999999999" hidden="1" customHeight="1" outlineLevel="1" x14ac:dyDescent="0.35">
      <c r="A144" s="255" t="s">
        <v>236</v>
      </c>
      <c r="B144" s="262">
        <f t="shared" si="16"/>
        <v>0</v>
      </c>
      <c r="C144" s="262">
        <f>'F07 OPERAC. (MAT,SERV &amp; EQUIPO)'!L114</f>
        <v>0</v>
      </c>
      <c r="D144" s="262">
        <f>'F07 OPERAC. (MAT,SERV &amp; EQUIPO)'!M114</f>
        <v>0</v>
      </c>
      <c r="E144" s="262">
        <f>'F07 OPERAC. (MAT,SERV &amp; EQUIPO)'!N114</f>
        <v>0</v>
      </c>
      <c r="F144" s="262">
        <f>'F07 OPERAC. (MAT,SERV &amp; EQUIPO)'!O114</f>
        <v>0</v>
      </c>
      <c r="G144" s="262">
        <f>'F07 OPERAC. (MAT,SERV &amp; EQUIPO)'!P114</f>
        <v>0</v>
      </c>
      <c r="H144" s="262">
        <f>'F07 OPERAC. (MAT,SERV &amp; EQUIPO)'!Q114</f>
        <v>0</v>
      </c>
      <c r="I144" s="262">
        <f>'F07 OPERAC. (MAT,SERV &amp; EQUIPO)'!R114</f>
        <v>0</v>
      </c>
      <c r="J144" s="262">
        <f>'F07 OPERAC. (MAT,SERV &amp; EQUIPO)'!S114</f>
        <v>0</v>
      </c>
      <c r="K144" s="262">
        <f>'F07 OPERAC. (MAT,SERV &amp; EQUIPO)'!T114</f>
        <v>0</v>
      </c>
      <c r="L144" s="262">
        <f>'F07 OPERAC. (MAT,SERV &amp; EQUIPO)'!U114</f>
        <v>0</v>
      </c>
      <c r="M144" s="262">
        <f>'F07 OPERAC. (MAT,SERV &amp; EQUIPO)'!V114</f>
        <v>0</v>
      </c>
      <c r="N144" s="262">
        <f>'F07 OPERAC. (MAT,SERV &amp; EQUIPO)'!W114</f>
        <v>0</v>
      </c>
      <c r="O144" s="262">
        <f>'F07 OPERAC. (MAT,SERV &amp; EQUIPO)'!X114</f>
        <v>0</v>
      </c>
      <c r="P144" s="262">
        <f>'F07 OPERAC. (MAT,SERV &amp; EQUIPO)'!Y114</f>
        <v>0</v>
      </c>
      <c r="Q144" s="380">
        <f t="shared" si="18"/>
        <v>0</v>
      </c>
    </row>
    <row r="145" spans="1:20" ht="20.149999999999999" hidden="1" customHeight="1" outlineLevel="1" x14ac:dyDescent="0.35">
      <c r="A145" s="258" t="s">
        <v>237</v>
      </c>
      <c r="B145" s="262">
        <f t="shared" si="16"/>
        <v>0</v>
      </c>
      <c r="C145" s="259">
        <f>'F07 OPERAC. (MAT,SERV &amp; EQUIPO)'!L115</f>
        <v>0</v>
      </c>
      <c r="D145" s="259">
        <f>'F07 OPERAC. (MAT,SERV &amp; EQUIPO)'!M115</f>
        <v>0</v>
      </c>
      <c r="E145" s="259">
        <f>'F07 OPERAC. (MAT,SERV &amp; EQUIPO)'!N115</f>
        <v>0</v>
      </c>
      <c r="F145" s="259">
        <f>'F07 OPERAC. (MAT,SERV &amp; EQUIPO)'!O115</f>
        <v>0</v>
      </c>
      <c r="G145" s="259">
        <f>'F07 OPERAC. (MAT,SERV &amp; EQUIPO)'!P115</f>
        <v>0</v>
      </c>
      <c r="H145" s="259">
        <f>'F07 OPERAC. (MAT,SERV &amp; EQUIPO)'!Q115</f>
        <v>0</v>
      </c>
      <c r="I145" s="259">
        <f>'F07 OPERAC. (MAT,SERV &amp; EQUIPO)'!R115</f>
        <v>0</v>
      </c>
      <c r="J145" s="259">
        <f>'F07 OPERAC. (MAT,SERV &amp; EQUIPO)'!S115</f>
        <v>0</v>
      </c>
      <c r="K145" s="259">
        <f>'F07 OPERAC. (MAT,SERV &amp; EQUIPO)'!T115</f>
        <v>0</v>
      </c>
      <c r="L145" s="259">
        <f>'F07 OPERAC. (MAT,SERV &amp; EQUIPO)'!U115</f>
        <v>0</v>
      </c>
      <c r="M145" s="259">
        <f>'F07 OPERAC. (MAT,SERV &amp; EQUIPO)'!V115</f>
        <v>0</v>
      </c>
      <c r="N145" s="259">
        <f>'F07 OPERAC. (MAT,SERV &amp; EQUIPO)'!W115</f>
        <v>0</v>
      </c>
      <c r="O145" s="259">
        <f>'F07 OPERAC. (MAT,SERV &amp; EQUIPO)'!X115</f>
        <v>0</v>
      </c>
      <c r="P145" s="259">
        <f>'F07 OPERAC. (MAT,SERV &amp; EQUIPO)'!Y115</f>
        <v>0</v>
      </c>
      <c r="Q145" s="380">
        <f t="shared" si="18"/>
        <v>0</v>
      </c>
    </row>
    <row r="146" spans="1:20" s="3" customFormat="1" ht="20.149999999999999" customHeight="1" collapsed="1" x14ac:dyDescent="0.35">
      <c r="A146" s="263" t="s">
        <v>4</v>
      </c>
      <c r="B146" s="264">
        <f>SUM(B83:B145)</f>
        <v>3241593.2775999997</v>
      </c>
      <c r="C146" s="265">
        <f t="shared" ref="C146:P146" si="19">SUM(C83:C145)</f>
        <v>1959720.8087999998</v>
      </c>
      <c r="D146" s="265">
        <f t="shared" si="19"/>
        <v>1281872.4687999999</v>
      </c>
      <c r="E146" s="265">
        <f t="shared" si="19"/>
        <v>0</v>
      </c>
      <c r="F146" s="265">
        <f t="shared" si="19"/>
        <v>0</v>
      </c>
      <c r="G146" s="265">
        <f t="shared" si="19"/>
        <v>0</v>
      </c>
      <c r="H146" s="265">
        <f t="shared" si="19"/>
        <v>0</v>
      </c>
      <c r="I146" s="265">
        <f t="shared" si="19"/>
        <v>0</v>
      </c>
      <c r="J146" s="265">
        <f t="shared" si="19"/>
        <v>0</v>
      </c>
      <c r="K146" s="265">
        <f t="shared" si="19"/>
        <v>0</v>
      </c>
      <c r="L146" s="265">
        <f t="shared" si="19"/>
        <v>0</v>
      </c>
      <c r="M146" s="265">
        <f t="shared" si="19"/>
        <v>0</v>
      </c>
      <c r="N146" s="265">
        <f t="shared" si="19"/>
        <v>0</v>
      </c>
      <c r="O146" s="265">
        <f t="shared" si="19"/>
        <v>0</v>
      </c>
      <c r="P146" s="265">
        <f t="shared" si="19"/>
        <v>0</v>
      </c>
      <c r="Q146" s="380">
        <f t="shared" si="18"/>
        <v>0.13934306134664953</v>
      </c>
      <c r="R146" s="2"/>
      <c r="S146" s="2"/>
      <c r="T146" s="2"/>
    </row>
    <row r="147" spans="1:20" s="3" customFormat="1" ht="20.149999999999999" customHeight="1" x14ac:dyDescent="0.35">
      <c r="A147" s="263" t="s">
        <v>102</v>
      </c>
      <c r="B147" s="264">
        <f>SUM(C147:P147)</f>
        <v>0</v>
      </c>
      <c r="C147" s="265">
        <f>'F07 OPERAC. (MAT,SERV &amp; EQUIPO)'!L176</f>
        <v>0</v>
      </c>
      <c r="D147" s="265">
        <f>'F07 OPERAC. (MAT,SERV &amp; EQUIPO)'!M176</f>
        <v>0</v>
      </c>
      <c r="E147" s="265">
        <f>'F07 OPERAC. (MAT,SERV &amp; EQUIPO)'!N176</f>
        <v>0</v>
      </c>
      <c r="F147" s="265">
        <f>'F07 OPERAC. (MAT,SERV &amp; EQUIPO)'!O176</f>
        <v>0</v>
      </c>
      <c r="G147" s="265">
        <f>'F07 OPERAC. (MAT,SERV &amp; EQUIPO)'!P176</f>
        <v>0</v>
      </c>
      <c r="H147" s="265">
        <f>'F07 OPERAC. (MAT,SERV &amp; EQUIPO)'!Q176</f>
        <v>0</v>
      </c>
      <c r="I147" s="265">
        <f>'F07 OPERAC. (MAT,SERV &amp; EQUIPO)'!R176</f>
        <v>0</v>
      </c>
      <c r="J147" s="265">
        <f>'F07 OPERAC. (MAT,SERV &amp; EQUIPO)'!S176</f>
        <v>0</v>
      </c>
      <c r="K147" s="265">
        <f>'F07 OPERAC. (MAT,SERV &amp; EQUIPO)'!T176</f>
        <v>0</v>
      </c>
      <c r="L147" s="265">
        <f>'F07 OPERAC. (MAT,SERV &amp; EQUIPO)'!U176</f>
        <v>0</v>
      </c>
      <c r="M147" s="265">
        <f>'F07 OPERAC. (MAT,SERV &amp; EQUIPO)'!V176</f>
        <v>0</v>
      </c>
      <c r="N147" s="265">
        <f>'F07 OPERAC. (MAT,SERV &amp; EQUIPO)'!W176</f>
        <v>0</v>
      </c>
      <c r="O147" s="265">
        <f>'F07 OPERAC. (MAT,SERV &amp; EQUIPO)'!X176</f>
        <v>0</v>
      </c>
      <c r="P147" s="265">
        <f>'F07 OPERAC. (MAT,SERV &amp; EQUIPO)'!Y176</f>
        <v>0</v>
      </c>
      <c r="Q147" s="380">
        <f t="shared" si="18"/>
        <v>0</v>
      </c>
      <c r="R147" s="2"/>
      <c r="S147" s="2"/>
      <c r="T147" s="2"/>
    </row>
    <row r="148" spans="1:20" ht="20.149999999999999" hidden="1" customHeight="1" outlineLevel="1" x14ac:dyDescent="0.35">
      <c r="A148" s="255" t="s">
        <v>238</v>
      </c>
      <c r="B148" s="262">
        <f>SUM(C148:P148)</f>
        <v>0</v>
      </c>
      <c r="C148" s="262">
        <f>'F07 OPERAC. (MAT,SERV &amp; EQUIPO)'!L189</f>
        <v>0</v>
      </c>
      <c r="D148" s="262">
        <f>'F07 OPERAC. (MAT,SERV &amp; EQUIPO)'!M189</f>
        <v>0</v>
      </c>
      <c r="E148" s="262">
        <f>'F07 OPERAC. (MAT,SERV &amp; EQUIPO)'!N189</f>
        <v>0</v>
      </c>
      <c r="F148" s="262">
        <f>'F07 OPERAC. (MAT,SERV &amp; EQUIPO)'!O189</f>
        <v>0</v>
      </c>
      <c r="G148" s="262">
        <f>'F07 OPERAC. (MAT,SERV &amp; EQUIPO)'!P189</f>
        <v>0</v>
      </c>
      <c r="H148" s="262">
        <f>'F07 OPERAC. (MAT,SERV &amp; EQUIPO)'!Q189</f>
        <v>0</v>
      </c>
      <c r="I148" s="262">
        <f>'F07 OPERAC. (MAT,SERV &amp; EQUIPO)'!R189</f>
        <v>0</v>
      </c>
      <c r="J148" s="262">
        <f>'F07 OPERAC. (MAT,SERV &amp; EQUIPO)'!S189</f>
        <v>0</v>
      </c>
      <c r="K148" s="262">
        <f>'F07 OPERAC. (MAT,SERV &amp; EQUIPO)'!T189</f>
        <v>0</v>
      </c>
      <c r="L148" s="262">
        <f>'F07 OPERAC. (MAT,SERV &amp; EQUIPO)'!U189</f>
        <v>0</v>
      </c>
      <c r="M148" s="262">
        <f>'F07 OPERAC. (MAT,SERV &amp; EQUIPO)'!V189</f>
        <v>0</v>
      </c>
      <c r="N148" s="262">
        <f>'F07 OPERAC. (MAT,SERV &amp; EQUIPO)'!W189</f>
        <v>0</v>
      </c>
      <c r="O148" s="262">
        <f>'F07 OPERAC. (MAT,SERV &amp; EQUIPO)'!X189</f>
        <v>0</v>
      </c>
      <c r="P148" s="262">
        <f>'F07 OPERAC. (MAT,SERV &amp; EQUIPO)'!Y189</f>
        <v>0</v>
      </c>
      <c r="Q148" s="380">
        <f t="shared" si="18"/>
        <v>0</v>
      </c>
    </row>
    <row r="149" spans="1:20" s="3" customFormat="1" ht="20.149999999999999" customHeight="1" collapsed="1" x14ac:dyDescent="0.35">
      <c r="A149" s="263" t="s">
        <v>103</v>
      </c>
      <c r="B149" s="264">
        <f>SUM(B148)</f>
        <v>0</v>
      </c>
      <c r="C149" s="265">
        <f t="shared" ref="C149:P149" si="20">SUM(C148)</f>
        <v>0</v>
      </c>
      <c r="D149" s="265">
        <f t="shared" si="20"/>
        <v>0</v>
      </c>
      <c r="E149" s="265">
        <f t="shared" si="20"/>
        <v>0</v>
      </c>
      <c r="F149" s="265">
        <f t="shared" si="20"/>
        <v>0</v>
      </c>
      <c r="G149" s="265">
        <f t="shared" si="20"/>
        <v>0</v>
      </c>
      <c r="H149" s="265">
        <f t="shared" si="20"/>
        <v>0</v>
      </c>
      <c r="I149" s="265">
        <f t="shared" si="20"/>
        <v>0</v>
      </c>
      <c r="J149" s="265">
        <f t="shared" si="20"/>
        <v>0</v>
      </c>
      <c r="K149" s="265">
        <f t="shared" si="20"/>
        <v>0</v>
      </c>
      <c r="L149" s="265">
        <f t="shared" si="20"/>
        <v>0</v>
      </c>
      <c r="M149" s="265">
        <f t="shared" si="20"/>
        <v>0</v>
      </c>
      <c r="N149" s="265">
        <f t="shared" si="20"/>
        <v>0</v>
      </c>
      <c r="O149" s="265">
        <f t="shared" si="20"/>
        <v>0</v>
      </c>
      <c r="P149" s="265">
        <f t="shared" si="20"/>
        <v>0</v>
      </c>
      <c r="Q149" s="380">
        <f t="shared" si="18"/>
        <v>0</v>
      </c>
      <c r="R149" s="2"/>
      <c r="S149" s="2"/>
      <c r="T149" s="2"/>
    </row>
    <row r="150" spans="1:20" s="3" customFormat="1" ht="20.149999999999999" customHeight="1" x14ac:dyDescent="0.35">
      <c r="A150" s="263" t="s">
        <v>104</v>
      </c>
      <c r="B150" s="264">
        <f>SUM(C150:P150)</f>
        <v>0</v>
      </c>
      <c r="C150" s="265">
        <f>'F01 UNIFORMES'!M15</f>
        <v>0</v>
      </c>
      <c r="D150" s="265">
        <f>'F01 UNIFORMES'!N15</f>
        <v>0</v>
      </c>
      <c r="E150" s="265">
        <f>'F01 UNIFORMES'!O15</f>
        <v>0</v>
      </c>
      <c r="F150" s="265">
        <f>'F01 UNIFORMES'!P15</f>
        <v>0</v>
      </c>
      <c r="G150" s="265">
        <f>'F01 UNIFORMES'!Q15</f>
        <v>0</v>
      </c>
      <c r="H150" s="265">
        <f>'F01 UNIFORMES'!R15</f>
        <v>0</v>
      </c>
      <c r="I150" s="265">
        <f>'F01 UNIFORMES'!S15</f>
        <v>0</v>
      </c>
      <c r="J150" s="265">
        <f>'F01 UNIFORMES'!T15</f>
        <v>0</v>
      </c>
      <c r="K150" s="265">
        <f>'F01 UNIFORMES'!U15</f>
        <v>0</v>
      </c>
      <c r="L150" s="265">
        <f>'F01 UNIFORMES'!V15</f>
        <v>0</v>
      </c>
      <c r="M150" s="265">
        <f>'F01 UNIFORMES'!W15</f>
        <v>0</v>
      </c>
      <c r="N150" s="265">
        <f>'F01 UNIFORMES'!X15</f>
        <v>0</v>
      </c>
      <c r="O150" s="265">
        <f>'F01 UNIFORMES'!Y15</f>
        <v>0</v>
      </c>
      <c r="P150" s="265">
        <f>'F01 UNIFORMES'!Z15</f>
        <v>0</v>
      </c>
      <c r="Q150" s="380">
        <f t="shared" si="18"/>
        <v>0</v>
      </c>
      <c r="R150" s="2"/>
      <c r="S150" s="2"/>
      <c r="T150" s="2"/>
    </row>
    <row r="151" spans="1:20" ht="20.149999999999999" hidden="1" customHeight="1" outlineLevel="1" x14ac:dyDescent="0.35">
      <c r="A151" s="255" t="s">
        <v>239</v>
      </c>
      <c r="B151" s="262">
        <f>SUM(C151:P151)</f>
        <v>0</v>
      </c>
      <c r="C151" s="262">
        <f>'F04 VEHÍCULOS Y COMB. '!V20</f>
        <v>0</v>
      </c>
      <c r="D151" s="262">
        <f>'F04 VEHÍCULOS Y COMB. '!W20</f>
        <v>0</v>
      </c>
      <c r="E151" s="262">
        <f>'F04 VEHÍCULOS Y COMB. '!X20</f>
        <v>0</v>
      </c>
      <c r="F151" s="262">
        <f>'F04 VEHÍCULOS Y COMB. '!Y20</f>
        <v>0</v>
      </c>
      <c r="G151" s="262">
        <f>'F04 VEHÍCULOS Y COMB. '!Z20</f>
        <v>0</v>
      </c>
      <c r="H151" s="262">
        <f>'F04 VEHÍCULOS Y COMB. '!AA20</f>
        <v>0</v>
      </c>
      <c r="I151" s="262">
        <f>'F04 VEHÍCULOS Y COMB. '!AB20</f>
        <v>0</v>
      </c>
      <c r="J151" s="262">
        <f>'F04 VEHÍCULOS Y COMB. '!AC20</f>
        <v>0</v>
      </c>
      <c r="K151" s="262">
        <f>'F04 VEHÍCULOS Y COMB. '!AD20</f>
        <v>0</v>
      </c>
      <c r="L151" s="262">
        <f>'F04 VEHÍCULOS Y COMB. '!AE20</f>
        <v>0</v>
      </c>
      <c r="M151" s="262">
        <f>'F04 VEHÍCULOS Y COMB. '!AF20</f>
        <v>0</v>
      </c>
      <c r="N151" s="262">
        <f>'F04 VEHÍCULOS Y COMB. '!AG20</f>
        <v>0</v>
      </c>
      <c r="O151" s="262">
        <f>'F04 VEHÍCULOS Y COMB. '!AH20</f>
        <v>0</v>
      </c>
      <c r="P151" s="262">
        <f>'F04 VEHÍCULOS Y COMB. '!AI20</f>
        <v>0</v>
      </c>
      <c r="Q151" s="380">
        <f t="shared" si="18"/>
        <v>0</v>
      </c>
    </row>
    <row r="152" spans="1:20" ht="20.149999999999999" hidden="1" customHeight="1" outlineLevel="1" x14ac:dyDescent="0.35">
      <c r="A152" s="258" t="s">
        <v>240</v>
      </c>
      <c r="B152" s="259">
        <f>SUM(C152:P152)</f>
        <v>300800</v>
      </c>
      <c r="C152" s="259">
        <f>'F04 VEHÍCULOS Y COMB. '!V22</f>
        <v>150400</v>
      </c>
      <c r="D152" s="259">
        <f>'F04 VEHÍCULOS Y COMB. '!W22</f>
        <v>150400</v>
      </c>
      <c r="E152" s="259">
        <f>'F04 VEHÍCULOS Y COMB. '!X22</f>
        <v>0</v>
      </c>
      <c r="F152" s="259">
        <f>'F04 VEHÍCULOS Y COMB. '!Y22</f>
        <v>0</v>
      </c>
      <c r="G152" s="259">
        <f>'F04 VEHÍCULOS Y COMB. '!Z22</f>
        <v>0</v>
      </c>
      <c r="H152" s="259">
        <f>'F04 VEHÍCULOS Y COMB. '!AA22</f>
        <v>0</v>
      </c>
      <c r="I152" s="259">
        <f>'F04 VEHÍCULOS Y COMB. '!AB22</f>
        <v>0</v>
      </c>
      <c r="J152" s="259">
        <f>'F04 VEHÍCULOS Y COMB. '!AC22</f>
        <v>0</v>
      </c>
      <c r="K152" s="259">
        <f>'F04 VEHÍCULOS Y COMB. '!AD22</f>
        <v>0</v>
      </c>
      <c r="L152" s="259">
        <f>'F04 VEHÍCULOS Y COMB. '!AE22</f>
        <v>0</v>
      </c>
      <c r="M152" s="259">
        <f>'F04 VEHÍCULOS Y COMB. '!AF22</f>
        <v>0</v>
      </c>
      <c r="N152" s="259">
        <f>'F04 VEHÍCULOS Y COMB. '!AG22</f>
        <v>0</v>
      </c>
      <c r="O152" s="259">
        <f>'F04 VEHÍCULOS Y COMB. '!AH22</f>
        <v>0</v>
      </c>
      <c r="P152" s="259">
        <f>'F04 VEHÍCULOS Y COMB. '!AI22</f>
        <v>0</v>
      </c>
      <c r="Q152" s="380">
        <f t="shared" si="18"/>
        <v>1.293018255643244E-2</v>
      </c>
    </row>
    <row r="153" spans="1:20" s="3" customFormat="1" ht="20.149999999999999" customHeight="1" collapsed="1" x14ac:dyDescent="0.35">
      <c r="A153" s="263" t="s">
        <v>5</v>
      </c>
      <c r="B153" s="264">
        <f>SUM(B151:B152)</f>
        <v>300800</v>
      </c>
      <c r="C153" s="265">
        <f t="shared" ref="C153:P153" si="21">SUM(C151:C152)</f>
        <v>150400</v>
      </c>
      <c r="D153" s="265">
        <f t="shared" si="21"/>
        <v>150400</v>
      </c>
      <c r="E153" s="265">
        <f t="shared" si="21"/>
        <v>0</v>
      </c>
      <c r="F153" s="265">
        <f t="shared" si="21"/>
        <v>0</v>
      </c>
      <c r="G153" s="265">
        <f t="shared" si="21"/>
        <v>0</v>
      </c>
      <c r="H153" s="265">
        <f t="shared" si="21"/>
        <v>0</v>
      </c>
      <c r="I153" s="265">
        <f t="shared" si="21"/>
        <v>0</v>
      </c>
      <c r="J153" s="265">
        <f t="shared" si="21"/>
        <v>0</v>
      </c>
      <c r="K153" s="265">
        <f t="shared" si="21"/>
        <v>0</v>
      </c>
      <c r="L153" s="265">
        <f t="shared" si="21"/>
        <v>0</v>
      </c>
      <c r="M153" s="265">
        <f t="shared" si="21"/>
        <v>0</v>
      </c>
      <c r="N153" s="265">
        <f t="shared" si="21"/>
        <v>0</v>
      </c>
      <c r="O153" s="265">
        <f t="shared" si="21"/>
        <v>0</v>
      </c>
      <c r="P153" s="265">
        <f t="shared" si="21"/>
        <v>0</v>
      </c>
      <c r="Q153" s="380">
        <f t="shared" si="18"/>
        <v>1.293018255643244E-2</v>
      </c>
      <c r="R153" s="2"/>
      <c r="S153" s="2"/>
      <c r="T153" s="2"/>
    </row>
    <row r="154" spans="1:20" ht="20.149999999999999" hidden="1" customHeight="1" outlineLevel="1" x14ac:dyDescent="0.35">
      <c r="A154" s="255" t="s">
        <v>241</v>
      </c>
      <c r="B154" s="262">
        <f>SUM(C154:P154)</f>
        <v>677625</v>
      </c>
      <c r="C154" s="262">
        <f>'F05 VIÁTICOS'!K8</f>
        <v>338812.5</v>
      </c>
      <c r="D154" s="262">
        <f>'F05 VIÁTICOS'!L8</f>
        <v>338812.5</v>
      </c>
      <c r="E154" s="262">
        <f>'F05 VIÁTICOS'!M8</f>
        <v>0</v>
      </c>
      <c r="F154" s="262">
        <f>'F05 VIÁTICOS'!N8</f>
        <v>0</v>
      </c>
      <c r="G154" s="262">
        <f>'F05 VIÁTICOS'!O8</f>
        <v>0</v>
      </c>
      <c r="H154" s="262">
        <f>'F05 VIÁTICOS'!P8</f>
        <v>0</v>
      </c>
      <c r="I154" s="262">
        <f>'F05 VIÁTICOS'!Q8</f>
        <v>0</v>
      </c>
      <c r="J154" s="262">
        <f>'F05 VIÁTICOS'!R8</f>
        <v>0</v>
      </c>
      <c r="K154" s="262">
        <f>'F05 VIÁTICOS'!S8</f>
        <v>0</v>
      </c>
      <c r="L154" s="262">
        <f>'F05 VIÁTICOS'!T8</f>
        <v>0</v>
      </c>
      <c r="M154" s="262">
        <f>'F05 VIÁTICOS'!U8</f>
        <v>0</v>
      </c>
      <c r="N154" s="262">
        <f>'F05 VIÁTICOS'!V8</f>
        <v>0</v>
      </c>
      <c r="O154" s="262">
        <f>'F05 VIÁTICOS'!W8</f>
        <v>0</v>
      </c>
      <c r="P154" s="262">
        <f>'F05 VIÁTICOS'!X8</f>
        <v>0</v>
      </c>
      <c r="Q154" s="380">
        <f t="shared" si="18"/>
        <v>2.9128374184848847E-2</v>
      </c>
    </row>
    <row r="155" spans="1:20" ht="20.149999999999999" hidden="1" customHeight="1" outlineLevel="1" x14ac:dyDescent="0.35">
      <c r="A155" s="258" t="s">
        <v>242</v>
      </c>
      <c r="B155" s="262">
        <f t="shared" ref="B155:B160" si="22">SUM(C155:P155)</f>
        <v>18719.797200000001</v>
      </c>
      <c r="C155" s="259">
        <f>'F05 VIÁTICOS'!K9</f>
        <v>9359.8986000000004</v>
      </c>
      <c r="D155" s="259">
        <f>'F05 VIÁTICOS'!L9</f>
        <v>9359.8986000000004</v>
      </c>
      <c r="E155" s="259">
        <f>'F05 VIÁTICOS'!M9</f>
        <v>0</v>
      </c>
      <c r="F155" s="259">
        <f>'F05 VIÁTICOS'!N9</f>
        <v>0</v>
      </c>
      <c r="G155" s="259">
        <f>'F05 VIÁTICOS'!O9</f>
        <v>0</v>
      </c>
      <c r="H155" s="259">
        <f>'F05 VIÁTICOS'!P9</f>
        <v>0</v>
      </c>
      <c r="I155" s="259">
        <f>'F05 VIÁTICOS'!Q9</f>
        <v>0</v>
      </c>
      <c r="J155" s="259">
        <f>'F05 VIÁTICOS'!R9</f>
        <v>0</v>
      </c>
      <c r="K155" s="259">
        <f>'F05 VIÁTICOS'!S9</f>
        <v>0</v>
      </c>
      <c r="L155" s="259">
        <f>'F05 VIÁTICOS'!T9</f>
        <v>0</v>
      </c>
      <c r="M155" s="259">
        <f>'F05 VIÁTICOS'!U9</f>
        <v>0</v>
      </c>
      <c r="N155" s="259">
        <f>'F05 VIÁTICOS'!V9</f>
        <v>0</v>
      </c>
      <c r="O155" s="259">
        <f>'F05 VIÁTICOS'!W9</f>
        <v>0</v>
      </c>
      <c r="P155" s="259">
        <f>'F05 VIÁTICOS'!X9</f>
        <v>0</v>
      </c>
      <c r="Q155" s="380">
        <f t="shared" si="18"/>
        <v>8.0468881388096026E-4</v>
      </c>
    </row>
    <row r="156" spans="1:20" ht="20.149999999999999" hidden="1" customHeight="1" outlineLevel="1" x14ac:dyDescent="0.35">
      <c r="A156" s="255" t="s">
        <v>243</v>
      </c>
      <c r="B156" s="262">
        <f t="shared" si="22"/>
        <v>0</v>
      </c>
      <c r="C156" s="262">
        <f>'F05 VIÁTICOS'!K10</f>
        <v>0</v>
      </c>
      <c r="D156" s="262">
        <f>'F05 VIÁTICOS'!L10</f>
        <v>0</v>
      </c>
      <c r="E156" s="262">
        <f>'F05 VIÁTICOS'!M10</f>
        <v>0</v>
      </c>
      <c r="F156" s="262">
        <f>'F05 VIÁTICOS'!N10</f>
        <v>0</v>
      </c>
      <c r="G156" s="262">
        <f>'F05 VIÁTICOS'!O10</f>
        <v>0</v>
      </c>
      <c r="H156" s="262">
        <f>'F05 VIÁTICOS'!P10</f>
        <v>0</v>
      </c>
      <c r="I156" s="262">
        <f>'F05 VIÁTICOS'!Q10</f>
        <v>0</v>
      </c>
      <c r="J156" s="262">
        <f>'F05 VIÁTICOS'!R10</f>
        <v>0</v>
      </c>
      <c r="K156" s="262">
        <f>'F05 VIÁTICOS'!S10</f>
        <v>0</v>
      </c>
      <c r="L156" s="262">
        <f>'F05 VIÁTICOS'!T10</f>
        <v>0</v>
      </c>
      <c r="M156" s="262">
        <f>'F05 VIÁTICOS'!U10</f>
        <v>0</v>
      </c>
      <c r="N156" s="262">
        <f>'F05 VIÁTICOS'!V10</f>
        <v>0</v>
      </c>
      <c r="O156" s="262">
        <f>'F05 VIÁTICOS'!W10</f>
        <v>0</v>
      </c>
      <c r="P156" s="262">
        <f>'F05 VIÁTICOS'!X10</f>
        <v>0</v>
      </c>
      <c r="Q156" s="380">
        <f t="shared" si="18"/>
        <v>0</v>
      </c>
    </row>
    <row r="157" spans="1:20" ht="20.149999999999999" hidden="1" customHeight="1" outlineLevel="1" x14ac:dyDescent="0.35">
      <c r="A157" s="258" t="s">
        <v>244</v>
      </c>
      <c r="B157" s="262">
        <f t="shared" si="22"/>
        <v>0</v>
      </c>
      <c r="C157" s="259">
        <f>'F05 VIÁTICOS'!K11</f>
        <v>0</v>
      </c>
      <c r="D157" s="259">
        <f>'F05 VIÁTICOS'!L11</f>
        <v>0</v>
      </c>
      <c r="E157" s="259">
        <f>'F05 VIÁTICOS'!M11</f>
        <v>0</v>
      </c>
      <c r="F157" s="259">
        <f>'F05 VIÁTICOS'!N11</f>
        <v>0</v>
      </c>
      <c r="G157" s="259">
        <f>'F05 VIÁTICOS'!O11</f>
        <v>0</v>
      </c>
      <c r="H157" s="259">
        <f>'F05 VIÁTICOS'!P11</f>
        <v>0</v>
      </c>
      <c r="I157" s="259">
        <f>'F05 VIÁTICOS'!Q11</f>
        <v>0</v>
      </c>
      <c r="J157" s="259">
        <f>'F05 VIÁTICOS'!R11</f>
        <v>0</v>
      </c>
      <c r="K157" s="259">
        <f>'F05 VIÁTICOS'!S11</f>
        <v>0</v>
      </c>
      <c r="L157" s="259">
        <f>'F05 VIÁTICOS'!T11</f>
        <v>0</v>
      </c>
      <c r="M157" s="259">
        <f>'F05 VIÁTICOS'!U11</f>
        <v>0</v>
      </c>
      <c r="N157" s="259">
        <f>'F05 VIÁTICOS'!V11</f>
        <v>0</v>
      </c>
      <c r="O157" s="259">
        <f>'F05 VIÁTICOS'!W11</f>
        <v>0</v>
      </c>
      <c r="P157" s="259">
        <f>'F05 VIÁTICOS'!X11</f>
        <v>0</v>
      </c>
      <c r="Q157" s="380">
        <f t="shared" si="18"/>
        <v>0</v>
      </c>
    </row>
    <row r="158" spans="1:20" ht="20.149999999999999" hidden="1" customHeight="1" outlineLevel="1" x14ac:dyDescent="0.35">
      <c r="A158" s="255" t="s">
        <v>245</v>
      </c>
      <c r="B158" s="262">
        <f t="shared" si="22"/>
        <v>902493.50099999993</v>
      </c>
      <c r="C158" s="262">
        <f>'F05 VIÁTICOS'!K12</f>
        <v>451246.75049999997</v>
      </c>
      <c r="D158" s="262">
        <f>'F05 VIÁTICOS'!L12</f>
        <v>451246.75049999997</v>
      </c>
      <c r="E158" s="262">
        <f>'F05 VIÁTICOS'!M12</f>
        <v>0</v>
      </c>
      <c r="F158" s="262">
        <f>'F05 VIÁTICOS'!N12</f>
        <v>0</v>
      </c>
      <c r="G158" s="262">
        <f>'F05 VIÁTICOS'!O12</f>
        <v>0</v>
      </c>
      <c r="H158" s="262">
        <f>'F05 VIÁTICOS'!P12</f>
        <v>0</v>
      </c>
      <c r="I158" s="262">
        <f>'F05 VIÁTICOS'!Q12</f>
        <v>0</v>
      </c>
      <c r="J158" s="262">
        <f>'F05 VIÁTICOS'!R12</f>
        <v>0</v>
      </c>
      <c r="K158" s="262">
        <f>'F05 VIÁTICOS'!S12</f>
        <v>0</v>
      </c>
      <c r="L158" s="262">
        <f>'F05 VIÁTICOS'!T12</f>
        <v>0</v>
      </c>
      <c r="M158" s="262">
        <f>'F05 VIÁTICOS'!U12</f>
        <v>0</v>
      </c>
      <c r="N158" s="262">
        <f>'F05 VIÁTICOS'!V12</f>
        <v>0</v>
      </c>
      <c r="O158" s="262">
        <f>'F05 VIÁTICOS'!W12</f>
        <v>0</v>
      </c>
      <c r="P158" s="262">
        <f>'F05 VIÁTICOS'!X12</f>
        <v>0</v>
      </c>
      <c r="Q158" s="380">
        <f t="shared" si="18"/>
        <v>3.8794566901342566E-2</v>
      </c>
    </row>
    <row r="159" spans="1:20" ht="20.149999999999999" hidden="1" customHeight="1" outlineLevel="1" x14ac:dyDescent="0.35">
      <c r="A159" s="267" t="str">
        <f>'F05 VIÁTICOS'!B20</f>
        <v xml:space="preserve">CAJA CHICA </v>
      </c>
      <c r="B159" s="262">
        <f t="shared" si="22"/>
        <v>0</v>
      </c>
      <c r="C159" s="262">
        <f>'F05 VIÁTICOS'!K20</f>
        <v>0</v>
      </c>
      <c r="D159" s="262">
        <f>'F05 VIÁTICOS'!L20</f>
        <v>0</v>
      </c>
      <c r="E159" s="262">
        <f>'F05 VIÁTICOS'!M20</f>
        <v>0</v>
      </c>
      <c r="F159" s="262">
        <f>'F05 VIÁTICOS'!N20</f>
        <v>0</v>
      </c>
      <c r="G159" s="262">
        <f>'F05 VIÁTICOS'!O20</f>
        <v>0</v>
      </c>
      <c r="H159" s="262">
        <f>'F05 VIÁTICOS'!P20</f>
        <v>0</v>
      </c>
      <c r="I159" s="262">
        <f>'F05 VIÁTICOS'!Q20</f>
        <v>0</v>
      </c>
      <c r="J159" s="262">
        <f>'F05 VIÁTICOS'!R20</f>
        <v>0</v>
      </c>
      <c r="K159" s="262">
        <f>'F05 VIÁTICOS'!S20</f>
        <v>0</v>
      </c>
      <c r="L159" s="262">
        <f>'F05 VIÁTICOS'!T20</f>
        <v>0</v>
      </c>
      <c r="M159" s="262">
        <f>'F05 VIÁTICOS'!U20</f>
        <v>0</v>
      </c>
      <c r="N159" s="262">
        <f>'F05 VIÁTICOS'!V20</f>
        <v>0</v>
      </c>
      <c r="O159" s="262">
        <f>'F05 VIÁTICOS'!W20</f>
        <v>0</v>
      </c>
      <c r="P159" s="262">
        <f>'F05 VIÁTICOS'!X20</f>
        <v>0</v>
      </c>
      <c r="Q159" s="380">
        <f t="shared" si="18"/>
        <v>0</v>
      </c>
    </row>
    <row r="160" spans="1:20" ht="20.149999999999999" hidden="1" customHeight="1" outlineLevel="1" x14ac:dyDescent="0.35">
      <c r="A160" s="267" t="str">
        <f>'F05 VIÁTICOS'!B21</f>
        <v>REEMBOLSOS</v>
      </c>
      <c r="B160" s="262">
        <f t="shared" si="22"/>
        <v>14456</v>
      </c>
      <c r="C160" s="262">
        <f>'F05 VIÁTICOS'!K21</f>
        <v>7228</v>
      </c>
      <c r="D160" s="262">
        <f>'F05 VIÁTICOS'!L21</f>
        <v>7228</v>
      </c>
      <c r="E160" s="262">
        <f>'F05 VIÁTICOS'!M21</f>
        <v>0</v>
      </c>
      <c r="F160" s="262">
        <f>'F05 VIÁTICOS'!N21</f>
        <v>0</v>
      </c>
      <c r="G160" s="262">
        <f>'F05 VIÁTICOS'!O21</f>
        <v>0</v>
      </c>
      <c r="H160" s="262">
        <f>'F05 VIÁTICOS'!P21</f>
        <v>0</v>
      </c>
      <c r="I160" s="262">
        <f>'F05 VIÁTICOS'!Q21</f>
        <v>0</v>
      </c>
      <c r="J160" s="262">
        <f>'F05 VIÁTICOS'!R21</f>
        <v>0</v>
      </c>
      <c r="K160" s="262">
        <f>'F05 VIÁTICOS'!S21</f>
        <v>0</v>
      </c>
      <c r="L160" s="262">
        <f>'F05 VIÁTICOS'!T21</f>
        <v>0</v>
      </c>
      <c r="M160" s="262">
        <f>'F05 VIÁTICOS'!U21</f>
        <v>0</v>
      </c>
      <c r="N160" s="262">
        <f>'F05 VIÁTICOS'!V21</f>
        <v>0</v>
      </c>
      <c r="O160" s="262">
        <f>'F05 VIÁTICOS'!W21</f>
        <v>0</v>
      </c>
      <c r="P160" s="262">
        <f>'F05 VIÁTICOS'!X21</f>
        <v>0</v>
      </c>
      <c r="Q160" s="380">
        <f t="shared" si="18"/>
        <v>6.2140531594344209E-4</v>
      </c>
    </row>
    <row r="161" spans="1:20" s="3" customFormat="1" ht="20.149999999999999" customHeight="1" collapsed="1" x14ac:dyDescent="0.35">
      <c r="A161" s="263" t="s">
        <v>6</v>
      </c>
      <c r="B161" s="264">
        <f>SUM(B154:B160)</f>
        <v>1613294.2982000001</v>
      </c>
      <c r="C161" s="265">
        <f>SUM(C154:C160)</f>
        <v>806647.14910000004</v>
      </c>
      <c r="D161" s="265">
        <f t="shared" ref="D161:P161" si="23">SUM(D154:D160)</f>
        <v>806647.14910000004</v>
      </c>
      <c r="E161" s="265">
        <f t="shared" si="23"/>
        <v>0</v>
      </c>
      <c r="F161" s="265">
        <f t="shared" si="23"/>
        <v>0</v>
      </c>
      <c r="G161" s="265">
        <f t="shared" si="23"/>
        <v>0</v>
      </c>
      <c r="H161" s="265">
        <f t="shared" si="23"/>
        <v>0</v>
      </c>
      <c r="I161" s="265">
        <f t="shared" si="23"/>
        <v>0</v>
      </c>
      <c r="J161" s="265">
        <f t="shared" si="23"/>
        <v>0</v>
      </c>
      <c r="K161" s="265">
        <f t="shared" si="23"/>
        <v>0</v>
      </c>
      <c r="L161" s="265">
        <f t="shared" si="23"/>
        <v>0</v>
      </c>
      <c r="M161" s="265">
        <f t="shared" si="23"/>
        <v>0</v>
      </c>
      <c r="N161" s="265">
        <f t="shared" si="23"/>
        <v>0</v>
      </c>
      <c r="O161" s="265">
        <f t="shared" si="23"/>
        <v>0</v>
      </c>
      <c r="P161" s="265">
        <f t="shared" si="23"/>
        <v>0</v>
      </c>
      <c r="Q161" s="380">
        <f t="shared" si="18"/>
        <v>6.934903521601582E-2</v>
      </c>
      <c r="R161" s="2"/>
      <c r="S161" s="2"/>
      <c r="T161" s="2"/>
    </row>
    <row r="162" spans="1:20" ht="20.149999999999999" customHeight="1" x14ac:dyDescent="0.35">
      <c r="A162" s="252" t="s">
        <v>63</v>
      </c>
      <c r="B162" s="268">
        <f>SUM(B161,B153,B150,B149,B147,B146,B82,B78,B77,B75,B39,B36,B31,B30,B28,B25,B23,B13)</f>
        <v>23263399.31297873</v>
      </c>
      <c r="C162" s="268">
        <f>C13+C23+C25+C28+C30+C31+C36+C39+C75+C77+C78+C82+C146+C147+C149+C150+C153+C161</f>
        <v>20297891.725605048</v>
      </c>
      <c r="D162" s="268">
        <f>D13+D23+D25+D28+D30+D31+D36+D39+D75+D77+D78+D82+D146+D147+D149+D150+D153+D161</f>
        <v>2965507.5873736842</v>
      </c>
      <c r="E162" s="268">
        <f t="shared" ref="E162:P162" si="24">E13+E23+E25+E28+E30+E31+E36+E39+E75+E77+E78+E82+E146+E147+E149+E150+E153+E161</f>
        <v>0</v>
      </c>
      <c r="F162" s="268">
        <f t="shared" si="24"/>
        <v>0</v>
      </c>
      <c r="G162" s="268">
        <f t="shared" si="24"/>
        <v>0</v>
      </c>
      <c r="H162" s="268">
        <f t="shared" si="24"/>
        <v>0</v>
      </c>
      <c r="I162" s="268">
        <f t="shared" si="24"/>
        <v>0</v>
      </c>
      <c r="J162" s="268">
        <f t="shared" si="24"/>
        <v>0</v>
      </c>
      <c r="K162" s="268">
        <f t="shared" si="24"/>
        <v>0</v>
      </c>
      <c r="L162" s="268">
        <f t="shared" si="24"/>
        <v>0</v>
      </c>
      <c r="M162" s="268">
        <f t="shared" si="24"/>
        <v>0</v>
      </c>
      <c r="N162" s="268">
        <f t="shared" si="24"/>
        <v>0</v>
      </c>
      <c r="O162" s="268">
        <f t="shared" si="24"/>
        <v>0</v>
      </c>
      <c r="P162" s="268">
        <f t="shared" si="24"/>
        <v>0</v>
      </c>
    </row>
    <row r="163" spans="1:20" ht="20.149999999999999" customHeight="1" x14ac:dyDescent="0.35">
      <c r="A163" s="252" t="s">
        <v>32</v>
      </c>
      <c r="B163" s="268">
        <f>SUM(B161,B153,B150,B149,B147,B146,B82,B78,B77,B75,B39,B36,B31,B30,B28,B25,B23)</f>
        <v>6549001.7580368416</v>
      </c>
      <c r="C163" s="268">
        <f>SUM(C161,C153,C150,C149,C147,C146,C82,C78,C77,C75,C39,C36,C31,C30,C28,C25,C23)</f>
        <v>3583494.1706631575</v>
      </c>
      <c r="D163" s="268">
        <f>SUM(D161,D153,D150,D149,D147,D146,D82,D78,D77,D75,D39,D36,D31,D30,D28,D25,D23)</f>
        <v>2965507.5873736837</v>
      </c>
      <c r="E163" s="268">
        <f t="shared" ref="E163:P163" si="25">SUM(E161,E153,E150,E149,E147,E146,E82,E78,E77,E75,E39,E36,E31,E30,E28,E25,E23)</f>
        <v>0</v>
      </c>
      <c r="F163" s="268">
        <f t="shared" si="25"/>
        <v>0</v>
      </c>
      <c r="G163" s="268">
        <f t="shared" si="25"/>
        <v>0</v>
      </c>
      <c r="H163" s="268">
        <f t="shared" si="25"/>
        <v>0</v>
      </c>
      <c r="I163" s="268">
        <f t="shared" si="25"/>
        <v>0</v>
      </c>
      <c r="J163" s="268">
        <f t="shared" si="25"/>
        <v>0</v>
      </c>
      <c r="K163" s="268">
        <f t="shared" si="25"/>
        <v>0</v>
      </c>
      <c r="L163" s="268">
        <f t="shared" si="25"/>
        <v>0</v>
      </c>
      <c r="M163" s="268">
        <f t="shared" si="25"/>
        <v>0</v>
      </c>
      <c r="N163" s="268">
        <f t="shared" si="25"/>
        <v>0</v>
      </c>
      <c r="O163" s="268">
        <f t="shared" si="25"/>
        <v>0</v>
      </c>
      <c r="P163" s="268">
        <f t="shared" si="25"/>
        <v>0</v>
      </c>
    </row>
    <row r="164" spans="1:20" s="3" customFormat="1" ht="20.149999999999999" customHeight="1" x14ac:dyDescent="0.35">
      <c r="A164" s="269" t="s">
        <v>246</v>
      </c>
      <c r="B164" s="270">
        <f>B5-B162</f>
        <v>52056645.445421278</v>
      </c>
      <c r="C164" s="270">
        <f>C163</f>
        <v>3583494.1706631575</v>
      </c>
      <c r="D164" s="270">
        <f>C164+D163</f>
        <v>6549001.7580368407</v>
      </c>
      <c r="E164" s="270">
        <f t="shared" ref="E164:P164" si="26">D164+E163</f>
        <v>6549001.7580368407</v>
      </c>
      <c r="F164" s="270">
        <f t="shared" si="26"/>
        <v>6549001.7580368407</v>
      </c>
      <c r="G164" s="270">
        <f t="shared" si="26"/>
        <v>6549001.7580368407</v>
      </c>
      <c r="H164" s="270">
        <f t="shared" si="26"/>
        <v>6549001.7580368407</v>
      </c>
      <c r="I164" s="270">
        <f t="shared" si="26"/>
        <v>6549001.7580368407</v>
      </c>
      <c r="J164" s="270">
        <f t="shared" si="26"/>
        <v>6549001.7580368407</v>
      </c>
      <c r="K164" s="270">
        <f t="shared" si="26"/>
        <v>6549001.7580368407</v>
      </c>
      <c r="L164" s="270">
        <f t="shared" si="26"/>
        <v>6549001.7580368407</v>
      </c>
      <c r="M164" s="270">
        <f t="shared" si="26"/>
        <v>6549001.7580368407</v>
      </c>
      <c r="N164" s="270">
        <f t="shared" si="26"/>
        <v>6549001.7580368407</v>
      </c>
      <c r="O164" s="270">
        <f t="shared" si="26"/>
        <v>6549001.7580368407</v>
      </c>
      <c r="P164" s="270">
        <f t="shared" si="26"/>
        <v>6549001.7580368407</v>
      </c>
      <c r="Q164" s="380">
        <f>B162/$B$162</f>
        <v>1</v>
      </c>
      <c r="R164" s="2"/>
      <c r="S164" s="2"/>
      <c r="T164" s="2"/>
    </row>
    <row r="165" spans="1:20" ht="20.149999999999999" customHeight="1" x14ac:dyDescent="0.35">
      <c r="B165" s="271">
        <f>1-(B162/B5)</f>
        <v>0.69113933233046443</v>
      </c>
      <c r="C165" s="272"/>
    </row>
    <row r="166" spans="1:20" ht="20.149999999999999" hidden="1" customHeight="1" x14ac:dyDescent="0.35"/>
    <row r="167" spans="1:20" ht="20.149999999999999" hidden="1" customHeight="1" x14ac:dyDescent="0.35">
      <c r="A167" s="411" t="s">
        <v>389</v>
      </c>
      <c r="B167" s="411"/>
      <c r="C167" s="411"/>
      <c r="D167" s="411"/>
      <c r="E167" s="411"/>
      <c r="F167" s="411"/>
      <c r="G167" s="411"/>
      <c r="H167" s="411"/>
      <c r="I167" s="411"/>
      <c r="J167" s="411"/>
      <c r="K167" s="411"/>
      <c r="L167" s="411"/>
      <c r="M167" s="411"/>
      <c r="N167" s="411"/>
      <c r="O167" s="251"/>
      <c r="P167" s="251"/>
    </row>
    <row r="168" spans="1:20" ht="20.149999999999999" hidden="1" customHeight="1" x14ac:dyDescent="0.35">
      <c r="A168" s="252" t="s">
        <v>91</v>
      </c>
      <c r="B168" s="252" t="s">
        <v>118</v>
      </c>
      <c r="C168" s="252" t="s">
        <v>84</v>
      </c>
      <c r="D168" s="252" t="s">
        <v>461</v>
      </c>
      <c r="E168" s="252" t="s">
        <v>365</v>
      </c>
      <c r="F168" s="252" t="s">
        <v>366</v>
      </c>
      <c r="G168" s="252" t="s">
        <v>367</v>
      </c>
      <c r="H168" s="252" t="s">
        <v>368</v>
      </c>
      <c r="I168" s="252" t="s">
        <v>357</v>
      </c>
      <c r="J168" s="252" t="s">
        <v>358</v>
      </c>
      <c r="K168" s="252" t="s">
        <v>359</v>
      </c>
      <c r="L168" s="252" t="s">
        <v>360</v>
      </c>
      <c r="M168" s="252" t="s">
        <v>361</v>
      </c>
      <c r="N168" s="252" t="s">
        <v>362</v>
      </c>
      <c r="O168" s="252" t="s">
        <v>363</v>
      </c>
      <c r="P168" s="252" t="s">
        <v>364</v>
      </c>
    </row>
    <row r="169" spans="1:20" ht="20.149999999999999" hidden="1" customHeight="1" x14ac:dyDescent="0.35">
      <c r="A169" s="253" t="s">
        <v>92</v>
      </c>
      <c r="B169" s="254">
        <f>SUM(C169:P169)</f>
        <v>4168237.12</v>
      </c>
      <c r="C169" s="254">
        <f>'F08 INGRESOS'!M17</f>
        <v>984130.19000000006</v>
      </c>
      <c r="D169" s="254">
        <f>'F08 INGRESOS'!N17</f>
        <v>3184106.93</v>
      </c>
      <c r="E169" s="254">
        <f>'F08 INGRESOS'!O17</f>
        <v>0</v>
      </c>
      <c r="F169" s="254">
        <f>'F08 INGRESOS'!P17</f>
        <v>0</v>
      </c>
      <c r="G169" s="254">
        <f>'F08 INGRESOS'!Q17</f>
        <v>0</v>
      </c>
      <c r="H169" s="254">
        <f>'F08 INGRESOS'!R17</f>
        <v>0</v>
      </c>
      <c r="I169" s="254">
        <f>'F08 INGRESOS'!S17</f>
        <v>0</v>
      </c>
      <c r="J169" s="254">
        <f>'F08 INGRESOS'!T17</f>
        <v>0</v>
      </c>
      <c r="K169" s="254">
        <f>'F08 INGRESOS'!U17</f>
        <v>0</v>
      </c>
      <c r="L169" s="254">
        <f>'F08 INGRESOS'!V17</f>
        <v>0</v>
      </c>
      <c r="M169" s="254">
        <f>'F08 INGRESOS'!W17</f>
        <v>0</v>
      </c>
      <c r="N169" s="254">
        <f>'F08 INGRESOS'!X17</f>
        <v>0</v>
      </c>
      <c r="O169" s="254">
        <f>'F08 INGRESOS'!Y17</f>
        <v>0</v>
      </c>
      <c r="P169" s="254">
        <f>'F08 INGRESOS'!Z17</f>
        <v>0</v>
      </c>
    </row>
    <row r="170" spans="1:20" ht="10" hidden="1" customHeight="1" x14ac:dyDescent="0.35"/>
    <row r="171" spans="1:20" ht="20.149999999999999" hidden="1" customHeight="1" x14ac:dyDescent="0.35">
      <c r="A171" s="251" t="s">
        <v>449</v>
      </c>
      <c r="B171" s="251"/>
      <c r="C171" s="251"/>
      <c r="D171" s="251"/>
      <c r="E171" s="251"/>
      <c r="F171" s="251"/>
      <c r="G171" s="251"/>
      <c r="H171" s="251"/>
      <c r="I171" s="251"/>
      <c r="J171" s="251"/>
      <c r="K171" s="251"/>
      <c r="L171" s="251"/>
      <c r="M171" s="251"/>
      <c r="N171" s="251"/>
      <c r="O171" s="251"/>
      <c r="P171" s="251"/>
    </row>
    <row r="172" spans="1:20" ht="20.149999999999999" hidden="1" customHeight="1" x14ac:dyDescent="0.35">
      <c r="A172" s="252" t="s">
        <v>91</v>
      </c>
      <c r="B172" s="252" t="s">
        <v>118</v>
      </c>
      <c r="C172" s="252" t="s">
        <v>84</v>
      </c>
      <c r="D172" s="252" t="s">
        <v>461</v>
      </c>
      <c r="E172" s="252" t="s">
        <v>365</v>
      </c>
      <c r="F172" s="252" t="s">
        <v>366</v>
      </c>
      <c r="G172" s="252" t="s">
        <v>367</v>
      </c>
      <c r="H172" s="252" t="s">
        <v>368</v>
      </c>
      <c r="I172" s="252" t="s">
        <v>357</v>
      </c>
      <c r="J172" s="252" t="s">
        <v>358</v>
      </c>
      <c r="K172" s="252" t="s">
        <v>359</v>
      </c>
      <c r="L172" s="252" t="s">
        <v>360</v>
      </c>
      <c r="M172" s="252" t="s">
        <v>361</v>
      </c>
      <c r="N172" s="252" t="s">
        <v>362</v>
      </c>
      <c r="O172" s="252" t="s">
        <v>363</v>
      </c>
      <c r="P172" s="252" t="s">
        <v>364</v>
      </c>
    </row>
    <row r="173" spans="1:20" s="3" customFormat="1" ht="20.149999999999999" hidden="1" customHeight="1" collapsed="1" x14ac:dyDescent="0.35">
      <c r="A173" s="260" t="s">
        <v>93</v>
      </c>
      <c r="B173" s="261">
        <f>SUM(C173:P173)</f>
        <v>924980.4955695566</v>
      </c>
      <c r="C173" s="261">
        <f t="shared" ref="C173:N173" si="27">C13/$B$196</f>
        <v>924980.4955695566</v>
      </c>
      <c r="D173" s="261">
        <f>D13/$B$196</f>
        <v>0</v>
      </c>
      <c r="E173" s="261">
        <f t="shared" si="27"/>
        <v>0</v>
      </c>
      <c r="F173" s="261">
        <f t="shared" si="27"/>
        <v>0</v>
      </c>
      <c r="G173" s="261">
        <f t="shared" si="27"/>
        <v>0</v>
      </c>
      <c r="H173" s="261">
        <f t="shared" si="27"/>
        <v>0</v>
      </c>
      <c r="I173" s="261">
        <f t="shared" si="27"/>
        <v>0</v>
      </c>
      <c r="J173" s="261">
        <f t="shared" si="27"/>
        <v>0</v>
      </c>
      <c r="K173" s="261">
        <f t="shared" si="27"/>
        <v>0</v>
      </c>
      <c r="L173" s="261">
        <f t="shared" si="27"/>
        <v>0</v>
      </c>
      <c r="M173" s="261">
        <f t="shared" si="27"/>
        <v>0</v>
      </c>
      <c r="N173" s="261">
        <f t="shared" si="27"/>
        <v>0</v>
      </c>
      <c r="O173" s="261">
        <f>O13/$B$196</f>
        <v>0</v>
      </c>
      <c r="P173" s="261">
        <f>P13/$B$196</f>
        <v>0</v>
      </c>
      <c r="Q173" s="2"/>
    </row>
    <row r="174" spans="1:20" s="3" customFormat="1" ht="20.149999999999999" hidden="1" customHeight="1" collapsed="1" x14ac:dyDescent="0.35">
      <c r="A174" s="263" t="s">
        <v>94</v>
      </c>
      <c r="B174" s="264">
        <f>SUM(C174:P174)</f>
        <v>0</v>
      </c>
      <c r="C174" s="265">
        <f t="shared" ref="C174:N174" si="28">C23/$B$196</f>
        <v>0</v>
      </c>
      <c r="D174" s="265">
        <f>D23/$B$196</f>
        <v>0</v>
      </c>
      <c r="E174" s="265">
        <f t="shared" si="28"/>
        <v>0</v>
      </c>
      <c r="F174" s="265">
        <f t="shared" si="28"/>
        <v>0</v>
      </c>
      <c r="G174" s="265">
        <f t="shared" si="28"/>
        <v>0</v>
      </c>
      <c r="H174" s="265">
        <f t="shared" si="28"/>
        <v>0</v>
      </c>
      <c r="I174" s="265">
        <f t="shared" si="28"/>
        <v>0</v>
      </c>
      <c r="J174" s="265">
        <f t="shared" si="28"/>
        <v>0</v>
      </c>
      <c r="K174" s="265">
        <f t="shared" si="28"/>
        <v>0</v>
      </c>
      <c r="L174" s="265">
        <f t="shared" si="28"/>
        <v>0</v>
      </c>
      <c r="M174" s="265">
        <f t="shared" si="28"/>
        <v>0</v>
      </c>
      <c r="N174" s="265">
        <f t="shared" si="28"/>
        <v>0</v>
      </c>
      <c r="O174" s="265">
        <f>O23/$B$196</f>
        <v>0</v>
      </c>
      <c r="P174" s="265">
        <f>P23/$B$196</f>
        <v>0</v>
      </c>
      <c r="Q174" s="2"/>
    </row>
    <row r="175" spans="1:20" s="3" customFormat="1" ht="20.149999999999999" hidden="1" customHeight="1" collapsed="1" x14ac:dyDescent="0.35">
      <c r="A175" s="263" t="s">
        <v>95</v>
      </c>
      <c r="B175" s="264">
        <f t="shared" ref="B175:B190" si="29">SUM(C175:P175)</f>
        <v>12938.25</v>
      </c>
      <c r="C175" s="265">
        <f t="shared" ref="C175:N175" si="30">C25/$B$196</f>
        <v>12938.25</v>
      </c>
      <c r="D175" s="265">
        <f t="shared" si="30"/>
        <v>0</v>
      </c>
      <c r="E175" s="265">
        <f t="shared" si="30"/>
        <v>0</v>
      </c>
      <c r="F175" s="265">
        <f t="shared" si="30"/>
        <v>0</v>
      </c>
      <c r="G175" s="265">
        <f t="shared" si="30"/>
        <v>0</v>
      </c>
      <c r="H175" s="265">
        <f t="shared" si="30"/>
        <v>0</v>
      </c>
      <c r="I175" s="265">
        <f t="shared" si="30"/>
        <v>0</v>
      </c>
      <c r="J175" s="265">
        <f t="shared" si="30"/>
        <v>0</v>
      </c>
      <c r="K175" s="265">
        <f t="shared" si="30"/>
        <v>0</v>
      </c>
      <c r="L175" s="265">
        <f t="shared" si="30"/>
        <v>0</v>
      </c>
      <c r="M175" s="265">
        <f t="shared" si="30"/>
        <v>0</v>
      </c>
      <c r="N175" s="265">
        <f t="shared" si="30"/>
        <v>0</v>
      </c>
      <c r="O175" s="265">
        <f>O25/$B$196</f>
        <v>0</v>
      </c>
      <c r="P175" s="265">
        <f>P25/$B$196</f>
        <v>0</v>
      </c>
      <c r="Q175" s="2"/>
    </row>
    <row r="176" spans="1:20" s="3" customFormat="1" ht="20.149999999999999" hidden="1" customHeight="1" collapsed="1" x14ac:dyDescent="0.35">
      <c r="A176" s="263" t="s">
        <v>10</v>
      </c>
      <c r="B176" s="264">
        <f t="shared" si="29"/>
        <v>1800</v>
      </c>
      <c r="C176" s="265">
        <f t="shared" ref="C176:N176" si="31">C28/$B$196</f>
        <v>0</v>
      </c>
      <c r="D176" s="265">
        <f t="shared" si="31"/>
        <v>1800</v>
      </c>
      <c r="E176" s="265">
        <f t="shared" si="31"/>
        <v>0</v>
      </c>
      <c r="F176" s="265">
        <f t="shared" si="31"/>
        <v>0</v>
      </c>
      <c r="G176" s="265">
        <f t="shared" si="31"/>
        <v>0</v>
      </c>
      <c r="H176" s="265">
        <f t="shared" si="31"/>
        <v>0</v>
      </c>
      <c r="I176" s="265">
        <f t="shared" si="31"/>
        <v>0</v>
      </c>
      <c r="J176" s="265">
        <f t="shared" si="31"/>
        <v>0</v>
      </c>
      <c r="K176" s="265">
        <f t="shared" si="31"/>
        <v>0</v>
      </c>
      <c r="L176" s="265">
        <f t="shared" si="31"/>
        <v>0</v>
      </c>
      <c r="M176" s="265">
        <f t="shared" si="31"/>
        <v>0</v>
      </c>
      <c r="N176" s="265">
        <f t="shared" si="31"/>
        <v>0</v>
      </c>
      <c r="O176" s="265">
        <f>O28/$B$196</f>
        <v>0</v>
      </c>
      <c r="P176" s="265">
        <f>P28/$B$196</f>
        <v>0</v>
      </c>
      <c r="Q176" s="2"/>
    </row>
    <row r="177" spans="1:17" s="3" customFormat="1" ht="20.149999999999999" hidden="1" customHeight="1" collapsed="1" x14ac:dyDescent="0.35">
      <c r="A177" s="263" t="s">
        <v>96</v>
      </c>
      <c r="B177" s="264">
        <f t="shared" si="29"/>
        <v>556.5866076369673</v>
      </c>
      <c r="C177" s="265">
        <f t="shared" ref="C177:N177" si="32">C30/$B$196</f>
        <v>278.29330381848365</v>
      </c>
      <c r="D177" s="265">
        <f>D30/$B$196</f>
        <v>278.29330381848365</v>
      </c>
      <c r="E177" s="265">
        <f t="shared" si="32"/>
        <v>0</v>
      </c>
      <c r="F177" s="265">
        <f>F30/$B$196</f>
        <v>0</v>
      </c>
      <c r="G177" s="265">
        <f t="shared" si="32"/>
        <v>0</v>
      </c>
      <c r="H177" s="265">
        <f t="shared" si="32"/>
        <v>0</v>
      </c>
      <c r="I177" s="265">
        <f t="shared" si="32"/>
        <v>0</v>
      </c>
      <c r="J177" s="265">
        <f t="shared" si="32"/>
        <v>0</v>
      </c>
      <c r="K177" s="265">
        <f t="shared" si="32"/>
        <v>0</v>
      </c>
      <c r="L177" s="265">
        <f t="shared" si="32"/>
        <v>0</v>
      </c>
      <c r="M177" s="265">
        <f t="shared" si="32"/>
        <v>0</v>
      </c>
      <c r="N177" s="265">
        <f t="shared" si="32"/>
        <v>0</v>
      </c>
      <c r="O177" s="265">
        <f>O30/$B$196</f>
        <v>0</v>
      </c>
      <c r="P177" s="265">
        <f>P30/$B$196</f>
        <v>0</v>
      </c>
      <c r="Q177" s="2"/>
    </row>
    <row r="178" spans="1:17" s="3" customFormat="1" ht="20.149999999999999" hidden="1" customHeight="1" collapsed="1" x14ac:dyDescent="0.35">
      <c r="A178" s="263" t="s">
        <v>97</v>
      </c>
      <c r="B178" s="264">
        <f t="shared" si="29"/>
        <v>0</v>
      </c>
      <c r="C178" s="265">
        <f t="shared" ref="C178:N178" si="33">C31/$B$196</f>
        <v>0</v>
      </c>
      <c r="D178" s="265">
        <f t="shared" si="33"/>
        <v>0</v>
      </c>
      <c r="E178" s="265">
        <f t="shared" si="33"/>
        <v>0</v>
      </c>
      <c r="F178" s="265">
        <f t="shared" si="33"/>
        <v>0</v>
      </c>
      <c r="G178" s="265">
        <f t="shared" si="33"/>
        <v>0</v>
      </c>
      <c r="H178" s="265">
        <f t="shared" si="33"/>
        <v>0</v>
      </c>
      <c r="I178" s="265">
        <f t="shared" si="33"/>
        <v>0</v>
      </c>
      <c r="J178" s="265">
        <f t="shared" si="33"/>
        <v>0</v>
      </c>
      <c r="K178" s="265">
        <f t="shared" si="33"/>
        <v>0</v>
      </c>
      <c r="L178" s="265">
        <f t="shared" si="33"/>
        <v>0</v>
      </c>
      <c r="M178" s="265">
        <f t="shared" si="33"/>
        <v>0</v>
      </c>
      <c r="N178" s="265">
        <f t="shared" si="33"/>
        <v>0</v>
      </c>
      <c r="O178" s="265">
        <f>O31/$B$196</f>
        <v>0</v>
      </c>
      <c r="P178" s="265">
        <f>P31/$B$196</f>
        <v>0</v>
      </c>
      <c r="Q178" s="2"/>
    </row>
    <row r="179" spans="1:17" s="3" customFormat="1" ht="20.149999999999999" hidden="1" customHeight="1" collapsed="1" x14ac:dyDescent="0.35">
      <c r="A179" s="263" t="s">
        <v>98</v>
      </c>
      <c r="B179" s="264">
        <f t="shared" si="29"/>
        <v>0</v>
      </c>
      <c r="C179" s="265">
        <f t="shared" ref="C179:N179" si="34">C36/$B$196</f>
        <v>0</v>
      </c>
      <c r="D179" s="265">
        <f t="shared" si="34"/>
        <v>0</v>
      </c>
      <c r="E179" s="265">
        <f t="shared" si="34"/>
        <v>0</v>
      </c>
      <c r="F179" s="265">
        <f t="shared" si="34"/>
        <v>0</v>
      </c>
      <c r="G179" s="265">
        <f t="shared" si="34"/>
        <v>0</v>
      </c>
      <c r="H179" s="265">
        <f t="shared" si="34"/>
        <v>0</v>
      </c>
      <c r="I179" s="265">
        <f t="shared" si="34"/>
        <v>0</v>
      </c>
      <c r="J179" s="265">
        <f t="shared" si="34"/>
        <v>0</v>
      </c>
      <c r="K179" s="265">
        <f t="shared" si="34"/>
        <v>0</v>
      </c>
      <c r="L179" s="265">
        <f t="shared" si="34"/>
        <v>0</v>
      </c>
      <c r="M179" s="265">
        <f t="shared" si="34"/>
        <v>0</v>
      </c>
      <c r="N179" s="265">
        <f t="shared" si="34"/>
        <v>0</v>
      </c>
      <c r="O179" s="265">
        <f>O36/$B$196</f>
        <v>0</v>
      </c>
      <c r="P179" s="265">
        <f>P36/$B$196</f>
        <v>0</v>
      </c>
      <c r="Q179" s="2"/>
    </row>
    <row r="180" spans="1:17" s="3" customFormat="1" ht="20.149999999999999" hidden="1" customHeight="1" collapsed="1" x14ac:dyDescent="0.35">
      <c r="A180" s="263" t="s">
        <v>99</v>
      </c>
      <c r="B180" s="264">
        <f t="shared" si="29"/>
        <v>0</v>
      </c>
      <c r="C180" s="265">
        <f t="shared" ref="C180:N180" si="35">C39/$B$196</f>
        <v>0</v>
      </c>
      <c r="D180" s="265">
        <f t="shared" si="35"/>
        <v>0</v>
      </c>
      <c r="E180" s="265">
        <f t="shared" si="35"/>
        <v>0</v>
      </c>
      <c r="F180" s="265">
        <f t="shared" si="35"/>
        <v>0</v>
      </c>
      <c r="G180" s="265">
        <f t="shared" si="35"/>
        <v>0</v>
      </c>
      <c r="H180" s="265">
        <f t="shared" si="35"/>
        <v>0</v>
      </c>
      <c r="I180" s="265">
        <f t="shared" si="35"/>
        <v>0</v>
      </c>
      <c r="J180" s="265">
        <f t="shared" si="35"/>
        <v>0</v>
      </c>
      <c r="K180" s="265">
        <f t="shared" si="35"/>
        <v>0</v>
      </c>
      <c r="L180" s="265">
        <f t="shared" si="35"/>
        <v>0</v>
      </c>
      <c r="M180" s="265">
        <f t="shared" si="35"/>
        <v>0</v>
      </c>
      <c r="N180" s="265">
        <f t="shared" si="35"/>
        <v>0</v>
      </c>
      <c r="O180" s="265">
        <f>O39/$B$196</f>
        <v>0</v>
      </c>
      <c r="P180" s="265">
        <f>P39/$B$196</f>
        <v>0</v>
      </c>
      <c r="Q180" s="2"/>
    </row>
    <row r="181" spans="1:17" s="3" customFormat="1" ht="20.149999999999999" hidden="1" customHeight="1" collapsed="1" x14ac:dyDescent="0.35">
      <c r="A181" s="263" t="s">
        <v>7</v>
      </c>
      <c r="B181" s="264">
        <f t="shared" si="29"/>
        <v>1162</v>
      </c>
      <c r="C181" s="265">
        <f t="shared" ref="C181:N181" si="36">C75/$B$196</f>
        <v>581</v>
      </c>
      <c r="D181" s="265">
        <f>D75/$B$196</f>
        <v>581</v>
      </c>
      <c r="E181" s="265">
        <f t="shared" si="36"/>
        <v>0</v>
      </c>
      <c r="F181" s="265">
        <f t="shared" si="36"/>
        <v>0</v>
      </c>
      <c r="G181" s="265">
        <f t="shared" si="36"/>
        <v>0</v>
      </c>
      <c r="H181" s="265">
        <f t="shared" si="36"/>
        <v>0</v>
      </c>
      <c r="I181" s="265">
        <f t="shared" si="36"/>
        <v>0</v>
      </c>
      <c r="J181" s="265">
        <f t="shared" si="36"/>
        <v>0</v>
      </c>
      <c r="K181" s="265">
        <f t="shared" si="36"/>
        <v>0</v>
      </c>
      <c r="L181" s="265">
        <f t="shared" si="36"/>
        <v>0</v>
      </c>
      <c r="M181" s="265">
        <f t="shared" si="36"/>
        <v>0</v>
      </c>
      <c r="N181" s="265">
        <f t="shared" si="36"/>
        <v>0</v>
      </c>
      <c r="O181" s="265">
        <f>O75/$B$196</f>
        <v>0</v>
      </c>
      <c r="P181" s="265">
        <f>P75/$B$196</f>
        <v>0</v>
      </c>
      <c r="Q181" s="2"/>
    </row>
    <row r="182" spans="1:17" s="3" customFormat="1" ht="20.149999999999999" hidden="1" customHeight="1" collapsed="1" x14ac:dyDescent="0.35">
      <c r="A182" s="263" t="s">
        <v>100</v>
      </c>
      <c r="B182" s="264">
        <f t="shared" si="29"/>
        <v>0</v>
      </c>
      <c r="C182" s="265">
        <f t="shared" ref="C182:N182" si="37">C77/$B$196</f>
        <v>0</v>
      </c>
      <c r="D182" s="265">
        <f t="shared" si="37"/>
        <v>0</v>
      </c>
      <c r="E182" s="265">
        <f t="shared" si="37"/>
        <v>0</v>
      </c>
      <c r="F182" s="265">
        <f t="shared" si="37"/>
        <v>0</v>
      </c>
      <c r="G182" s="265">
        <f t="shared" si="37"/>
        <v>0</v>
      </c>
      <c r="H182" s="265">
        <f t="shared" si="37"/>
        <v>0</v>
      </c>
      <c r="I182" s="265">
        <f t="shared" si="37"/>
        <v>0</v>
      </c>
      <c r="J182" s="265">
        <f t="shared" si="37"/>
        <v>0</v>
      </c>
      <c r="K182" s="265">
        <f t="shared" si="37"/>
        <v>0</v>
      </c>
      <c r="L182" s="265">
        <f t="shared" si="37"/>
        <v>0</v>
      </c>
      <c r="M182" s="265">
        <f t="shared" si="37"/>
        <v>0</v>
      </c>
      <c r="N182" s="265">
        <f t="shared" si="37"/>
        <v>0</v>
      </c>
      <c r="O182" s="265">
        <f>O77/$B$196</f>
        <v>0</v>
      </c>
      <c r="P182" s="265">
        <f>P77/$B$196</f>
        <v>0</v>
      </c>
      <c r="Q182" s="2"/>
    </row>
    <row r="183" spans="1:17" s="3" customFormat="1" ht="20.149999999999999" hidden="1" customHeight="1" collapsed="1" x14ac:dyDescent="0.35">
      <c r="A183" s="263" t="s">
        <v>0</v>
      </c>
      <c r="B183" s="264">
        <f t="shared" si="29"/>
        <v>33926.726973684206</v>
      </c>
      <c r="C183" s="265">
        <f>C32/20</f>
        <v>0</v>
      </c>
      <c r="D183" s="265">
        <f>D78/20</f>
        <v>33926.726973684206</v>
      </c>
      <c r="E183" s="265">
        <f t="shared" ref="E183:P183" si="38">E78/20</f>
        <v>0</v>
      </c>
      <c r="F183" s="265">
        <f t="shared" si="38"/>
        <v>0</v>
      </c>
      <c r="G183" s="265">
        <f t="shared" si="38"/>
        <v>0</v>
      </c>
      <c r="H183" s="265">
        <f t="shared" si="38"/>
        <v>0</v>
      </c>
      <c r="I183" s="265">
        <f t="shared" si="38"/>
        <v>0</v>
      </c>
      <c r="J183" s="265">
        <f t="shared" si="38"/>
        <v>0</v>
      </c>
      <c r="K183" s="265">
        <f t="shared" si="38"/>
        <v>0</v>
      </c>
      <c r="L183" s="265">
        <f t="shared" si="38"/>
        <v>0</v>
      </c>
      <c r="M183" s="265">
        <f t="shared" si="38"/>
        <v>0</v>
      </c>
      <c r="N183" s="265">
        <f t="shared" si="38"/>
        <v>0</v>
      </c>
      <c r="O183" s="265">
        <f t="shared" si="38"/>
        <v>0</v>
      </c>
      <c r="P183" s="265">
        <f t="shared" si="38"/>
        <v>0</v>
      </c>
      <c r="Q183" s="2"/>
    </row>
    <row r="184" spans="1:17" s="3" customFormat="1" ht="20.149999999999999" hidden="1" customHeight="1" collapsed="1" x14ac:dyDescent="0.35">
      <c r="A184" s="263" t="s">
        <v>101</v>
      </c>
      <c r="B184" s="264">
        <f t="shared" si="29"/>
        <v>0</v>
      </c>
      <c r="C184" s="265">
        <f t="shared" ref="C184:N184" si="39">C82/$B$196</f>
        <v>0</v>
      </c>
      <c r="D184" s="265">
        <f t="shared" si="39"/>
        <v>0</v>
      </c>
      <c r="E184" s="265">
        <f t="shared" si="39"/>
        <v>0</v>
      </c>
      <c r="F184" s="265">
        <f t="shared" si="39"/>
        <v>0</v>
      </c>
      <c r="G184" s="265">
        <f t="shared" si="39"/>
        <v>0</v>
      </c>
      <c r="H184" s="265">
        <f t="shared" si="39"/>
        <v>0</v>
      </c>
      <c r="I184" s="265">
        <f t="shared" si="39"/>
        <v>0</v>
      </c>
      <c r="J184" s="265">
        <f t="shared" si="39"/>
        <v>0</v>
      </c>
      <c r="K184" s="265">
        <f t="shared" si="39"/>
        <v>0</v>
      </c>
      <c r="L184" s="265">
        <f t="shared" si="39"/>
        <v>0</v>
      </c>
      <c r="M184" s="265">
        <f t="shared" si="39"/>
        <v>0</v>
      </c>
      <c r="N184" s="265">
        <f t="shared" si="39"/>
        <v>0</v>
      </c>
      <c r="O184" s="265">
        <f>O82/$B$196</f>
        <v>0</v>
      </c>
      <c r="P184" s="265">
        <f>P82/$B$196</f>
        <v>0</v>
      </c>
      <c r="Q184" s="2"/>
    </row>
    <row r="185" spans="1:17" s="3" customFormat="1" ht="20.149999999999999" hidden="1" customHeight="1" collapsed="1" x14ac:dyDescent="0.35">
      <c r="A185" s="263" t="s">
        <v>4</v>
      </c>
      <c r="B185" s="264">
        <f t="shared" si="29"/>
        <v>179390.88420586605</v>
      </c>
      <c r="C185" s="265">
        <f t="shared" ref="C185:N185" si="40">C146/$B$196</f>
        <v>108451.62195904813</v>
      </c>
      <c r="D185" s="265">
        <f t="shared" si="40"/>
        <v>70939.262246817918</v>
      </c>
      <c r="E185" s="265">
        <f t="shared" si="40"/>
        <v>0</v>
      </c>
      <c r="F185" s="265">
        <f t="shared" si="40"/>
        <v>0</v>
      </c>
      <c r="G185" s="265">
        <f>G146/$B$196</f>
        <v>0</v>
      </c>
      <c r="H185" s="265">
        <f t="shared" si="40"/>
        <v>0</v>
      </c>
      <c r="I185" s="265">
        <f t="shared" si="40"/>
        <v>0</v>
      </c>
      <c r="J185" s="265">
        <f t="shared" si="40"/>
        <v>0</v>
      </c>
      <c r="K185" s="265">
        <f t="shared" si="40"/>
        <v>0</v>
      </c>
      <c r="L185" s="265">
        <f t="shared" si="40"/>
        <v>0</v>
      </c>
      <c r="M185" s="265">
        <f t="shared" si="40"/>
        <v>0</v>
      </c>
      <c r="N185" s="265">
        <f t="shared" si="40"/>
        <v>0</v>
      </c>
      <c r="O185" s="265">
        <f>O146/$B$196</f>
        <v>0</v>
      </c>
      <c r="P185" s="265">
        <f>P146/$B$196</f>
        <v>0</v>
      </c>
      <c r="Q185" s="2"/>
    </row>
    <row r="186" spans="1:17" s="3" customFormat="1" ht="20.149999999999999" hidden="1" customHeight="1" collapsed="1" x14ac:dyDescent="0.35">
      <c r="A186" s="263" t="s">
        <v>102</v>
      </c>
      <c r="B186" s="264">
        <f t="shared" si="29"/>
        <v>0</v>
      </c>
      <c r="C186" s="265">
        <f t="shared" ref="C186:N186" si="41">C147/$B$196</f>
        <v>0</v>
      </c>
      <c r="D186" s="265">
        <f t="shared" si="41"/>
        <v>0</v>
      </c>
      <c r="E186" s="265">
        <f t="shared" si="41"/>
        <v>0</v>
      </c>
      <c r="F186" s="265">
        <f t="shared" si="41"/>
        <v>0</v>
      </c>
      <c r="G186" s="265">
        <f t="shared" si="41"/>
        <v>0</v>
      </c>
      <c r="H186" s="265">
        <f t="shared" si="41"/>
        <v>0</v>
      </c>
      <c r="I186" s="265">
        <f t="shared" si="41"/>
        <v>0</v>
      </c>
      <c r="J186" s="265">
        <f t="shared" si="41"/>
        <v>0</v>
      </c>
      <c r="K186" s="265">
        <f t="shared" si="41"/>
        <v>0</v>
      </c>
      <c r="L186" s="265">
        <f t="shared" si="41"/>
        <v>0</v>
      </c>
      <c r="M186" s="265">
        <f t="shared" si="41"/>
        <v>0</v>
      </c>
      <c r="N186" s="265">
        <f t="shared" si="41"/>
        <v>0</v>
      </c>
      <c r="O186" s="265">
        <f>O147/$B$196</f>
        <v>0</v>
      </c>
      <c r="P186" s="265">
        <f>P147/$B$196</f>
        <v>0</v>
      </c>
      <c r="Q186" s="2"/>
    </row>
    <row r="187" spans="1:17" s="3" customFormat="1" ht="20.149999999999999" hidden="1" customHeight="1" collapsed="1" x14ac:dyDescent="0.35">
      <c r="A187" s="263" t="s">
        <v>103</v>
      </c>
      <c r="B187" s="264">
        <f t="shared" si="29"/>
        <v>0</v>
      </c>
      <c r="C187" s="265">
        <f t="shared" ref="C187:N187" si="42">C149/$B$196</f>
        <v>0</v>
      </c>
      <c r="D187" s="265">
        <f t="shared" si="42"/>
        <v>0</v>
      </c>
      <c r="E187" s="265">
        <f t="shared" si="42"/>
        <v>0</v>
      </c>
      <c r="F187" s="265">
        <f t="shared" si="42"/>
        <v>0</v>
      </c>
      <c r="G187" s="265">
        <f t="shared" si="42"/>
        <v>0</v>
      </c>
      <c r="H187" s="265">
        <f t="shared" si="42"/>
        <v>0</v>
      </c>
      <c r="I187" s="265">
        <f t="shared" si="42"/>
        <v>0</v>
      </c>
      <c r="J187" s="265">
        <f t="shared" si="42"/>
        <v>0</v>
      </c>
      <c r="K187" s="265">
        <f t="shared" si="42"/>
        <v>0</v>
      </c>
      <c r="L187" s="265">
        <f t="shared" si="42"/>
        <v>0</v>
      </c>
      <c r="M187" s="265">
        <f t="shared" si="42"/>
        <v>0</v>
      </c>
      <c r="N187" s="265">
        <f t="shared" si="42"/>
        <v>0</v>
      </c>
      <c r="O187" s="265">
        <f>O149/$B$196</f>
        <v>0</v>
      </c>
      <c r="P187" s="265">
        <f>P149/$B$196</f>
        <v>0</v>
      </c>
      <c r="Q187" s="2"/>
    </row>
    <row r="188" spans="1:17" s="3" customFormat="1" ht="20.149999999999999" hidden="1" customHeight="1" collapsed="1" x14ac:dyDescent="0.35">
      <c r="A188" s="263" t="s">
        <v>104</v>
      </c>
      <c r="B188" s="264">
        <f t="shared" si="29"/>
        <v>0</v>
      </c>
      <c r="C188" s="265">
        <f t="shared" ref="C188:N188" si="43">C150/$B$196</f>
        <v>0</v>
      </c>
      <c r="D188" s="265">
        <f t="shared" si="43"/>
        <v>0</v>
      </c>
      <c r="E188" s="265">
        <f t="shared" si="43"/>
        <v>0</v>
      </c>
      <c r="F188" s="265">
        <f t="shared" si="43"/>
        <v>0</v>
      </c>
      <c r="G188" s="265">
        <f t="shared" si="43"/>
        <v>0</v>
      </c>
      <c r="H188" s="265">
        <f t="shared" si="43"/>
        <v>0</v>
      </c>
      <c r="I188" s="265">
        <f t="shared" si="43"/>
        <v>0</v>
      </c>
      <c r="J188" s="265">
        <f t="shared" si="43"/>
        <v>0</v>
      </c>
      <c r="K188" s="265">
        <f t="shared" si="43"/>
        <v>0</v>
      </c>
      <c r="L188" s="265">
        <f t="shared" si="43"/>
        <v>0</v>
      </c>
      <c r="M188" s="265">
        <f t="shared" si="43"/>
        <v>0</v>
      </c>
      <c r="N188" s="265">
        <f t="shared" si="43"/>
        <v>0</v>
      </c>
      <c r="O188" s="265">
        <f>O150/$B$196</f>
        <v>0</v>
      </c>
      <c r="P188" s="265">
        <f>P150/$B$196</f>
        <v>0</v>
      </c>
      <c r="Q188" s="2"/>
    </row>
    <row r="189" spans="1:17" s="3" customFormat="1" ht="20.149999999999999" hidden="1" customHeight="1" collapsed="1" x14ac:dyDescent="0.35">
      <c r="A189" s="263" t="s">
        <v>5</v>
      </c>
      <c r="B189" s="264">
        <f t="shared" si="29"/>
        <v>16646.375207526286</v>
      </c>
      <c r="C189" s="265">
        <f t="shared" ref="C189:N189" si="44">C153/$B$196</f>
        <v>8323.1876037631428</v>
      </c>
      <c r="D189" s="265">
        <f t="shared" si="44"/>
        <v>8323.1876037631428</v>
      </c>
      <c r="E189" s="265">
        <f t="shared" si="44"/>
        <v>0</v>
      </c>
      <c r="F189" s="265">
        <f t="shared" si="44"/>
        <v>0</v>
      </c>
      <c r="G189" s="265">
        <f t="shared" si="44"/>
        <v>0</v>
      </c>
      <c r="H189" s="265">
        <f t="shared" si="44"/>
        <v>0</v>
      </c>
      <c r="I189" s="265">
        <f t="shared" si="44"/>
        <v>0</v>
      </c>
      <c r="J189" s="265">
        <f t="shared" si="44"/>
        <v>0</v>
      </c>
      <c r="K189" s="265">
        <f t="shared" si="44"/>
        <v>0</v>
      </c>
      <c r="L189" s="265">
        <f t="shared" si="44"/>
        <v>0</v>
      </c>
      <c r="M189" s="265">
        <f t="shared" si="44"/>
        <v>0</v>
      </c>
      <c r="N189" s="265">
        <f t="shared" si="44"/>
        <v>0</v>
      </c>
      <c r="O189" s="265">
        <f>O153/$B$196</f>
        <v>0</v>
      </c>
      <c r="P189" s="265">
        <f>P153/$B$196</f>
        <v>0</v>
      </c>
      <c r="Q189" s="2"/>
    </row>
    <row r="190" spans="1:17" s="3" customFormat="1" ht="20.149999999999999" hidden="1" customHeight="1" collapsed="1" x14ac:dyDescent="0.35">
      <c r="A190" s="263" t="s">
        <v>6</v>
      </c>
      <c r="B190" s="264">
        <f t="shared" si="29"/>
        <v>89280.260000000009</v>
      </c>
      <c r="C190" s="265">
        <f t="shared" ref="C190:N190" si="45">C161/$B$196</f>
        <v>44640.130000000005</v>
      </c>
      <c r="D190" s="265">
        <f t="shared" si="45"/>
        <v>44640.130000000005</v>
      </c>
      <c r="E190" s="265">
        <f t="shared" si="45"/>
        <v>0</v>
      </c>
      <c r="F190" s="265">
        <f>F161/$B$196</f>
        <v>0</v>
      </c>
      <c r="G190" s="265">
        <f t="shared" si="45"/>
        <v>0</v>
      </c>
      <c r="H190" s="265">
        <f>H161/$B$196</f>
        <v>0</v>
      </c>
      <c r="I190" s="265">
        <f t="shared" si="45"/>
        <v>0</v>
      </c>
      <c r="J190" s="265">
        <f t="shared" si="45"/>
        <v>0</v>
      </c>
      <c r="K190" s="265">
        <f t="shared" si="45"/>
        <v>0</v>
      </c>
      <c r="L190" s="265">
        <f t="shared" si="45"/>
        <v>0</v>
      </c>
      <c r="M190" s="265">
        <f t="shared" si="45"/>
        <v>0</v>
      </c>
      <c r="N190" s="265">
        <f t="shared" si="45"/>
        <v>0</v>
      </c>
      <c r="O190" s="265">
        <f>O161/$B$196</f>
        <v>0</v>
      </c>
      <c r="P190" s="265">
        <f>P161/$B$196</f>
        <v>0</v>
      </c>
      <c r="Q190" s="2"/>
    </row>
    <row r="191" spans="1:17" ht="20.149999999999999" hidden="1" customHeight="1" x14ac:dyDescent="0.35">
      <c r="A191" s="252" t="s">
        <v>63</v>
      </c>
      <c r="B191" s="268">
        <f>SUM(B190,B189,B188,B187,B186,B185,B184,B183,B182,B181,B180,B179,B178,B177,B176,B175,B174,B173)</f>
        <v>1260681.5785642702</v>
      </c>
      <c r="C191" s="268">
        <f>C162/$B$196</f>
        <v>1123292.292507197</v>
      </c>
      <c r="D191" s="268">
        <f>D162/$B$196</f>
        <v>164112.20738094545</v>
      </c>
      <c r="E191" s="268">
        <f>E162/$B$196</f>
        <v>0</v>
      </c>
      <c r="F191" s="268">
        <f>F162/$B$196</f>
        <v>0</v>
      </c>
      <c r="G191" s="268">
        <f>G162/$B$196</f>
        <v>0</v>
      </c>
      <c r="H191" s="268">
        <f>H162/$B$196</f>
        <v>0</v>
      </c>
      <c r="I191" s="268">
        <f t="shared" ref="I191:N191" si="46">I162/$B$196</f>
        <v>0</v>
      </c>
      <c r="J191" s="268">
        <f t="shared" si="46"/>
        <v>0</v>
      </c>
      <c r="K191" s="268">
        <f t="shared" si="46"/>
        <v>0</v>
      </c>
      <c r="L191" s="268">
        <f t="shared" si="46"/>
        <v>0</v>
      </c>
      <c r="M191" s="268">
        <f t="shared" si="46"/>
        <v>0</v>
      </c>
      <c r="N191" s="268">
        <f t="shared" si="46"/>
        <v>0</v>
      </c>
      <c r="O191" s="268">
        <f>O162/$B$196</f>
        <v>0</v>
      </c>
      <c r="P191" s="268">
        <f>P162/$B$196</f>
        <v>0</v>
      </c>
    </row>
    <row r="192" spans="1:17" s="3" customFormat="1" ht="20.149999999999999" hidden="1" customHeight="1" x14ac:dyDescent="0.35">
      <c r="A192" s="269" t="s">
        <v>246</v>
      </c>
      <c r="B192" s="270">
        <f>B169-B191</f>
        <v>2907555.5414357297</v>
      </c>
      <c r="C192" s="270">
        <f>C191</f>
        <v>1123292.292507197</v>
      </c>
      <c r="D192" s="270">
        <f t="shared" ref="D192:P192" si="47">C192+D191</f>
        <v>1287404.4998881426</v>
      </c>
      <c r="E192" s="270">
        <f t="shared" si="47"/>
        <v>1287404.4998881426</v>
      </c>
      <c r="F192" s="270">
        <f t="shared" si="47"/>
        <v>1287404.4998881426</v>
      </c>
      <c r="G192" s="270">
        <f t="shared" si="47"/>
        <v>1287404.4998881426</v>
      </c>
      <c r="H192" s="270">
        <f t="shared" si="47"/>
        <v>1287404.4998881426</v>
      </c>
      <c r="I192" s="270">
        <f t="shared" si="47"/>
        <v>1287404.4998881426</v>
      </c>
      <c r="J192" s="270">
        <f t="shared" si="47"/>
        <v>1287404.4998881426</v>
      </c>
      <c r="K192" s="270">
        <f t="shared" si="47"/>
        <v>1287404.4998881426</v>
      </c>
      <c r="L192" s="270">
        <f t="shared" si="47"/>
        <v>1287404.4998881426</v>
      </c>
      <c r="M192" s="270">
        <f t="shared" si="47"/>
        <v>1287404.4998881426</v>
      </c>
      <c r="N192" s="270">
        <f t="shared" si="47"/>
        <v>1287404.4998881426</v>
      </c>
      <c r="O192" s="270">
        <f t="shared" si="47"/>
        <v>1287404.4998881426</v>
      </c>
      <c r="P192" s="270">
        <f t="shared" si="47"/>
        <v>1287404.4998881426</v>
      </c>
      <c r="Q192" s="2"/>
    </row>
    <row r="193" spans="1:10" ht="20.149999999999999" hidden="1" customHeight="1" x14ac:dyDescent="0.35">
      <c r="B193" s="271">
        <f>1-(B191/B169)</f>
        <v>0.69755041705394394</v>
      </c>
    </row>
    <row r="194" spans="1:10" ht="20.149999999999999" customHeight="1" x14ac:dyDescent="0.35">
      <c r="J194" s="402"/>
    </row>
    <row r="195" spans="1:10" ht="20.149999999999999" customHeight="1" x14ac:dyDescent="0.35">
      <c r="A195" s="5" t="str">
        <f>PREMISAS!C17</f>
        <v>Premisas</v>
      </c>
      <c r="B195" s="5"/>
      <c r="E195" s="14"/>
      <c r="F195" s="14"/>
      <c r="G195" s="18"/>
    </row>
    <row r="196" spans="1:10" ht="20.149999999999999" customHeight="1" x14ac:dyDescent="0.35">
      <c r="A196" s="20" t="str">
        <f>PREMISAS!C18</f>
        <v>Paridad</v>
      </c>
      <c r="B196" s="21">
        <f>PREMISAS!D18</f>
        <v>18.07</v>
      </c>
      <c r="E196" s="14"/>
      <c r="F196" s="14"/>
      <c r="G196" s="402"/>
    </row>
    <row r="197" spans="1:10" ht="20.149999999999999" customHeight="1" x14ac:dyDescent="0.35">
      <c r="A197" s="22" t="str">
        <f>PREMISAS!C19</f>
        <v xml:space="preserve">Mes </v>
      </c>
      <c r="B197" s="23">
        <f>PREMISAS!D19</f>
        <v>30.4</v>
      </c>
      <c r="G197" s="402"/>
    </row>
    <row r="198" spans="1:10" ht="20.149999999999999" customHeight="1" x14ac:dyDescent="0.35">
      <c r="A198" s="24" t="str">
        <f>PREMISAS!C20</f>
        <v>Periodo Pago (días)</v>
      </c>
      <c r="B198" s="25">
        <f>PREMISAS!D20</f>
        <v>30</v>
      </c>
    </row>
    <row r="199" spans="1:10" ht="20.149999999999999" customHeight="1" x14ac:dyDescent="0.35">
      <c r="A199" s="26" t="str">
        <f>PREMISAS!C21</f>
        <v>Gas lp</v>
      </c>
      <c r="B199" s="27">
        <f>PREMISAS!D21</f>
        <v>0</v>
      </c>
      <c r="H199" s="402"/>
    </row>
    <row r="200" spans="1:10" ht="20.149999999999999" customHeight="1" x14ac:dyDescent="0.35">
      <c r="A200" s="28" t="str">
        <f>PREMISAS!C22</f>
        <v>Gasolina Magna</v>
      </c>
      <c r="B200" s="29">
        <f>PREMISAS!D22</f>
        <v>22</v>
      </c>
      <c r="H200" s="402"/>
    </row>
    <row r="201" spans="1:10" ht="20.149999999999999" customHeight="1" x14ac:dyDescent="0.35">
      <c r="A201" s="30" t="str">
        <f>PREMISAS!C23</f>
        <v>Diesel</v>
      </c>
      <c r="B201" s="31">
        <f>PREMISAS!D23</f>
        <v>23</v>
      </c>
    </row>
  </sheetData>
  <mergeCells count="3">
    <mergeCell ref="A167:N167"/>
    <mergeCell ref="A1:B1"/>
    <mergeCell ref="A2:B2"/>
  </mergeCells>
  <phoneticPr fontId="38" type="noConversion"/>
  <conditionalFormatting sqref="Q8:Q16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17"/>
  <sheetViews>
    <sheetView showGridLines="0" zoomScale="76" zoomScaleNormal="80" workbookViewId="0">
      <selection activeCell="D12" sqref="D12"/>
    </sheetView>
  </sheetViews>
  <sheetFormatPr baseColWidth="10" defaultColWidth="10.83203125" defaultRowHeight="15.5" x14ac:dyDescent="0.35"/>
  <cols>
    <col min="1" max="1" width="3.5" style="2" customWidth="1"/>
    <col min="2" max="2" width="8.5" style="2" customWidth="1"/>
    <col min="3" max="3" width="47" style="2" customWidth="1"/>
    <col min="4" max="4" width="24.58203125" style="2" customWidth="1"/>
    <col min="5" max="5" width="21" style="2" customWidth="1"/>
    <col min="6" max="6" width="11.08203125" style="2" customWidth="1"/>
    <col min="7" max="7" width="16.5" style="2" customWidth="1"/>
    <col min="8" max="13" width="15.5" style="2" customWidth="1"/>
    <col min="14" max="16384" width="10.83203125" style="2"/>
  </cols>
  <sheetData>
    <row r="2" spans="2:5" x14ac:dyDescent="0.35">
      <c r="B2" s="417" t="s">
        <v>477</v>
      </c>
      <c r="C2" s="418"/>
      <c r="D2" s="418"/>
      <c r="E2" s="418"/>
    </row>
    <row r="3" spans="2:5" x14ac:dyDescent="0.35">
      <c r="B3" s="405" t="s">
        <v>469</v>
      </c>
      <c r="C3" s="405" t="s">
        <v>470</v>
      </c>
      <c r="D3" s="406" t="s">
        <v>472</v>
      </c>
      <c r="E3" s="406" t="s">
        <v>463</v>
      </c>
    </row>
    <row r="4" spans="2:5" x14ac:dyDescent="0.35">
      <c r="B4" s="407">
        <v>9</v>
      </c>
      <c r="C4" s="409" t="s">
        <v>471</v>
      </c>
      <c r="D4" s="408">
        <v>104077.7</v>
      </c>
      <c r="E4" s="408">
        <f>D4*0.7</f>
        <v>72854.39</v>
      </c>
    </row>
    <row r="5" spans="2:5" x14ac:dyDescent="0.35">
      <c r="B5" s="407">
        <v>2</v>
      </c>
      <c r="C5" s="409" t="s">
        <v>488</v>
      </c>
      <c r="D5" s="408">
        <v>1149249.02</v>
      </c>
      <c r="E5" s="408">
        <f t="shared" ref="E5:E6" si="0">D5*0.7</f>
        <v>804474.31400000001</v>
      </c>
    </row>
    <row r="6" spans="2:5" x14ac:dyDescent="0.35">
      <c r="B6" s="407">
        <v>83</v>
      </c>
      <c r="C6" s="409" t="s">
        <v>489</v>
      </c>
      <c r="D6" s="408">
        <v>880052.49</v>
      </c>
      <c r="E6" s="408">
        <f t="shared" si="0"/>
        <v>616036.7429999999</v>
      </c>
    </row>
    <row r="7" spans="2:5" x14ac:dyDescent="0.35">
      <c r="B7" s="407"/>
      <c r="C7" s="409"/>
      <c r="D7" s="408"/>
      <c r="E7" s="408"/>
    </row>
    <row r="8" spans="2:5" x14ac:dyDescent="0.35">
      <c r="B8" s="414" t="s">
        <v>63</v>
      </c>
      <c r="C8" s="415"/>
      <c r="D8" s="410">
        <f>SUM(D4:D7)</f>
        <v>2133379.21</v>
      </c>
      <c r="E8" s="410">
        <f t="shared" ref="E8" si="1">D8*0.7</f>
        <v>1493365.4469999999</v>
      </c>
    </row>
    <row r="9" spans="2:5" ht="19.5" customHeight="1" x14ac:dyDescent="0.35"/>
    <row r="10" spans="2:5" x14ac:dyDescent="0.35">
      <c r="B10" s="419" t="s">
        <v>285</v>
      </c>
      <c r="C10" s="420"/>
      <c r="D10" s="420"/>
      <c r="E10" s="420"/>
    </row>
    <row r="11" spans="2:5" x14ac:dyDescent="0.35">
      <c r="B11" s="405" t="s">
        <v>469</v>
      </c>
      <c r="C11" s="405" t="s">
        <v>470</v>
      </c>
      <c r="D11" s="406" t="s">
        <v>472</v>
      </c>
      <c r="E11" s="406" t="s">
        <v>463</v>
      </c>
    </row>
    <row r="12" spans="2:5" ht="31" x14ac:dyDescent="0.35">
      <c r="B12" s="407">
        <v>49</v>
      </c>
      <c r="C12" s="409" t="s">
        <v>490</v>
      </c>
      <c r="D12" s="408">
        <v>228790.08000000007</v>
      </c>
      <c r="E12" s="408">
        <f>D12*0.7</f>
        <v>160153.05600000004</v>
      </c>
    </row>
    <row r="13" spans="2:5" x14ac:dyDescent="0.35">
      <c r="B13" s="407">
        <v>37</v>
      </c>
      <c r="C13" s="409" t="s">
        <v>488</v>
      </c>
      <c r="D13" s="408">
        <v>1790079.03</v>
      </c>
      <c r="E13" s="408">
        <f t="shared" ref="E13:E17" si="2">D13*0.7</f>
        <v>1253055.321</v>
      </c>
    </row>
    <row r="14" spans="2:5" x14ac:dyDescent="0.35">
      <c r="B14" s="407">
        <v>2</v>
      </c>
      <c r="C14" s="409" t="s">
        <v>491</v>
      </c>
      <c r="D14" s="408">
        <v>15988.8</v>
      </c>
      <c r="E14" s="408">
        <f t="shared" si="2"/>
        <v>11192.159999999998</v>
      </c>
    </row>
    <row r="15" spans="2:5" x14ac:dyDescent="0.35">
      <c r="B15" s="407"/>
      <c r="C15" s="409"/>
      <c r="D15" s="408"/>
      <c r="E15" s="408">
        <f t="shared" si="2"/>
        <v>0</v>
      </c>
    </row>
    <row r="16" spans="2:5" x14ac:dyDescent="0.35">
      <c r="B16" s="407"/>
      <c r="C16" s="409"/>
      <c r="D16" s="408"/>
      <c r="E16" s="408">
        <f t="shared" si="2"/>
        <v>0</v>
      </c>
    </row>
    <row r="17" spans="2:5" x14ac:dyDescent="0.35">
      <c r="B17" s="416" t="s">
        <v>473</v>
      </c>
      <c r="C17" s="416"/>
      <c r="D17" s="410">
        <f>SUM(D12:D16)</f>
        <v>2034857.9100000001</v>
      </c>
      <c r="E17" s="410">
        <f t="shared" si="2"/>
        <v>1424400.537</v>
      </c>
    </row>
  </sheetData>
  <mergeCells count="4">
    <mergeCell ref="B8:C8"/>
    <mergeCell ref="B17:C17"/>
    <mergeCell ref="B2:E2"/>
    <mergeCell ref="B10:E10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T65"/>
  <sheetViews>
    <sheetView topLeftCell="A19" zoomScale="40" zoomScaleNormal="40" zoomScalePageLayoutView="50" workbookViewId="0">
      <selection activeCell="X121" sqref="X121"/>
    </sheetView>
  </sheetViews>
  <sheetFormatPr baseColWidth="10" defaultColWidth="10.5" defaultRowHeight="14.5" x14ac:dyDescent="0.35"/>
  <sheetData>
    <row r="65" spans="46:46" x14ac:dyDescent="0.35">
      <c r="AT65" s="16"/>
    </row>
  </sheetData>
  <pageMargins left="0.75" right="0.75" top="1" bottom="1" header="0.5" footer="0.5"/>
  <pageSetup orientation="portrait" horizontalDpi="4294967292" verticalDpi="4294967292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2:R58"/>
  <sheetViews>
    <sheetView zoomScale="76" zoomScaleNormal="70" zoomScalePageLayoutView="60" workbookViewId="0">
      <selection activeCell="D44" sqref="D44"/>
    </sheetView>
  </sheetViews>
  <sheetFormatPr baseColWidth="10" defaultRowHeight="14.5" x14ac:dyDescent="0.35"/>
  <cols>
    <col min="2" max="2" width="31.33203125" bestFit="1" customWidth="1"/>
    <col min="3" max="7" width="11.5" bestFit="1" customWidth="1"/>
    <col min="8" max="8" width="11.33203125" bestFit="1" customWidth="1"/>
    <col min="9" max="13" width="11.5" bestFit="1" customWidth="1"/>
    <col min="14" max="14" width="11.33203125" bestFit="1" customWidth="1"/>
    <col min="15" max="15" width="14.33203125" customWidth="1"/>
    <col min="17" max="17" width="14.33203125" customWidth="1"/>
    <col min="18" max="18" width="16.83203125" customWidth="1"/>
  </cols>
  <sheetData>
    <row r="32" spans="2:18" s="247" customFormat="1" x14ac:dyDescent="0.35">
      <c r="B32" s="248" t="s">
        <v>32</v>
      </c>
      <c r="C32" s="247" t="s">
        <v>352</v>
      </c>
      <c r="D32" s="247" t="s">
        <v>84</v>
      </c>
      <c r="E32" s="247" t="s">
        <v>67</v>
      </c>
      <c r="F32" s="247" t="s">
        <v>68</v>
      </c>
      <c r="G32" s="247" t="s">
        <v>69</v>
      </c>
      <c r="H32" s="247" t="s">
        <v>70</v>
      </c>
      <c r="I32" s="247" t="s">
        <v>71</v>
      </c>
      <c r="J32" s="247" t="s">
        <v>72</v>
      </c>
      <c r="K32" s="247" t="s">
        <v>73</v>
      </c>
      <c r="L32" s="247" t="s">
        <v>74</v>
      </c>
      <c r="M32" s="247" t="s">
        <v>75</v>
      </c>
      <c r="N32" s="247" t="s">
        <v>76</v>
      </c>
      <c r="O32" s="247" t="s">
        <v>77</v>
      </c>
      <c r="P32" s="247" t="s">
        <v>350</v>
      </c>
      <c r="Q32" s="247" t="s">
        <v>351</v>
      </c>
      <c r="R32" s="248" t="s">
        <v>349</v>
      </c>
    </row>
    <row r="33" spans="1:18" x14ac:dyDescent="0.35">
      <c r="A33" s="247">
        <v>1</v>
      </c>
      <c r="B33" s="247" t="str">
        <f>SERVICIO!A23</f>
        <v>ARRENDA DE INMUEBLES Y SERV</v>
      </c>
      <c r="C33" s="245">
        <f>SERVICIO!C23</f>
        <v>0</v>
      </c>
      <c r="D33" s="245">
        <f>SERVICIO!D23</f>
        <v>0</v>
      </c>
      <c r="E33" s="245">
        <f>SERVICIO!E23</f>
        <v>0</v>
      </c>
      <c r="F33" s="245">
        <f>SERVICIO!F23</f>
        <v>0</v>
      </c>
      <c r="G33" s="245">
        <f>SERVICIO!G23</f>
        <v>0</v>
      </c>
      <c r="H33" s="245">
        <f>SERVICIO!H23</f>
        <v>0</v>
      </c>
      <c r="I33" s="245">
        <f>SERVICIO!I23</f>
        <v>0</v>
      </c>
      <c r="J33" s="245">
        <f>SERVICIO!J23</f>
        <v>0</v>
      </c>
      <c r="K33" s="245">
        <f>SERVICIO!K23</f>
        <v>0</v>
      </c>
      <c r="L33" s="245">
        <f>SERVICIO!L23</f>
        <v>0</v>
      </c>
      <c r="M33" s="245">
        <f>SERVICIO!M23</f>
        <v>0</v>
      </c>
      <c r="N33" s="245">
        <f>SERVICIO!N23</f>
        <v>0</v>
      </c>
      <c r="O33" s="245">
        <f>SERVICIO!O23</f>
        <v>0</v>
      </c>
      <c r="P33" s="245">
        <f>SERVICIO!P23</f>
        <v>0</v>
      </c>
      <c r="Q33" s="245" t="e">
        <f>SERVICIO!#REF!</f>
        <v>#REF!</v>
      </c>
      <c r="R33" s="245">
        <f>SERVICIO!B23</f>
        <v>0</v>
      </c>
    </row>
    <row r="34" spans="1:18" x14ac:dyDescent="0.35">
      <c r="A34" s="247">
        <v>2</v>
      </c>
      <c r="B34" s="247" t="str">
        <f>SERVICIO!A25</f>
        <v>ARTICULOS DE SEGURIDAD</v>
      </c>
      <c r="C34" s="245">
        <f>SERVICIO!C25</f>
        <v>233794.17749999999</v>
      </c>
      <c r="D34" s="245">
        <f>SERVICIO!D25</f>
        <v>0</v>
      </c>
      <c r="E34" s="245">
        <f>SERVICIO!E25</f>
        <v>0</v>
      </c>
      <c r="F34" s="245">
        <f>SERVICIO!F25</f>
        <v>0</v>
      </c>
      <c r="G34" s="245">
        <f>SERVICIO!G25</f>
        <v>0</v>
      </c>
      <c r="H34" s="245">
        <f>SERVICIO!H25</f>
        <v>0</v>
      </c>
      <c r="I34" s="245">
        <f>SERVICIO!I25</f>
        <v>0</v>
      </c>
      <c r="J34" s="245">
        <f>SERVICIO!J25</f>
        <v>0</v>
      </c>
      <c r="K34" s="245">
        <f>SERVICIO!K25</f>
        <v>0</v>
      </c>
      <c r="L34" s="245">
        <f>SERVICIO!L25</f>
        <v>0</v>
      </c>
      <c r="M34" s="245">
        <f>SERVICIO!M25</f>
        <v>0</v>
      </c>
      <c r="N34" s="245">
        <f>SERVICIO!N25</f>
        <v>0</v>
      </c>
      <c r="O34" s="245">
        <f>SERVICIO!O25</f>
        <v>0</v>
      </c>
      <c r="P34" s="245">
        <f>SERVICIO!P25</f>
        <v>0</v>
      </c>
      <c r="Q34" s="245" t="e">
        <f>SERVICIO!#REF!</f>
        <v>#REF!</v>
      </c>
      <c r="R34" s="245">
        <f>SERVICIO!B25</f>
        <v>233794.17749999999</v>
      </c>
    </row>
    <row r="35" spans="1:18" x14ac:dyDescent="0.35">
      <c r="A35" s="247">
        <v>3</v>
      </c>
      <c r="B35" s="247" t="str">
        <f>SERVICIO!A28</f>
        <v>EQUIPO DE COMPUTO</v>
      </c>
      <c r="C35" s="246">
        <f>SERVICIO!C28</f>
        <v>0</v>
      </c>
      <c r="D35" s="246">
        <f>SERVICIO!D28</f>
        <v>32526</v>
      </c>
      <c r="E35" s="246">
        <f>SERVICIO!E28</f>
        <v>0</v>
      </c>
      <c r="F35" s="246">
        <f>SERVICIO!F28</f>
        <v>0</v>
      </c>
      <c r="G35" s="246">
        <f>SERVICIO!G28</f>
        <v>0</v>
      </c>
      <c r="H35" s="246">
        <f>SERVICIO!H28</f>
        <v>0</v>
      </c>
      <c r="I35" s="246">
        <f>SERVICIO!I28</f>
        <v>0</v>
      </c>
      <c r="J35" s="246">
        <f>SERVICIO!J28</f>
        <v>0</v>
      </c>
      <c r="K35" s="246">
        <f>SERVICIO!K28</f>
        <v>0</v>
      </c>
      <c r="L35" s="246">
        <f>SERVICIO!L28</f>
        <v>0</v>
      </c>
      <c r="M35" s="246">
        <f>SERVICIO!M28</f>
        <v>0</v>
      </c>
      <c r="N35" s="246">
        <f>SERVICIO!N28</f>
        <v>0</v>
      </c>
      <c r="O35" s="246">
        <f>SERVICIO!O28</f>
        <v>0</v>
      </c>
      <c r="P35" s="246">
        <f>SERVICIO!P28</f>
        <v>0</v>
      </c>
      <c r="Q35" s="246" t="e">
        <f>SERVICIO!#REF!</f>
        <v>#REF!</v>
      </c>
      <c r="R35" s="246">
        <f>SERVICIO!B28</f>
        <v>32526</v>
      </c>
    </row>
    <row r="36" spans="1:18" x14ac:dyDescent="0.35">
      <c r="A36" s="247">
        <v>4</v>
      </c>
      <c r="B36" s="247" t="str">
        <f>SERVICIO!A30</f>
        <v>EQUIPOS Y ENSERES</v>
      </c>
      <c r="C36" s="246">
        <f>SERVICIO!C30</f>
        <v>5028.7599999999993</v>
      </c>
      <c r="D36" s="246">
        <f>SERVICIO!D30</f>
        <v>5028.7599999999993</v>
      </c>
      <c r="E36" s="246">
        <f>SERVICIO!E30</f>
        <v>0</v>
      </c>
      <c r="F36" s="246">
        <f>SERVICIO!F30</f>
        <v>0</v>
      </c>
      <c r="G36" s="246">
        <f>SERVICIO!G30</f>
        <v>0</v>
      </c>
      <c r="H36" s="246">
        <f>SERVICIO!H30</f>
        <v>0</v>
      </c>
      <c r="I36" s="246">
        <f>SERVICIO!I30</f>
        <v>0</v>
      </c>
      <c r="J36" s="246">
        <f>SERVICIO!J30</f>
        <v>0</v>
      </c>
      <c r="K36" s="246">
        <f>SERVICIO!K30</f>
        <v>0</v>
      </c>
      <c r="L36" s="246">
        <f>SERVICIO!L30</f>
        <v>0</v>
      </c>
      <c r="M36" s="246">
        <f>SERVICIO!M30</f>
        <v>0</v>
      </c>
      <c r="N36" s="246">
        <f>SERVICIO!N30</f>
        <v>0</v>
      </c>
      <c r="O36" s="246">
        <f>SERVICIO!O30</f>
        <v>0</v>
      </c>
      <c r="P36" s="246">
        <f>SERVICIO!P30</f>
        <v>0</v>
      </c>
      <c r="Q36" s="246" t="e">
        <f>SERVICIO!#REF!</f>
        <v>#REF!</v>
      </c>
      <c r="R36" s="246">
        <f>SERVICIO!B30</f>
        <v>10057.519999999999</v>
      </c>
    </row>
    <row r="37" spans="1:18" x14ac:dyDescent="0.35">
      <c r="A37" s="247">
        <v>5</v>
      </c>
      <c r="B37" s="247" t="str">
        <f>SERVICIO!A31</f>
        <v>INSUMOS AGRICOLAS</v>
      </c>
      <c r="C37" s="246">
        <f>SERVICIO!C31</f>
        <v>0</v>
      </c>
      <c r="D37" s="246">
        <f>SERVICIO!D31</f>
        <v>0</v>
      </c>
      <c r="E37" s="246">
        <f>SERVICIO!E31</f>
        <v>0</v>
      </c>
      <c r="F37" s="246">
        <f>SERVICIO!F31</f>
        <v>0</v>
      </c>
      <c r="G37" s="246">
        <f>SERVICIO!G31</f>
        <v>0</v>
      </c>
      <c r="H37" s="246">
        <f>SERVICIO!H31</f>
        <v>0</v>
      </c>
      <c r="I37" s="246">
        <f>SERVICIO!I31</f>
        <v>0</v>
      </c>
      <c r="J37" s="246">
        <f>SERVICIO!J31</f>
        <v>0</v>
      </c>
      <c r="K37" s="246">
        <f>SERVICIO!K31</f>
        <v>0</v>
      </c>
      <c r="L37" s="246">
        <f>SERVICIO!L31</f>
        <v>0</v>
      </c>
      <c r="M37" s="246">
        <f>SERVICIO!M31</f>
        <v>0</v>
      </c>
      <c r="N37" s="246">
        <f>SERVICIO!N31</f>
        <v>0</v>
      </c>
      <c r="O37" s="246">
        <f>SERVICIO!O31</f>
        <v>0</v>
      </c>
      <c r="P37" s="246">
        <f>SERVICIO!P31</f>
        <v>0</v>
      </c>
      <c r="Q37" s="246" t="e">
        <f>SERVICIO!#REF!</f>
        <v>#REF!</v>
      </c>
      <c r="R37" s="246">
        <f>SERVICIO!B31</f>
        <v>0</v>
      </c>
    </row>
    <row r="38" spans="1:18" x14ac:dyDescent="0.35">
      <c r="A38" s="247">
        <v>6</v>
      </c>
      <c r="B38" s="247" t="str">
        <f>SERVICIO!A36</f>
        <v>INSUMOS DE OFICINA</v>
      </c>
      <c r="C38" s="246">
        <f>SERVICIO!C36</f>
        <v>0</v>
      </c>
      <c r="D38" s="246">
        <f>SERVICIO!D36</f>
        <v>0</v>
      </c>
      <c r="E38" s="246">
        <f>SERVICIO!E36</f>
        <v>0</v>
      </c>
      <c r="F38" s="246">
        <f>SERVICIO!F36</f>
        <v>0</v>
      </c>
      <c r="G38" s="246">
        <f>SERVICIO!G36</f>
        <v>0</v>
      </c>
      <c r="H38" s="246">
        <f>SERVICIO!H36</f>
        <v>0</v>
      </c>
      <c r="I38" s="246">
        <f>SERVICIO!I36</f>
        <v>0</v>
      </c>
      <c r="J38" s="246">
        <f>SERVICIO!J36</f>
        <v>0</v>
      </c>
      <c r="K38" s="246">
        <f>SERVICIO!K36</f>
        <v>0</v>
      </c>
      <c r="L38" s="246">
        <f>SERVICIO!L36</f>
        <v>0</v>
      </c>
      <c r="M38" s="246">
        <f>SERVICIO!M36</f>
        <v>0</v>
      </c>
      <c r="N38" s="246">
        <f>SERVICIO!N36</f>
        <v>0</v>
      </c>
      <c r="O38" s="246">
        <f>SERVICIO!O36</f>
        <v>0</v>
      </c>
      <c r="P38" s="246">
        <f>SERVICIO!P36</f>
        <v>0</v>
      </c>
      <c r="Q38" s="246" t="e">
        <f>SERVICIO!#REF!</f>
        <v>#REF!</v>
      </c>
      <c r="R38" s="246">
        <f>SERVICIO!B36</f>
        <v>0</v>
      </c>
    </row>
    <row r="39" spans="1:18" x14ac:dyDescent="0.35">
      <c r="A39" s="247">
        <v>7</v>
      </c>
      <c r="B39" s="247" t="str">
        <f>SERVICIO!A39</f>
        <v>MARKETING</v>
      </c>
      <c r="C39" s="246">
        <f>SERVICIO!C39</f>
        <v>0</v>
      </c>
      <c r="D39" s="246">
        <f>SERVICIO!D39</f>
        <v>0</v>
      </c>
      <c r="E39" s="246">
        <f>SERVICIO!E39</f>
        <v>0</v>
      </c>
      <c r="F39" s="246">
        <f>SERVICIO!F39</f>
        <v>0</v>
      </c>
      <c r="G39" s="246">
        <f>SERVICIO!G39</f>
        <v>0</v>
      </c>
      <c r="H39" s="246">
        <f>SERVICIO!H39</f>
        <v>0</v>
      </c>
      <c r="I39" s="246">
        <f>SERVICIO!I39</f>
        <v>0</v>
      </c>
      <c r="J39" s="246">
        <f>SERVICIO!J39</f>
        <v>0</v>
      </c>
      <c r="K39" s="246">
        <f>SERVICIO!K39</f>
        <v>0</v>
      </c>
      <c r="L39" s="246">
        <f>SERVICIO!L39</f>
        <v>0</v>
      </c>
      <c r="M39" s="246">
        <f>SERVICIO!M39</f>
        <v>0</v>
      </c>
      <c r="N39" s="246">
        <f>SERVICIO!N39</f>
        <v>0</v>
      </c>
      <c r="O39" s="246">
        <f>SERVICIO!O39</f>
        <v>0</v>
      </c>
      <c r="P39" s="246">
        <f>SERVICIO!P39</f>
        <v>0</v>
      </c>
      <c r="Q39" s="246" t="e">
        <f>SERVICIO!#REF!</f>
        <v>#REF!</v>
      </c>
      <c r="R39" s="246">
        <f>SERVICIO!B39</f>
        <v>0</v>
      </c>
    </row>
    <row r="40" spans="1:18" x14ac:dyDescent="0.35">
      <c r="A40" s="247">
        <v>8</v>
      </c>
      <c r="B40" s="247" t="str">
        <f>SERVICIO!A75</f>
        <v>MATERIALES</v>
      </c>
      <c r="C40" s="246">
        <f>SERVICIO!C75</f>
        <v>10498.67</v>
      </c>
      <c r="D40" s="246">
        <f>SERVICIO!D75</f>
        <v>10498.67</v>
      </c>
      <c r="E40" s="246">
        <f>SERVICIO!E75</f>
        <v>0</v>
      </c>
      <c r="F40" s="246">
        <f>SERVICIO!F75</f>
        <v>0</v>
      </c>
      <c r="G40" s="246">
        <f>SERVICIO!G75</f>
        <v>0</v>
      </c>
      <c r="H40" s="246">
        <f>SERVICIO!H75</f>
        <v>0</v>
      </c>
      <c r="I40" s="246">
        <f>SERVICIO!I75</f>
        <v>0</v>
      </c>
      <c r="J40" s="246">
        <f>SERVICIO!J75</f>
        <v>0</v>
      </c>
      <c r="K40" s="246">
        <f>SERVICIO!K75</f>
        <v>0</v>
      </c>
      <c r="L40" s="246">
        <f>SERVICIO!L75</f>
        <v>0</v>
      </c>
      <c r="M40" s="246">
        <f>SERVICIO!M75</f>
        <v>0</v>
      </c>
      <c r="N40" s="246">
        <f>SERVICIO!N75</f>
        <v>0</v>
      </c>
      <c r="O40" s="246">
        <f>SERVICIO!O75</f>
        <v>0</v>
      </c>
      <c r="P40" s="246">
        <f>SERVICIO!P75</f>
        <v>0</v>
      </c>
      <c r="Q40" s="246" t="e">
        <f>SERVICIO!#REF!</f>
        <v>#REF!</v>
      </c>
      <c r="R40" s="246">
        <f>SERVICIO!B75</f>
        <v>20997.34</v>
      </c>
    </row>
    <row r="41" spans="1:18" x14ac:dyDescent="0.35">
      <c r="A41" s="247">
        <v>9</v>
      </c>
      <c r="B41" s="247" t="str">
        <f>SERVICIO!A77</f>
        <v>MATERIALES DE SALUD</v>
      </c>
      <c r="C41" s="246">
        <f>SERVICIO!C77</f>
        <v>0</v>
      </c>
      <c r="D41" s="246">
        <f>SERVICIO!D77</f>
        <v>0</v>
      </c>
      <c r="E41" s="246">
        <f>SERVICIO!E77</f>
        <v>0</v>
      </c>
      <c r="F41" s="246">
        <f>SERVICIO!F77</f>
        <v>0</v>
      </c>
      <c r="G41" s="246">
        <f>SERVICIO!G77</f>
        <v>0</v>
      </c>
      <c r="H41" s="246">
        <f>SERVICIO!H77</f>
        <v>0</v>
      </c>
      <c r="I41" s="246">
        <f>SERVICIO!I77</f>
        <v>0</v>
      </c>
      <c r="J41" s="246">
        <f>SERVICIO!J77</f>
        <v>0</v>
      </c>
      <c r="K41" s="246">
        <f>SERVICIO!K77</f>
        <v>0</v>
      </c>
      <c r="L41" s="246">
        <f>SERVICIO!L77</f>
        <v>0</v>
      </c>
      <c r="M41" s="246">
        <f>SERVICIO!M77</f>
        <v>0</v>
      </c>
      <c r="N41" s="246">
        <f>SERVICIO!N77</f>
        <v>0</v>
      </c>
      <c r="O41" s="246">
        <f>SERVICIO!O77</f>
        <v>0</v>
      </c>
      <c r="P41" s="246">
        <f>SERVICIO!P77</f>
        <v>0</v>
      </c>
      <c r="Q41" s="246" t="e">
        <f>SERVICIO!#REF!</f>
        <v>#REF!</v>
      </c>
      <c r="R41" s="246">
        <f>SERVICIO!B77</f>
        <v>0</v>
      </c>
    </row>
    <row r="42" spans="1:18" x14ac:dyDescent="0.35">
      <c r="A42" s="247">
        <v>10</v>
      </c>
      <c r="B42" s="247" t="str">
        <f>SERVICIO!A78</f>
        <v>NOMINA Y ADICIONALES</v>
      </c>
      <c r="C42" s="246">
        <f>SERVICIO!C78</f>
        <v>417404.60526315786</v>
      </c>
      <c r="D42" s="246">
        <f>SERVICIO!D78</f>
        <v>678534.53947368416</v>
      </c>
      <c r="E42" s="246">
        <f>SERVICIO!E78</f>
        <v>0</v>
      </c>
      <c r="F42" s="246">
        <f>SERVICIO!F78</f>
        <v>0</v>
      </c>
      <c r="G42" s="246">
        <f>SERVICIO!G78</f>
        <v>0</v>
      </c>
      <c r="H42" s="246">
        <f>SERVICIO!H78</f>
        <v>0</v>
      </c>
      <c r="I42" s="246">
        <f>SERVICIO!I78</f>
        <v>0</v>
      </c>
      <c r="J42" s="246">
        <f>SERVICIO!J78</f>
        <v>0</v>
      </c>
      <c r="K42" s="246">
        <f>SERVICIO!K78</f>
        <v>0</v>
      </c>
      <c r="L42" s="246">
        <f>SERVICIO!L78</f>
        <v>0</v>
      </c>
      <c r="M42" s="246">
        <f>SERVICIO!M78</f>
        <v>0</v>
      </c>
      <c r="N42" s="246">
        <f>SERVICIO!N78</f>
        <v>0</v>
      </c>
      <c r="O42" s="246">
        <f>SERVICIO!O78</f>
        <v>0</v>
      </c>
      <c r="P42" s="246">
        <f>SERVICIO!P78</f>
        <v>0</v>
      </c>
      <c r="Q42" s="246" t="e">
        <f>SERVICIO!#REF!</f>
        <v>#REF!</v>
      </c>
      <c r="R42" s="246">
        <f>SERVICIO!B78</f>
        <v>1095939.144736842</v>
      </c>
    </row>
    <row r="43" spans="1:18" x14ac:dyDescent="0.35">
      <c r="A43" s="247">
        <v>11</v>
      </c>
      <c r="B43" s="247" t="str">
        <f>SERVICIO!A82</f>
        <v>SERV TELEFONIA CELULAR Y RADIO</v>
      </c>
      <c r="C43" s="246">
        <f>SERVICIO!C82</f>
        <v>0</v>
      </c>
      <c r="D43" s="246">
        <f>SERVICIO!D82</f>
        <v>0</v>
      </c>
      <c r="E43" s="246">
        <f>SERVICIO!E82</f>
        <v>0</v>
      </c>
      <c r="F43" s="246">
        <f>SERVICIO!F82</f>
        <v>0</v>
      </c>
      <c r="G43" s="246">
        <f>SERVICIO!G82</f>
        <v>0</v>
      </c>
      <c r="H43" s="246">
        <f>SERVICIO!H82</f>
        <v>0</v>
      </c>
      <c r="I43" s="246">
        <f>SERVICIO!I82</f>
        <v>0</v>
      </c>
      <c r="J43" s="246">
        <f>SERVICIO!J82</f>
        <v>0</v>
      </c>
      <c r="K43" s="246">
        <f>SERVICIO!K82</f>
        <v>0</v>
      </c>
      <c r="L43" s="246">
        <f>SERVICIO!L82</f>
        <v>0</v>
      </c>
      <c r="M43" s="246">
        <f>SERVICIO!M82</f>
        <v>0</v>
      </c>
      <c r="N43" s="246">
        <f>SERVICIO!N82</f>
        <v>0</v>
      </c>
      <c r="O43" s="246">
        <f>SERVICIO!O82</f>
        <v>0</v>
      </c>
      <c r="P43" s="246">
        <f>SERVICIO!P82</f>
        <v>0</v>
      </c>
      <c r="Q43" s="246" t="e">
        <f>SERVICIO!#REF!</f>
        <v>#REF!</v>
      </c>
      <c r="R43" s="246">
        <f>SERVICIO!B82</f>
        <v>0</v>
      </c>
    </row>
    <row r="44" spans="1:18" x14ac:dyDescent="0.35">
      <c r="A44" s="247">
        <v>12</v>
      </c>
      <c r="B44" s="247" t="str">
        <f>SERVICIO!A146</f>
        <v>SERVICIOS</v>
      </c>
      <c r="C44" s="246">
        <f>SERVICIO!C146</f>
        <v>1959720.8087999998</v>
      </c>
      <c r="D44" s="246">
        <f>SERVICIO!D146</f>
        <v>1281872.4687999999</v>
      </c>
      <c r="E44" s="246">
        <f>SERVICIO!E146</f>
        <v>0</v>
      </c>
      <c r="F44" s="246">
        <f>SERVICIO!F146</f>
        <v>0</v>
      </c>
      <c r="G44" s="246">
        <f>SERVICIO!G146</f>
        <v>0</v>
      </c>
      <c r="H44" s="246">
        <f>SERVICIO!H146</f>
        <v>0</v>
      </c>
      <c r="I44" s="246">
        <f>SERVICIO!I146</f>
        <v>0</v>
      </c>
      <c r="J44" s="246">
        <f>SERVICIO!J146</f>
        <v>0</v>
      </c>
      <c r="K44" s="246">
        <f>SERVICIO!K146</f>
        <v>0</v>
      </c>
      <c r="L44" s="246">
        <f>SERVICIO!L146</f>
        <v>0</v>
      </c>
      <c r="M44" s="246">
        <f>SERVICIO!M146</f>
        <v>0</v>
      </c>
      <c r="N44" s="246">
        <f>SERVICIO!N146</f>
        <v>0</v>
      </c>
      <c r="O44" s="246">
        <f>SERVICIO!O146</f>
        <v>0</v>
      </c>
      <c r="P44" s="246">
        <f>SERVICIO!P146</f>
        <v>0</v>
      </c>
      <c r="Q44" s="246" t="e">
        <f>SERVICIO!#REF!</f>
        <v>#REF!</v>
      </c>
      <c r="R44" s="246">
        <f>SERVICIO!B146</f>
        <v>3241593.2775999997</v>
      </c>
    </row>
    <row r="45" spans="1:18" x14ac:dyDescent="0.35">
      <c r="A45" s="247">
        <v>13</v>
      </c>
      <c r="B45" s="247" t="str">
        <f>SERVICIO!A147</f>
        <v>SERVICIOS DE CAPACITACION</v>
      </c>
      <c r="C45" s="246">
        <f>SERVICIO!C147</f>
        <v>0</v>
      </c>
      <c r="D45" s="246">
        <f>SERVICIO!D147</f>
        <v>0</v>
      </c>
      <c r="E45" s="246">
        <f>SERVICIO!E147</f>
        <v>0</v>
      </c>
      <c r="F45" s="246">
        <f>SERVICIO!F147</f>
        <v>0</v>
      </c>
      <c r="G45" s="246">
        <f>SERVICIO!G147</f>
        <v>0</v>
      </c>
      <c r="H45" s="246">
        <f>SERVICIO!H147</f>
        <v>0</v>
      </c>
      <c r="I45" s="246">
        <f>SERVICIO!I147</f>
        <v>0</v>
      </c>
      <c r="J45" s="246">
        <f>SERVICIO!J147</f>
        <v>0</v>
      </c>
      <c r="K45" s="246">
        <f>SERVICIO!K147</f>
        <v>0</v>
      </c>
      <c r="L45" s="246">
        <f>SERVICIO!L147</f>
        <v>0</v>
      </c>
      <c r="M45" s="246">
        <f>SERVICIO!M147</f>
        <v>0</v>
      </c>
      <c r="N45" s="246">
        <f>SERVICIO!N147</f>
        <v>0</v>
      </c>
      <c r="O45" s="246">
        <f>SERVICIO!O147</f>
        <v>0</v>
      </c>
      <c r="P45" s="246">
        <f>SERVICIO!P147</f>
        <v>0</v>
      </c>
      <c r="Q45" s="246" t="e">
        <f>SERVICIO!#REF!</f>
        <v>#REF!</v>
      </c>
      <c r="R45" s="246">
        <f>SERVICIO!B147</f>
        <v>0</v>
      </c>
    </row>
    <row r="46" spans="1:18" x14ac:dyDescent="0.35">
      <c r="A46" s="247">
        <v>14</v>
      </c>
      <c r="B46" s="247" t="str">
        <f>SERVICIO!A149</f>
        <v>SERVICIOS DE SALUD</v>
      </c>
      <c r="C46" s="246">
        <f>SERVICIO!C149</f>
        <v>0</v>
      </c>
      <c r="D46" s="246">
        <f>SERVICIO!D149</f>
        <v>0</v>
      </c>
      <c r="E46" s="246">
        <f>SERVICIO!E149</f>
        <v>0</v>
      </c>
      <c r="F46" s="246">
        <f>SERVICIO!F149</f>
        <v>0</v>
      </c>
      <c r="G46" s="246">
        <f>SERVICIO!G149</f>
        <v>0</v>
      </c>
      <c r="H46" s="246">
        <f>SERVICIO!H149</f>
        <v>0</v>
      </c>
      <c r="I46" s="246">
        <f>SERVICIO!I149</f>
        <v>0</v>
      </c>
      <c r="J46" s="246">
        <f>SERVICIO!J149</f>
        <v>0</v>
      </c>
      <c r="K46" s="246">
        <f>SERVICIO!K149</f>
        <v>0</v>
      </c>
      <c r="L46" s="246">
        <f>SERVICIO!L149</f>
        <v>0</v>
      </c>
      <c r="M46" s="246">
        <f>SERVICIO!M149</f>
        <v>0</v>
      </c>
      <c r="N46" s="246">
        <f>SERVICIO!N149</f>
        <v>0</v>
      </c>
      <c r="O46" s="246">
        <f>SERVICIO!O149</f>
        <v>0</v>
      </c>
      <c r="P46" s="246">
        <f>SERVICIO!P149</f>
        <v>0</v>
      </c>
      <c r="Q46" s="246" t="e">
        <f>SERVICIO!#REF!</f>
        <v>#REF!</v>
      </c>
      <c r="R46" s="246">
        <f>SERVICIO!B149</f>
        <v>0</v>
      </c>
    </row>
    <row r="47" spans="1:18" x14ac:dyDescent="0.35">
      <c r="A47" s="247">
        <v>15</v>
      </c>
      <c r="B47" s="247" t="str">
        <f>SERVICIO!A150</f>
        <v>UNIFORMES</v>
      </c>
      <c r="C47" s="246">
        <f>SERVICIO!C150</f>
        <v>0</v>
      </c>
      <c r="D47" s="246">
        <f>SERVICIO!D150</f>
        <v>0</v>
      </c>
      <c r="E47" s="246">
        <f>SERVICIO!E150</f>
        <v>0</v>
      </c>
      <c r="F47" s="246">
        <f>SERVICIO!F150</f>
        <v>0</v>
      </c>
      <c r="G47" s="246">
        <f>SERVICIO!G150</f>
        <v>0</v>
      </c>
      <c r="H47" s="246">
        <f>SERVICIO!H150</f>
        <v>0</v>
      </c>
      <c r="I47" s="246">
        <f>SERVICIO!I150</f>
        <v>0</v>
      </c>
      <c r="J47" s="246">
        <f>SERVICIO!J150</f>
        <v>0</v>
      </c>
      <c r="K47" s="246">
        <f>SERVICIO!K150</f>
        <v>0</v>
      </c>
      <c r="L47" s="246">
        <f>SERVICIO!L150</f>
        <v>0</v>
      </c>
      <c r="M47" s="246">
        <f>SERVICIO!M150</f>
        <v>0</v>
      </c>
      <c r="N47" s="246">
        <f>SERVICIO!N150</f>
        <v>0</v>
      </c>
      <c r="O47" s="246">
        <f>SERVICIO!O150</f>
        <v>0</v>
      </c>
      <c r="P47" s="246">
        <f>SERVICIO!P150</f>
        <v>0</v>
      </c>
      <c r="Q47" s="246" t="e">
        <f>SERVICIO!#REF!</f>
        <v>#REF!</v>
      </c>
      <c r="R47" s="246">
        <f>SERVICIO!B150</f>
        <v>0</v>
      </c>
    </row>
    <row r="48" spans="1:18" x14ac:dyDescent="0.35">
      <c r="A48" s="247">
        <v>16</v>
      </c>
      <c r="B48" s="247" t="str">
        <f>SERVICIO!A153</f>
        <v>VEHICULOS Y COMBUSTIBLE</v>
      </c>
      <c r="C48" s="246">
        <f>SERVICIO!C153</f>
        <v>150400</v>
      </c>
      <c r="D48" s="246">
        <f>SERVICIO!D153</f>
        <v>150400</v>
      </c>
      <c r="E48" s="246">
        <f>SERVICIO!E153</f>
        <v>0</v>
      </c>
      <c r="F48" s="246">
        <f>SERVICIO!F153</f>
        <v>0</v>
      </c>
      <c r="G48" s="246">
        <f>SERVICIO!G153</f>
        <v>0</v>
      </c>
      <c r="H48" s="246">
        <f>SERVICIO!H153</f>
        <v>0</v>
      </c>
      <c r="I48" s="246">
        <f>SERVICIO!I153</f>
        <v>0</v>
      </c>
      <c r="J48" s="246">
        <f>SERVICIO!J153</f>
        <v>0</v>
      </c>
      <c r="K48" s="246">
        <f>SERVICIO!K153</f>
        <v>0</v>
      </c>
      <c r="L48" s="246">
        <f>SERVICIO!L153</f>
        <v>0</v>
      </c>
      <c r="M48" s="246">
        <f>SERVICIO!M153</f>
        <v>0</v>
      </c>
      <c r="N48" s="246">
        <f>SERVICIO!N153</f>
        <v>0</v>
      </c>
      <c r="O48" s="246">
        <f>SERVICIO!O153</f>
        <v>0</v>
      </c>
      <c r="P48" s="246">
        <f>SERVICIO!P153</f>
        <v>0</v>
      </c>
      <c r="Q48" s="246" t="e">
        <f>SERVICIO!#REF!</f>
        <v>#REF!</v>
      </c>
      <c r="R48" s="246">
        <f>SERVICIO!B153</f>
        <v>300800</v>
      </c>
    </row>
    <row r="49" spans="1:18" x14ac:dyDescent="0.35">
      <c r="A49" s="247">
        <v>17</v>
      </c>
      <c r="B49" s="247" t="str">
        <f>SERVICIO!A161</f>
        <v>VIATICOS</v>
      </c>
      <c r="C49" s="246">
        <f>SERVICIO!C161</f>
        <v>806647.14910000004</v>
      </c>
      <c r="D49" s="246">
        <f>SERVICIO!D161</f>
        <v>806647.14910000004</v>
      </c>
      <c r="E49" s="246">
        <f>SERVICIO!E161</f>
        <v>0</v>
      </c>
      <c r="F49" s="246">
        <f>SERVICIO!F161</f>
        <v>0</v>
      </c>
      <c r="G49" s="246">
        <f>SERVICIO!G161</f>
        <v>0</v>
      </c>
      <c r="H49" s="246">
        <f>SERVICIO!H161</f>
        <v>0</v>
      </c>
      <c r="I49" s="246">
        <f>SERVICIO!I161</f>
        <v>0</v>
      </c>
      <c r="J49" s="246">
        <f>SERVICIO!J161</f>
        <v>0</v>
      </c>
      <c r="K49" s="246">
        <f>SERVICIO!K161</f>
        <v>0</v>
      </c>
      <c r="L49" s="246">
        <f>SERVICIO!L161</f>
        <v>0</v>
      </c>
      <c r="M49" s="246">
        <f>SERVICIO!M161</f>
        <v>0</v>
      </c>
      <c r="N49" s="246">
        <f>SERVICIO!N161</f>
        <v>0</v>
      </c>
      <c r="O49" s="246">
        <f>SERVICIO!O161</f>
        <v>0</v>
      </c>
      <c r="P49" s="246">
        <f>SERVICIO!P161</f>
        <v>0</v>
      </c>
      <c r="Q49" s="246" t="e">
        <f>SERVICIO!#REF!</f>
        <v>#REF!</v>
      </c>
      <c r="R49" s="246">
        <f>SERVICIO!B161</f>
        <v>1613294.2982000001</v>
      </c>
    </row>
    <row r="50" spans="1:18" x14ac:dyDescent="0.35">
      <c r="A50" s="247"/>
      <c r="C50" s="244"/>
      <c r="D50" s="244"/>
      <c r="E50" s="244"/>
      <c r="F50" s="244"/>
      <c r="G50" s="244"/>
      <c r="H50" s="244"/>
      <c r="I50" s="244"/>
      <c r="J50" s="244"/>
      <c r="K50" s="244"/>
      <c r="L50" s="244"/>
      <c r="M50" s="244"/>
      <c r="N50" s="244"/>
      <c r="O50" s="244"/>
      <c r="R50" s="246">
        <f>SUM(R33:R49)</f>
        <v>6549001.7580368416</v>
      </c>
    </row>
    <row r="51" spans="1:18" x14ac:dyDescent="0.35">
      <c r="A51" s="247"/>
      <c r="C51" s="244"/>
      <c r="D51" s="244"/>
      <c r="E51" s="244"/>
      <c r="F51" s="244"/>
      <c r="G51" s="244"/>
      <c r="H51" s="244"/>
      <c r="I51" s="244"/>
      <c r="J51" s="244"/>
      <c r="K51" s="244"/>
      <c r="L51" s="244"/>
      <c r="M51" s="244"/>
      <c r="N51" s="244"/>
      <c r="O51" s="244"/>
    </row>
    <row r="52" spans="1:18" x14ac:dyDescent="0.35">
      <c r="A52" s="247"/>
      <c r="C52" s="244"/>
      <c r="D52" s="244"/>
      <c r="E52" s="244"/>
      <c r="F52" s="244"/>
      <c r="G52" s="244"/>
      <c r="H52" s="244"/>
      <c r="I52" s="244"/>
      <c r="J52" s="244"/>
      <c r="K52" s="244"/>
      <c r="L52" s="244"/>
      <c r="M52" s="244"/>
      <c r="N52" s="244"/>
      <c r="O52" s="244"/>
    </row>
    <row r="53" spans="1:18" x14ac:dyDescent="0.35">
      <c r="A53" s="247"/>
      <c r="C53" s="244"/>
      <c r="D53" s="244"/>
      <c r="E53" s="244"/>
      <c r="F53" s="244"/>
      <c r="G53" s="244"/>
      <c r="H53" s="244"/>
      <c r="I53" s="244"/>
      <c r="J53" s="244"/>
      <c r="K53" s="244"/>
      <c r="L53" s="244"/>
      <c r="M53" s="244"/>
      <c r="N53" s="244"/>
      <c r="O53" s="244"/>
    </row>
    <row r="54" spans="1:18" x14ac:dyDescent="0.35">
      <c r="C54" s="244"/>
      <c r="D54" s="244"/>
      <c r="E54" s="244"/>
      <c r="F54" s="244"/>
      <c r="G54" s="244"/>
      <c r="H54" s="244"/>
      <c r="I54" s="244"/>
      <c r="J54" s="244"/>
      <c r="K54" s="244"/>
      <c r="L54" s="244"/>
      <c r="M54" s="244"/>
      <c r="N54" s="244"/>
      <c r="O54" s="244"/>
    </row>
    <row r="55" spans="1:18" x14ac:dyDescent="0.35">
      <c r="C55" s="244"/>
      <c r="D55" s="244"/>
      <c r="E55" s="244"/>
      <c r="F55" s="244"/>
      <c r="G55" s="244"/>
      <c r="H55" s="244"/>
      <c r="I55" s="244"/>
      <c r="J55" s="244"/>
      <c r="K55" s="244"/>
      <c r="L55" s="244"/>
      <c r="M55" s="244"/>
      <c r="N55" s="244"/>
      <c r="O55" s="244"/>
    </row>
    <row r="56" spans="1:18" x14ac:dyDescent="0.35">
      <c r="C56" s="244"/>
      <c r="D56" s="244"/>
      <c r="E56" s="244"/>
      <c r="F56" s="244"/>
      <c r="G56" s="244"/>
      <c r="H56" s="244"/>
      <c r="I56" s="244"/>
      <c r="J56" s="244"/>
      <c r="K56" s="244"/>
      <c r="L56" s="244"/>
      <c r="M56" s="244"/>
      <c r="N56" s="244"/>
      <c r="O56" s="244"/>
    </row>
    <row r="57" spans="1:18" x14ac:dyDescent="0.35">
      <c r="C57" s="244"/>
      <c r="D57" s="244"/>
      <c r="E57" s="244"/>
      <c r="F57" s="244"/>
      <c r="G57" s="244"/>
      <c r="H57" s="244"/>
      <c r="I57" s="244"/>
      <c r="J57" s="244"/>
      <c r="K57" s="244"/>
      <c r="L57" s="244"/>
      <c r="M57" s="244"/>
      <c r="N57" s="244"/>
      <c r="O57" s="244"/>
    </row>
    <row r="58" spans="1:18" x14ac:dyDescent="0.35">
      <c r="C58" s="244"/>
      <c r="D58" s="244"/>
      <c r="E58" s="244"/>
      <c r="F58" s="244"/>
      <c r="G58" s="244"/>
      <c r="H58" s="244"/>
      <c r="I58" s="244"/>
      <c r="J58" s="244"/>
      <c r="K58" s="244"/>
      <c r="L58" s="244"/>
      <c r="M58" s="244"/>
      <c r="N58" s="244"/>
      <c r="O58" s="244"/>
    </row>
  </sheetData>
  <phoneticPr fontId="38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Z149"/>
  <sheetViews>
    <sheetView showGridLines="0" zoomScale="49" zoomScaleNormal="70" workbookViewId="0">
      <pane xSplit="11" ySplit="5" topLeftCell="L6" activePane="bottomRight" state="frozen"/>
      <selection activeCell="N12" sqref="N12"/>
      <selection pane="topRight" activeCell="N12" sqref="N12"/>
      <selection pane="bottomLeft" activeCell="N12" sqref="N12"/>
      <selection pane="bottomRight" activeCell="H12" sqref="H12"/>
    </sheetView>
  </sheetViews>
  <sheetFormatPr baseColWidth="10" defaultColWidth="10.83203125" defaultRowHeight="20.149999999999999" customHeight="1" x14ac:dyDescent="0.35"/>
  <cols>
    <col min="1" max="1" width="5.5" style="288" customWidth="1"/>
    <col min="2" max="2" width="10.58203125" style="288" bestFit="1" customWidth="1"/>
    <col min="3" max="3" width="17.83203125" style="288" customWidth="1"/>
    <col min="4" max="4" width="19.5" style="288" bestFit="1" customWidth="1"/>
    <col min="5" max="5" width="17.83203125" style="288" customWidth="1"/>
    <col min="6" max="6" width="10.83203125" style="288" bestFit="1" customWidth="1"/>
    <col min="7" max="7" width="11.08203125" style="288" bestFit="1" customWidth="1"/>
    <col min="8" max="8" width="14.25" style="288" bestFit="1" customWidth="1"/>
    <col min="9" max="9" width="15.83203125" style="288" customWidth="1"/>
    <col min="10" max="10" width="14.5" style="288" bestFit="1" customWidth="1"/>
    <col min="11" max="11" width="17.25" style="288" customWidth="1"/>
    <col min="12" max="12" width="1.58203125" style="288" customWidth="1"/>
    <col min="13" max="13" width="16.6640625" style="288" customWidth="1"/>
    <col min="14" max="14" width="16.25" style="288" bestFit="1" customWidth="1"/>
    <col min="15" max="15" width="15.9140625" style="288" bestFit="1" customWidth="1"/>
    <col min="16" max="16" width="17.08203125" style="288" bestFit="1" customWidth="1"/>
    <col min="17" max="17" width="19" style="288" bestFit="1" customWidth="1"/>
    <col min="18" max="20" width="15.58203125" style="288" bestFit="1" customWidth="1"/>
    <col min="21" max="21" width="19.58203125" style="288" bestFit="1" customWidth="1"/>
    <col min="22" max="22" width="15.58203125" style="288" bestFit="1" customWidth="1"/>
    <col min="23" max="23" width="15.75" style="288" bestFit="1" customWidth="1"/>
    <col min="24" max="24" width="15.58203125" style="288" bestFit="1" customWidth="1"/>
    <col min="25" max="25" width="15.75" style="288" bestFit="1" customWidth="1"/>
    <col min="26" max="26" width="15.58203125" style="288" bestFit="1" customWidth="1"/>
    <col min="27" max="27" width="14.5" style="288" customWidth="1"/>
    <col min="28" max="29" width="10.83203125" style="288"/>
    <col min="30" max="30" width="10.83203125" style="288" customWidth="1"/>
    <col min="31" max="31" width="10.83203125" style="288"/>
    <col min="32" max="33" width="10.83203125" style="288" customWidth="1"/>
    <col min="34" max="36" width="10.83203125" style="288"/>
    <col min="37" max="37" width="10.83203125" style="288" customWidth="1"/>
    <col min="38" max="38" width="10.83203125" style="288"/>
    <col min="39" max="39" width="10.83203125" style="288" customWidth="1"/>
    <col min="40" max="40" width="10.83203125" style="288"/>
    <col min="41" max="41" width="10.83203125" style="288" customWidth="1"/>
    <col min="42" max="16384" width="10.83203125" style="288"/>
  </cols>
  <sheetData>
    <row r="1" spans="2:26" ht="20.149999999999999" customHeight="1" x14ac:dyDescent="0.35">
      <c r="Q1" s="2"/>
      <c r="U1" s="2"/>
    </row>
    <row r="2" spans="2:26" s="395" customFormat="1" ht="41.15" customHeight="1" x14ac:dyDescent="0.35">
      <c r="G2" s="403"/>
      <c r="H2" s="403"/>
      <c r="I2" s="403"/>
      <c r="O2" s="396"/>
      <c r="Q2" s="396"/>
      <c r="S2" s="396"/>
      <c r="U2" s="396"/>
      <c r="V2" s="396"/>
    </row>
    <row r="3" spans="2:26" s="274" customFormat="1" ht="20.149999999999999" customHeight="1" x14ac:dyDescent="0.35">
      <c r="M3" s="390" t="s">
        <v>84</v>
      </c>
      <c r="N3" s="390" t="s">
        <v>84</v>
      </c>
      <c r="O3" s="391" t="s">
        <v>66</v>
      </c>
      <c r="P3" s="390" t="s">
        <v>67</v>
      </c>
      <c r="Q3" s="390" t="s">
        <v>68</v>
      </c>
      <c r="R3" s="390" t="s">
        <v>69</v>
      </c>
      <c r="S3" s="390" t="s">
        <v>70</v>
      </c>
      <c r="T3" s="390" t="s">
        <v>71</v>
      </c>
      <c r="U3" s="390" t="s">
        <v>72</v>
      </c>
      <c r="V3" s="390" t="s">
        <v>73</v>
      </c>
      <c r="W3" s="390" t="s">
        <v>74</v>
      </c>
      <c r="X3" s="390" t="s">
        <v>75</v>
      </c>
      <c r="Y3" s="390" t="s">
        <v>76</v>
      </c>
      <c r="Z3" s="390" t="s">
        <v>77</v>
      </c>
    </row>
    <row r="4" spans="2:26" s="277" customFormat="1" ht="20.149999999999999" customHeight="1" x14ac:dyDescent="0.35">
      <c r="B4" s="274"/>
      <c r="C4" s="274"/>
      <c r="D4" s="274"/>
      <c r="E4" s="274"/>
      <c r="F4" s="274"/>
      <c r="G4" s="274"/>
      <c r="H4" s="274"/>
      <c r="I4" s="274"/>
      <c r="J4" s="274"/>
      <c r="K4" s="274"/>
      <c r="L4" s="274"/>
      <c r="M4" s="392"/>
      <c r="N4" s="392"/>
      <c r="O4" s="392" t="s">
        <v>436</v>
      </c>
      <c r="P4" s="392" t="s">
        <v>437</v>
      </c>
      <c r="Q4" s="392" t="s">
        <v>438</v>
      </c>
      <c r="R4" s="392" t="s">
        <v>439</v>
      </c>
      <c r="S4" s="392" t="s">
        <v>392</v>
      </c>
      <c r="T4" s="392" t="s">
        <v>393</v>
      </c>
      <c r="U4" s="392" t="s">
        <v>394</v>
      </c>
      <c r="V4" s="392" t="s">
        <v>395</v>
      </c>
      <c r="W4" s="392" t="s">
        <v>396</v>
      </c>
      <c r="X4" s="392" t="s">
        <v>397</v>
      </c>
      <c r="Y4" s="392" t="s">
        <v>398</v>
      </c>
      <c r="Z4" s="392" t="s">
        <v>399</v>
      </c>
    </row>
    <row r="5" spans="2:26" s="274" customFormat="1" ht="20.149999999999999" customHeight="1" x14ac:dyDescent="0.35">
      <c r="B5" s="317" t="s">
        <v>283</v>
      </c>
      <c r="C5" s="424" t="s">
        <v>29</v>
      </c>
      <c r="D5" s="424"/>
      <c r="E5" s="424"/>
      <c r="F5" s="317" t="s">
        <v>28</v>
      </c>
      <c r="G5" s="317" t="s">
        <v>2</v>
      </c>
      <c r="H5" s="317" t="s">
        <v>256</v>
      </c>
      <c r="I5" s="317" t="s">
        <v>257</v>
      </c>
      <c r="J5" s="317" t="s">
        <v>407</v>
      </c>
      <c r="K5" s="317" t="s">
        <v>277</v>
      </c>
      <c r="M5" s="393"/>
      <c r="N5" s="393"/>
      <c r="O5" s="393">
        <v>31</v>
      </c>
      <c r="P5" s="393">
        <v>29</v>
      </c>
      <c r="Q5" s="393">
        <v>31</v>
      </c>
      <c r="R5" s="393">
        <v>30</v>
      </c>
      <c r="S5" s="393">
        <v>30</v>
      </c>
      <c r="T5" s="393">
        <v>31</v>
      </c>
      <c r="U5" s="393">
        <v>31</v>
      </c>
      <c r="V5" s="393">
        <v>31</v>
      </c>
      <c r="W5" s="393">
        <v>30</v>
      </c>
      <c r="X5" s="393">
        <v>31</v>
      </c>
      <c r="Y5" s="393">
        <v>30</v>
      </c>
      <c r="Z5" s="393">
        <v>31</v>
      </c>
    </row>
    <row r="6" spans="2:26" ht="16" customHeight="1" x14ac:dyDescent="0.35">
      <c r="B6" s="425" t="s">
        <v>353</v>
      </c>
      <c r="C6" s="426"/>
      <c r="D6" s="426"/>
      <c r="E6" s="426"/>
      <c r="F6" s="426"/>
      <c r="G6" s="426"/>
      <c r="H6" s="426"/>
      <c r="I6" s="426"/>
      <c r="J6" s="426"/>
      <c r="K6" s="426"/>
      <c r="L6" s="274"/>
      <c r="M6" s="287"/>
      <c r="N6" s="287"/>
      <c r="O6" s="287"/>
      <c r="P6" s="287"/>
      <c r="Q6" s="287"/>
      <c r="R6" s="287"/>
      <c r="S6" s="287"/>
      <c r="T6" s="287"/>
      <c r="U6" s="287"/>
      <c r="V6" s="287"/>
      <c r="W6" s="287"/>
      <c r="X6" s="287"/>
      <c r="Y6" s="287"/>
      <c r="Z6" s="287"/>
    </row>
    <row r="7" spans="2:26" ht="66" customHeight="1" x14ac:dyDescent="0.35">
      <c r="B7" s="318">
        <v>1</v>
      </c>
      <c r="C7" s="422" t="str">
        <f>'Comparativa Anexo C'!C4</f>
        <v>OBRA CIVIL</v>
      </c>
      <c r="D7" s="423"/>
      <c r="E7" s="423"/>
      <c r="F7" s="319" t="s">
        <v>309</v>
      </c>
      <c r="G7" s="320">
        <v>1</v>
      </c>
      <c r="H7" s="321">
        <f>'Comparativa Anexo C'!D4</f>
        <v>104077.7</v>
      </c>
      <c r="I7" s="321">
        <f t="shared" ref="I7:I12" si="0">H7*$D$18</f>
        <v>1880684.0389999999</v>
      </c>
      <c r="J7" s="321">
        <f t="shared" ref="J7:J12" si="1">H7*G7</f>
        <v>104077.7</v>
      </c>
      <c r="K7" s="321">
        <f t="shared" ref="K7:K12" si="2">G7*I7</f>
        <v>1880684.0389999999</v>
      </c>
      <c r="L7" s="274"/>
      <c r="M7" s="289">
        <f>K7</f>
        <v>1880684.0389999999</v>
      </c>
      <c r="N7" s="289">
        <v>0</v>
      </c>
      <c r="O7" s="290">
        <v>0</v>
      </c>
      <c r="P7" s="290">
        <v>0</v>
      </c>
      <c r="Q7" s="290">
        <v>0</v>
      </c>
      <c r="R7" s="290">
        <v>0</v>
      </c>
      <c r="S7" s="290">
        <v>0</v>
      </c>
      <c r="T7" s="290">
        <v>0</v>
      </c>
      <c r="U7" s="290">
        <v>0</v>
      </c>
      <c r="V7" s="290">
        <v>0</v>
      </c>
      <c r="W7" s="290">
        <v>0</v>
      </c>
      <c r="X7" s="290">
        <v>0</v>
      </c>
      <c r="Y7" s="290">
        <v>0</v>
      </c>
      <c r="Z7" s="290">
        <v>0</v>
      </c>
    </row>
    <row r="8" spans="2:26" ht="34" customHeight="1" x14ac:dyDescent="0.35">
      <c r="B8" s="318">
        <v>2</v>
      </c>
      <c r="C8" s="422" t="str">
        <f>'Comparativa Anexo C'!C5</f>
        <v>OBRA ELÉCTRICA</v>
      </c>
      <c r="D8" s="423"/>
      <c r="E8" s="423"/>
      <c r="F8" s="319" t="s">
        <v>311</v>
      </c>
      <c r="G8" s="320">
        <v>1</v>
      </c>
      <c r="H8" s="321">
        <f>'Comparativa Anexo C'!D5</f>
        <v>1149249.02</v>
      </c>
      <c r="I8" s="321">
        <f t="shared" si="0"/>
        <v>20766929.7914</v>
      </c>
      <c r="J8" s="321">
        <f t="shared" si="1"/>
        <v>1149249.02</v>
      </c>
      <c r="K8" s="321">
        <f t="shared" si="2"/>
        <v>20766929.7914</v>
      </c>
      <c r="L8" s="274"/>
      <c r="M8" s="289"/>
      <c r="N8" s="289">
        <f>K8</f>
        <v>20766929.7914</v>
      </c>
      <c r="O8" s="290">
        <v>0</v>
      </c>
      <c r="P8" s="290">
        <v>0</v>
      </c>
      <c r="Q8" s="290">
        <v>0</v>
      </c>
      <c r="R8" s="290">
        <v>0</v>
      </c>
      <c r="S8" s="290">
        <v>0</v>
      </c>
      <c r="T8" s="290">
        <v>0</v>
      </c>
      <c r="U8" s="290">
        <v>0</v>
      </c>
      <c r="V8" s="290">
        <v>0</v>
      </c>
      <c r="W8" s="290">
        <v>0</v>
      </c>
      <c r="X8" s="290">
        <v>0</v>
      </c>
      <c r="Y8" s="290">
        <v>0</v>
      </c>
      <c r="Z8" s="290">
        <v>0</v>
      </c>
    </row>
    <row r="9" spans="2:26" ht="34" customHeight="1" x14ac:dyDescent="0.35">
      <c r="B9" s="318">
        <v>3</v>
      </c>
      <c r="C9" s="422" t="str">
        <f>'Comparativa Anexo C'!C6</f>
        <v>OBRA MECÁNICA</v>
      </c>
      <c r="D9" s="423"/>
      <c r="E9" s="423"/>
      <c r="F9" s="319" t="s">
        <v>311</v>
      </c>
      <c r="G9" s="394">
        <v>1</v>
      </c>
      <c r="H9" s="321">
        <f>'Comparativa Anexo C'!D6</f>
        <v>880052.49</v>
      </c>
      <c r="I9" s="321">
        <f t="shared" si="0"/>
        <v>15902548.4943</v>
      </c>
      <c r="J9" s="321">
        <f t="shared" si="1"/>
        <v>880052.49</v>
      </c>
      <c r="K9" s="321">
        <f t="shared" si="2"/>
        <v>15902548.4943</v>
      </c>
      <c r="L9" s="274"/>
      <c r="M9" s="289">
        <f>K9</f>
        <v>15902548.4943</v>
      </c>
      <c r="N9" s="289"/>
      <c r="O9" s="290">
        <v>0</v>
      </c>
      <c r="P9" s="290">
        <v>0</v>
      </c>
      <c r="Q9" s="290">
        <v>0</v>
      </c>
      <c r="R9" s="290">
        <v>0</v>
      </c>
      <c r="S9" s="290">
        <v>0</v>
      </c>
      <c r="T9" s="290">
        <v>0</v>
      </c>
      <c r="U9" s="290">
        <v>0</v>
      </c>
      <c r="V9" s="290">
        <v>0</v>
      </c>
      <c r="W9" s="290">
        <v>0</v>
      </c>
      <c r="X9" s="290">
        <v>0</v>
      </c>
      <c r="Y9" s="290">
        <v>0</v>
      </c>
      <c r="Z9" s="290">
        <v>0</v>
      </c>
    </row>
    <row r="10" spans="2:26" ht="34" customHeight="1" x14ac:dyDescent="0.35">
      <c r="B10" s="318">
        <v>4</v>
      </c>
      <c r="C10" s="428" t="s">
        <v>272</v>
      </c>
      <c r="D10" s="423"/>
      <c r="E10" s="423"/>
      <c r="F10" s="319" t="s">
        <v>311</v>
      </c>
      <c r="G10" s="320">
        <v>1</v>
      </c>
      <c r="H10" s="321">
        <f>'Comparativa Anexo C'!E7</f>
        <v>0</v>
      </c>
      <c r="I10" s="321">
        <f t="shared" si="0"/>
        <v>0</v>
      </c>
      <c r="J10" s="321">
        <f t="shared" si="1"/>
        <v>0</v>
      </c>
      <c r="K10" s="321">
        <f t="shared" si="2"/>
        <v>0</v>
      </c>
      <c r="L10" s="274"/>
      <c r="M10" s="289">
        <f>K10</f>
        <v>0</v>
      </c>
      <c r="N10" s="289">
        <v>0</v>
      </c>
      <c r="O10" s="290">
        <v>0</v>
      </c>
      <c r="P10" s="290">
        <v>0</v>
      </c>
      <c r="Q10" s="290">
        <v>0</v>
      </c>
      <c r="R10" s="290">
        <v>0</v>
      </c>
      <c r="S10" s="290">
        <v>0</v>
      </c>
      <c r="T10" s="290">
        <v>0</v>
      </c>
      <c r="U10" s="290">
        <v>0</v>
      </c>
      <c r="V10" s="290">
        <v>0</v>
      </c>
      <c r="W10" s="290">
        <v>0</v>
      </c>
      <c r="X10" s="290">
        <v>0</v>
      </c>
      <c r="Y10" s="290">
        <v>0</v>
      </c>
      <c r="Z10" s="290">
        <v>0</v>
      </c>
    </row>
    <row r="11" spans="2:26" ht="52" customHeight="1" x14ac:dyDescent="0.35">
      <c r="B11" s="318">
        <v>5</v>
      </c>
      <c r="C11" s="428" t="s">
        <v>272</v>
      </c>
      <c r="D11" s="423"/>
      <c r="E11" s="423"/>
      <c r="F11" s="319" t="s">
        <v>311</v>
      </c>
      <c r="G11" s="320">
        <v>0</v>
      </c>
      <c r="H11" s="321">
        <v>0</v>
      </c>
      <c r="I11" s="321">
        <f t="shared" si="0"/>
        <v>0</v>
      </c>
      <c r="J11" s="321">
        <f t="shared" si="1"/>
        <v>0</v>
      </c>
      <c r="K11" s="321">
        <f t="shared" si="2"/>
        <v>0</v>
      </c>
      <c r="L11" s="274"/>
      <c r="M11" s="289">
        <v>0</v>
      </c>
      <c r="N11" s="289">
        <v>0</v>
      </c>
      <c r="O11" s="290">
        <v>0</v>
      </c>
      <c r="P11" s="290">
        <v>0</v>
      </c>
      <c r="Q11" s="290">
        <v>0</v>
      </c>
      <c r="R11" s="290">
        <v>0</v>
      </c>
      <c r="S11" s="290">
        <v>0</v>
      </c>
      <c r="T11" s="290">
        <v>0</v>
      </c>
      <c r="U11" s="290">
        <v>0</v>
      </c>
      <c r="V11" s="290">
        <v>0</v>
      </c>
      <c r="W11" s="290">
        <v>0</v>
      </c>
      <c r="X11" s="290">
        <v>0</v>
      </c>
      <c r="Y11" s="290">
        <v>0</v>
      </c>
      <c r="Z11" s="290">
        <v>0</v>
      </c>
    </row>
    <row r="12" spans="2:26" ht="52" customHeight="1" x14ac:dyDescent="0.35">
      <c r="B12" s="318">
        <v>6</v>
      </c>
      <c r="C12" s="428" t="s">
        <v>468</v>
      </c>
      <c r="D12" s="423"/>
      <c r="E12" s="423"/>
      <c r="F12" s="319" t="s">
        <v>311</v>
      </c>
      <c r="G12" s="320">
        <v>1</v>
      </c>
      <c r="H12" s="321">
        <f>'Comparativa Anexo C'!D17</f>
        <v>2034857.9100000001</v>
      </c>
      <c r="I12" s="321">
        <f t="shared" si="0"/>
        <v>36769882.433700003</v>
      </c>
      <c r="J12" s="321">
        <f t="shared" si="1"/>
        <v>2034857.9100000001</v>
      </c>
      <c r="K12" s="321">
        <f t="shared" si="2"/>
        <v>36769882.433700003</v>
      </c>
      <c r="L12" s="274"/>
      <c r="M12" s="289">
        <v>0</v>
      </c>
      <c r="N12" s="289">
        <f>K12</f>
        <v>36769882.433700003</v>
      </c>
      <c r="O12" s="290">
        <v>0</v>
      </c>
      <c r="P12" s="290">
        <v>0</v>
      </c>
      <c r="Q12" s="290">
        <v>0</v>
      </c>
      <c r="R12" s="290">
        <v>0</v>
      </c>
      <c r="S12" s="290">
        <v>0</v>
      </c>
      <c r="T12" s="290">
        <v>0</v>
      </c>
      <c r="U12" s="290">
        <v>0</v>
      </c>
      <c r="V12" s="290">
        <v>0</v>
      </c>
      <c r="W12" s="290">
        <v>0</v>
      </c>
      <c r="X12" s="290">
        <v>0</v>
      </c>
      <c r="Y12" s="290">
        <v>0</v>
      </c>
      <c r="Z12" s="290">
        <v>0</v>
      </c>
    </row>
    <row r="13" spans="2:26" ht="22" customHeight="1" x14ac:dyDescent="0.35">
      <c r="B13" s="280"/>
      <c r="C13" s="291"/>
      <c r="D13" s="291"/>
      <c r="E13" s="291"/>
      <c r="F13" s="292"/>
      <c r="G13" s="293"/>
      <c r="H13" s="293"/>
      <c r="I13" s="293"/>
      <c r="J13" s="293"/>
      <c r="K13" s="293"/>
      <c r="L13" s="274"/>
      <c r="M13" s="294"/>
      <c r="N13" s="294"/>
      <c r="O13" s="294"/>
      <c r="P13" s="294"/>
      <c r="Q13" s="294"/>
      <c r="R13" s="294"/>
      <c r="S13" s="294"/>
      <c r="T13" s="294"/>
      <c r="U13" s="294"/>
      <c r="V13" s="294"/>
      <c r="W13" s="294"/>
      <c r="X13" s="294"/>
      <c r="Y13" s="294"/>
      <c r="Z13" s="294"/>
    </row>
    <row r="14" spans="2:26" ht="20.149999999999999" customHeight="1" x14ac:dyDescent="0.35">
      <c r="B14" s="427" t="s">
        <v>408</v>
      </c>
      <c r="C14" s="427"/>
      <c r="D14" s="281">
        <v>4540.18</v>
      </c>
      <c r="E14" s="282">
        <f>D14*D18</f>
        <v>82041.05260000001</v>
      </c>
      <c r="J14" s="421" t="s">
        <v>262</v>
      </c>
      <c r="K14" s="421"/>
      <c r="L14" s="274"/>
      <c r="M14" s="297">
        <f>SUM(M7:M12)</f>
        <v>17783232.533300001</v>
      </c>
      <c r="N14" s="297">
        <f>SUM(N7:N12)</f>
        <v>57536812.225100003</v>
      </c>
      <c r="O14" s="297">
        <f t="shared" ref="O14:Z14" si="3">SUM(O7:O12)</f>
        <v>0</v>
      </c>
      <c r="P14" s="297">
        <f t="shared" si="3"/>
        <v>0</v>
      </c>
      <c r="Q14" s="297">
        <f t="shared" si="3"/>
        <v>0</v>
      </c>
      <c r="R14" s="297">
        <f t="shared" si="3"/>
        <v>0</v>
      </c>
      <c r="S14" s="297">
        <f t="shared" si="3"/>
        <v>0</v>
      </c>
      <c r="T14" s="297">
        <f t="shared" si="3"/>
        <v>0</v>
      </c>
      <c r="U14" s="297">
        <f t="shared" si="3"/>
        <v>0</v>
      </c>
      <c r="V14" s="297">
        <f t="shared" si="3"/>
        <v>0</v>
      </c>
      <c r="W14" s="297">
        <f t="shared" si="3"/>
        <v>0</v>
      </c>
      <c r="X14" s="297">
        <f t="shared" si="3"/>
        <v>0</v>
      </c>
      <c r="Y14" s="297">
        <f t="shared" si="3"/>
        <v>0</v>
      </c>
      <c r="Z14" s="297">
        <f t="shared" si="3"/>
        <v>0</v>
      </c>
    </row>
    <row r="15" spans="2:26" ht="20.149999999999999" customHeight="1" x14ac:dyDescent="0.35">
      <c r="B15" s="427" t="s">
        <v>409</v>
      </c>
      <c r="C15" s="427"/>
      <c r="D15" s="281">
        <v>5141.2</v>
      </c>
      <c r="E15" s="282">
        <f>D15*D18</f>
        <v>92901.483999999997</v>
      </c>
      <c r="H15" s="299"/>
      <c r="I15" s="299"/>
      <c r="J15" s="439" t="s">
        <v>263</v>
      </c>
      <c r="K15" s="439"/>
      <c r="L15" s="274"/>
      <c r="M15" s="298">
        <f t="shared" ref="M15:Z15" si="4">M14/$D$18</f>
        <v>984130.19000000006</v>
      </c>
      <c r="N15" s="298">
        <f t="shared" si="4"/>
        <v>3184106.93</v>
      </c>
      <c r="O15" s="298">
        <f t="shared" si="4"/>
        <v>0</v>
      </c>
      <c r="P15" s="298">
        <f t="shared" si="4"/>
        <v>0</v>
      </c>
      <c r="Q15" s="298">
        <f t="shared" si="4"/>
        <v>0</v>
      </c>
      <c r="R15" s="298">
        <f t="shared" si="4"/>
        <v>0</v>
      </c>
      <c r="S15" s="298">
        <f t="shared" si="4"/>
        <v>0</v>
      </c>
      <c r="T15" s="298">
        <f t="shared" si="4"/>
        <v>0</v>
      </c>
      <c r="U15" s="298">
        <f t="shared" si="4"/>
        <v>0</v>
      </c>
      <c r="V15" s="298">
        <f t="shared" si="4"/>
        <v>0</v>
      </c>
      <c r="W15" s="298">
        <f t="shared" si="4"/>
        <v>0</v>
      </c>
      <c r="X15" s="298">
        <f t="shared" si="4"/>
        <v>0</v>
      </c>
      <c r="Y15" s="298">
        <f t="shared" si="4"/>
        <v>0</v>
      </c>
      <c r="Z15" s="298">
        <f t="shared" si="4"/>
        <v>0</v>
      </c>
    </row>
    <row r="16" spans="2:26" ht="20.149999999999999" customHeight="1" thickBot="1" x14ac:dyDescent="0.4">
      <c r="G16" s="299"/>
      <c r="H16" s="299"/>
      <c r="I16" s="299"/>
      <c r="J16" s="421" t="s">
        <v>284</v>
      </c>
      <c r="K16" s="421"/>
      <c r="L16" s="274"/>
      <c r="M16" s="297">
        <f>SUM(M14:Z14)</f>
        <v>75320044.758400008</v>
      </c>
    </row>
    <row r="17" spans="3:26" ht="20.149999999999999" customHeight="1" x14ac:dyDescent="0.35">
      <c r="C17" s="437" t="s">
        <v>19</v>
      </c>
      <c r="D17" s="438"/>
      <c r="H17" s="299"/>
      <c r="I17" s="299"/>
      <c r="J17" s="439" t="s">
        <v>261</v>
      </c>
      <c r="K17" s="439"/>
      <c r="L17" s="274"/>
      <c r="M17" s="301">
        <f>SUM(M15:Z15)</f>
        <v>4168237.12</v>
      </c>
    </row>
    <row r="18" spans="3:26" ht="20.149999999999999" customHeight="1" thickBot="1" x14ac:dyDescent="0.4">
      <c r="C18" s="303" t="s">
        <v>254</v>
      </c>
      <c r="D18" s="304">
        <v>18.07</v>
      </c>
      <c r="H18" s="296"/>
      <c r="I18" s="302"/>
      <c r="J18" s="300"/>
      <c r="L18" s="274"/>
      <c r="N18" s="295"/>
      <c r="O18" s="295"/>
      <c r="P18" s="400"/>
      <c r="Q18" s="401"/>
      <c r="R18" s="295"/>
      <c r="S18" s="295"/>
      <c r="T18" s="295"/>
      <c r="U18" s="295"/>
      <c r="V18" s="295"/>
      <c r="W18" s="295"/>
      <c r="X18" s="295"/>
      <c r="Y18" s="274"/>
    </row>
    <row r="19" spans="3:26" ht="20.149999999999999" customHeight="1" thickBot="1" x14ac:dyDescent="0.4">
      <c r="C19" s="305" t="s">
        <v>255</v>
      </c>
      <c r="D19" s="306">
        <v>30.4</v>
      </c>
      <c r="I19" s="435" t="s">
        <v>85</v>
      </c>
      <c r="J19" s="436"/>
      <c r="K19" s="315">
        <f>M16</f>
        <v>75320044.758400008</v>
      </c>
      <c r="L19" s="274"/>
      <c r="M19" s="299"/>
      <c r="N19" s="299"/>
      <c r="O19" s="299"/>
      <c r="P19" s="401"/>
      <c r="Q19" s="401"/>
      <c r="R19" s="299"/>
      <c r="S19" s="299"/>
      <c r="T19" s="299"/>
      <c r="U19" s="299"/>
      <c r="V19" s="299"/>
      <c r="W19" s="299"/>
      <c r="X19" s="299"/>
      <c r="Y19" s="299"/>
      <c r="Z19" s="299"/>
    </row>
    <row r="20" spans="3:26" ht="20.149999999999999" customHeight="1" thickBot="1" x14ac:dyDescent="0.4">
      <c r="C20" s="307" t="s">
        <v>20</v>
      </c>
      <c r="D20" s="308">
        <v>30</v>
      </c>
      <c r="I20" s="435" t="s">
        <v>57</v>
      </c>
      <c r="J20" s="436"/>
      <c r="K20" s="315">
        <f>K19*1.16</f>
        <v>87371251.919744</v>
      </c>
      <c r="L20" s="274"/>
      <c r="M20" s="299"/>
      <c r="N20" s="299"/>
      <c r="O20" s="299"/>
      <c r="P20" s="401"/>
      <c r="Q20" s="401"/>
      <c r="R20" s="299"/>
      <c r="S20" s="299"/>
      <c r="T20" s="299"/>
      <c r="U20" s="299"/>
      <c r="V20" s="299"/>
      <c r="W20" s="299"/>
      <c r="X20" s="299"/>
      <c r="Y20" s="299"/>
      <c r="Z20" s="299"/>
    </row>
    <row r="21" spans="3:26" ht="20.149999999999999" customHeight="1" thickBot="1" x14ac:dyDescent="0.4">
      <c r="C21" s="309" t="s">
        <v>89</v>
      </c>
      <c r="D21" s="310">
        <v>0</v>
      </c>
      <c r="I21" s="433" t="s">
        <v>56</v>
      </c>
      <c r="J21" s="434"/>
      <c r="K21" s="316">
        <f>M17</f>
        <v>4168237.12</v>
      </c>
      <c r="L21" s="274"/>
      <c r="M21" s="299"/>
      <c r="N21" s="299"/>
      <c r="O21" s="299"/>
      <c r="P21" s="401"/>
      <c r="Q21" s="401"/>
      <c r="R21" s="299"/>
      <c r="S21" s="299"/>
      <c r="T21" s="299"/>
      <c r="U21" s="299"/>
      <c r="V21" s="299"/>
      <c r="W21" s="299"/>
      <c r="X21" s="299"/>
      <c r="Y21" s="299"/>
      <c r="Z21" s="299"/>
    </row>
    <row r="22" spans="3:26" ht="20.149999999999999" customHeight="1" thickBot="1" x14ac:dyDescent="0.4">
      <c r="C22" s="311" t="s">
        <v>21</v>
      </c>
      <c r="D22" s="312">
        <v>22</v>
      </c>
      <c r="I22" s="433" t="s">
        <v>38</v>
      </c>
      <c r="J22" s="434"/>
      <c r="K22" s="316">
        <f>K21*1.16</f>
        <v>4835155.0592</v>
      </c>
      <c r="L22" s="274"/>
      <c r="M22" s="299"/>
      <c r="N22" s="299"/>
      <c r="O22" s="299"/>
      <c r="P22" s="299"/>
      <c r="Q22" s="299"/>
      <c r="R22" s="299"/>
      <c r="S22" s="299"/>
      <c r="T22" s="299"/>
      <c r="U22" s="299"/>
      <c r="V22" s="299"/>
      <c r="W22" s="299"/>
      <c r="X22" s="299"/>
      <c r="Y22" s="299"/>
      <c r="Z22" s="299"/>
    </row>
    <row r="23" spans="3:26" ht="20.149999999999999" customHeight="1" thickBot="1" x14ac:dyDescent="0.4">
      <c r="C23" s="313" t="s">
        <v>22</v>
      </c>
      <c r="D23" s="314">
        <v>23</v>
      </c>
      <c r="L23" s="274"/>
      <c r="M23" s="299"/>
      <c r="N23" s="299"/>
      <c r="O23" s="299"/>
      <c r="P23" s="299"/>
      <c r="Q23" s="299"/>
      <c r="R23" s="299"/>
      <c r="S23" s="299"/>
      <c r="T23" s="299"/>
      <c r="U23" s="299"/>
      <c r="V23" s="299"/>
      <c r="W23" s="299"/>
      <c r="X23" s="299"/>
      <c r="Y23" s="299"/>
      <c r="Z23" s="299"/>
    </row>
    <row r="24" spans="3:26" ht="20.149999999999999" customHeight="1" x14ac:dyDescent="0.35">
      <c r="C24" s="429" t="s">
        <v>410</v>
      </c>
      <c r="D24" s="430"/>
      <c r="G24" s="299"/>
      <c r="J24" s="300"/>
      <c r="M24" s="299"/>
      <c r="N24" s="299"/>
      <c r="O24" s="299"/>
      <c r="P24" s="299"/>
      <c r="Q24" s="299"/>
      <c r="R24" s="299"/>
      <c r="S24" s="299"/>
      <c r="T24" s="299"/>
      <c r="U24" s="299"/>
      <c r="V24" s="299"/>
      <c r="W24" s="299"/>
      <c r="X24" s="299"/>
      <c r="Y24" s="299"/>
      <c r="Z24" s="299"/>
    </row>
    <row r="25" spans="3:26" ht="20.149999999999999" customHeight="1" thickBot="1" x14ac:dyDescent="0.4">
      <c r="C25" s="431"/>
      <c r="D25" s="432"/>
      <c r="G25" s="299"/>
      <c r="J25" s="300"/>
      <c r="L25" s="274"/>
      <c r="O25" s="299"/>
      <c r="P25" s="299"/>
      <c r="Q25" s="299"/>
      <c r="R25" s="299"/>
      <c r="S25" s="299"/>
    </row>
    <row r="26" spans="3:26" ht="20.149999999999999" customHeight="1" x14ac:dyDescent="0.35">
      <c r="G26" s="299"/>
      <c r="L26" s="274"/>
      <c r="O26" s="299"/>
      <c r="P26" s="299"/>
      <c r="Q26" s="299"/>
      <c r="R26" s="299"/>
      <c r="S26" s="299"/>
    </row>
    <row r="27" spans="3:26" ht="20.149999999999999" customHeight="1" x14ac:dyDescent="0.35">
      <c r="G27" s="299"/>
    </row>
    <row r="28" spans="3:26" ht="20.149999999999999" customHeight="1" x14ac:dyDescent="0.35">
      <c r="G28" s="299"/>
    </row>
    <row r="29" spans="3:26" ht="20.149999999999999" customHeight="1" x14ac:dyDescent="0.35">
      <c r="G29" s="299"/>
    </row>
    <row r="30" spans="3:26" ht="20.149999999999999" customHeight="1" x14ac:dyDescent="0.35">
      <c r="G30" s="299"/>
    </row>
    <row r="31" spans="3:26" ht="20.149999999999999" customHeight="1" x14ac:dyDescent="0.35">
      <c r="G31" s="299"/>
    </row>
    <row r="32" spans="3:26" ht="20.149999999999999" customHeight="1" x14ac:dyDescent="0.35">
      <c r="G32" s="299"/>
    </row>
    <row r="33" spans="7:7" ht="20.149999999999999" customHeight="1" x14ac:dyDescent="0.35">
      <c r="G33" s="299"/>
    </row>
    <row r="34" spans="7:7" ht="20.149999999999999" customHeight="1" x14ac:dyDescent="0.35">
      <c r="G34" s="299"/>
    </row>
    <row r="35" spans="7:7" ht="20.149999999999999" customHeight="1" x14ac:dyDescent="0.35">
      <c r="G35" s="299"/>
    </row>
    <row r="36" spans="7:7" ht="20.149999999999999" customHeight="1" x14ac:dyDescent="0.35">
      <c r="G36" s="299"/>
    </row>
    <row r="37" spans="7:7" ht="20.149999999999999" customHeight="1" x14ac:dyDescent="0.35">
      <c r="G37" s="299"/>
    </row>
    <row r="38" spans="7:7" ht="20.149999999999999" customHeight="1" x14ac:dyDescent="0.35">
      <c r="G38" s="299"/>
    </row>
    <row r="39" spans="7:7" ht="20.149999999999999" customHeight="1" x14ac:dyDescent="0.35">
      <c r="G39" s="299"/>
    </row>
    <row r="40" spans="7:7" ht="20.149999999999999" customHeight="1" x14ac:dyDescent="0.35">
      <c r="G40" s="299"/>
    </row>
    <row r="41" spans="7:7" ht="20.149999999999999" customHeight="1" x14ac:dyDescent="0.35">
      <c r="G41" s="299"/>
    </row>
    <row r="42" spans="7:7" ht="20.149999999999999" customHeight="1" x14ac:dyDescent="0.35">
      <c r="G42" s="299"/>
    </row>
    <row r="43" spans="7:7" ht="20.149999999999999" customHeight="1" x14ac:dyDescent="0.35">
      <c r="G43" s="299"/>
    </row>
    <row r="44" spans="7:7" ht="20.149999999999999" customHeight="1" x14ac:dyDescent="0.35">
      <c r="G44" s="299"/>
    </row>
    <row r="45" spans="7:7" ht="20.149999999999999" customHeight="1" x14ac:dyDescent="0.35">
      <c r="G45" s="299"/>
    </row>
    <row r="46" spans="7:7" ht="20.149999999999999" customHeight="1" x14ac:dyDescent="0.35">
      <c r="G46" s="299"/>
    </row>
    <row r="47" spans="7:7" ht="20.149999999999999" customHeight="1" x14ac:dyDescent="0.35">
      <c r="G47" s="299"/>
    </row>
    <row r="48" spans="7:7" ht="20.149999999999999" customHeight="1" x14ac:dyDescent="0.35">
      <c r="G48" s="299"/>
    </row>
    <row r="49" spans="7:7" ht="20.149999999999999" customHeight="1" x14ac:dyDescent="0.35">
      <c r="G49" s="299"/>
    </row>
    <row r="50" spans="7:7" ht="20.149999999999999" customHeight="1" x14ac:dyDescent="0.35">
      <c r="G50" s="299"/>
    </row>
    <row r="51" spans="7:7" ht="20.149999999999999" customHeight="1" x14ac:dyDescent="0.35">
      <c r="G51" s="299"/>
    </row>
    <row r="52" spans="7:7" ht="20.149999999999999" customHeight="1" x14ac:dyDescent="0.35">
      <c r="G52" s="299"/>
    </row>
    <row r="53" spans="7:7" ht="20.149999999999999" customHeight="1" x14ac:dyDescent="0.35">
      <c r="G53" s="299"/>
    </row>
    <row r="54" spans="7:7" ht="20.149999999999999" customHeight="1" x14ac:dyDescent="0.35">
      <c r="G54" s="299"/>
    </row>
    <row r="55" spans="7:7" ht="20.149999999999999" customHeight="1" x14ac:dyDescent="0.35">
      <c r="G55" s="299"/>
    </row>
    <row r="56" spans="7:7" ht="20.149999999999999" customHeight="1" x14ac:dyDescent="0.35">
      <c r="G56" s="299"/>
    </row>
    <row r="57" spans="7:7" ht="20.149999999999999" customHeight="1" x14ac:dyDescent="0.35">
      <c r="G57" s="299"/>
    </row>
    <row r="58" spans="7:7" ht="20.149999999999999" customHeight="1" x14ac:dyDescent="0.35">
      <c r="G58" s="299"/>
    </row>
    <row r="59" spans="7:7" ht="20.149999999999999" customHeight="1" x14ac:dyDescent="0.35">
      <c r="G59" s="299"/>
    </row>
    <row r="60" spans="7:7" ht="20.149999999999999" customHeight="1" x14ac:dyDescent="0.35">
      <c r="G60" s="299"/>
    </row>
    <row r="61" spans="7:7" ht="20.149999999999999" customHeight="1" x14ac:dyDescent="0.35">
      <c r="G61" s="299"/>
    </row>
    <row r="62" spans="7:7" ht="20.149999999999999" customHeight="1" x14ac:dyDescent="0.35">
      <c r="G62" s="299"/>
    </row>
    <row r="81" spans="2:2" ht="20.149999999999999" customHeight="1" x14ac:dyDescent="0.35">
      <c r="B81" s="288">
        <v>64373.77</v>
      </c>
    </row>
    <row r="124" spans="3:16" ht="20.149999999999999" customHeight="1" x14ac:dyDescent="0.35">
      <c r="C124" s="274"/>
      <c r="D124" s="274"/>
      <c r="E124" s="274"/>
      <c r="F124" s="274"/>
      <c r="G124" s="274"/>
      <c r="H124" s="274"/>
      <c r="I124" s="274"/>
      <c r="J124" s="274"/>
      <c r="K124" s="274"/>
      <c r="L124" s="274"/>
      <c r="M124" s="392"/>
      <c r="N124" s="392"/>
      <c r="O124" s="392" t="s">
        <v>436</v>
      </c>
      <c r="P124" s="392" t="s">
        <v>437</v>
      </c>
    </row>
    <row r="125" spans="3:16" ht="20.149999999999999" customHeight="1" x14ac:dyDescent="0.35">
      <c r="C125" s="326">
        <f>'F08 INGRESOS'!M17</f>
        <v>984130.19000000006</v>
      </c>
      <c r="D125" s="326">
        <f>'F08 INGRESOS'!N17</f>
        <v>3184106.93</v>
      </c>
      <c r="E125" s="326">
        <f>'F08 INGRESOS'!O17</f>
        <v>0</v>
      </c>
      <c r="F125" s="326">
        <f>'F08 INGRESOS'!P17</f>
        <v>0</v>
      </c>
      <c r="G125" s="326">
        <f>'F08 INGRESOS'!Q17</f>
        <v>0</v>
      </c>
      <c r="H125" s="326">
        <f>'F08 INGRESOS'!R17</f>
        <v>0</v>
      </c>
      <c r="I125" s="326">
        <f>'F08 INGRESOS'!S17</f>
        <v>0</v>
      </c>
      <c r="J125" s="326">
        <f>'F08 INGRESOS'!T17</f>
        <v>0</v>
      </c>
      <c r="K125" s="326">
        <f>'F08 INGRESOS'!U17</f>
        <v>0</v>
      </c>
      <c r="L125" s="326">
        <f>'F08 INGRESOS'!V17</f>
        <v>0</v>
      </c>
      <c r="M125" s="326">
        <f>'F08 INGRESOS'!W17</f>
        <v>0</v>
      </c>
      <c r="N125" s="326">
        <f>'F08 INGRESOS'!X17</f>
        <v>0</v>
      </c>
      <c r="O125" s="326">
        <f>'F08 INGRESOS'!Y17</f>
        <v>0</v>
      </c>
      <c r="P125" s="326">
        <f>'F08 INGRESOS'!Z17</f>
        <v>0</v>
      </c>
    </row>
    <row r="129" spans="2:7" ht="20.149999999999999" customHeight="1" x14ac:dyDescent="0.35">
      <c r="B129" s="288" t="e">
        <f>SUM(C129:P129)</f>
        <v>#DIV/0!</v>
      </c>
      <c r="D129" s="288" t="e">
        <f>D13/$B$152</f>
        <v>#DIV/0!</v>
      </c>
    </row>
    <row r="130" spans="2:7" ht="20.149999999999999" customHeight="1" x14ac:dyDescent="0.35">
      <c r="B130" s="288" t="e">
        <f>SUM(C130:P130)</f>
        <v>#DIV/0!</v>
      </c>
      <c r="D130" s="288" t="e">
        <f>D23/$B$152</f>
        <v>#DIV/0!</v>
      </c>
    </row>
    <row r="131" spans="2:7" ht="20.149999999999999" customHeight="1" x14ac:dyDescent="0.35">
      <c r="B131" s="288">
        <f t="shared" ref="B131:B146" si="5">SUM(C131:P131)</f>
        <v>0</v>
      </c>
    </row>
    <row r="132" spans="2:7" ht="20.149999999999999" customHeight="1" x14ac:dyDescent="0.35">
      <c r="B132" s="288">
        <f t="shared" si="5"/>
        <v>0</v>
      </c>
    </row>
    <row r="133" spans="2:7" ht="20.149999999999999" customHeight="1" x14ac:dyDescent="0.35">
      <c r="B133" s="288" t="e">
        <f t="shared" si="5"/>
        <v>#REF!</v>
      </c>
      <c r="D133" s="288" t="e">
        <f>#REF!/$B$152</f>
        <v>#REF!</v>
      </c>
    </row>
    <row r="134" spans="2:7" ht="20.149999999999999" customHeight="1" x14ac:dyDescent="0.35">
      <c r="B134" s="288">
        <f t="shared" si="5"/>
        <v>0</v>
      </c>
    </row>
    <row r="135" spans="2:7" ht="20.149999999999999" customHeight="1" x14ac:dyDescent="0.35">
      <c r="B135" s="288">
        <f t="shared" si="5"/>
        <v>0</v>
      </c>
    </row>
    <row r="136" spans="2:7" ht="20.149999999999999" customHeight="1" x14ac:dyDescent="0.35">
      <c r="B136" s="288">
        <f t="shared" si="5"/>
        <v>0</v>
      </c>
    </row>
    <row r="137" spans="2:7" ht="20.149999999999999" customHeight="1" x14ac:dyDescent="0.35">
      <c r="B137" s="288">
        <f t="shared" si="5"/>
        <v>0</v>
      </c>
    </row>
    <row r="138" spans="2:7" ht="20.149999999999999" customHeight="1" x14ac:dyDescent="0.35">
      <c r="B138" s="288">
        <f t="shared" si="5"/>
        <v>0</v>
      </c>
    </row>
    <row r="139" spans="2:7" ht="20.149999999999999" customHeight="1" x14ac:dyDescent="0.35">
      <c r="B139" s="288">
        <f t="shared" si="5"/>
        <v>0</v>
      </c>
    </row>
    <row r="140" spans="2:7" ht="20.149999999999999" customHeight="1" x14ac:dyDescent="0.35">
      <c r="B140" s="288">
        <f t="shared" si="5"/>
        <v>0</v>
      </c>
    </row>
    <row r="141" spans="2:7" ht="20.149999999999999" customHeight="1" x14ac:dyDescent="0.35">
      <c r="B141" s="288" t="e">
        <f t="shared" si="5"/>
        <v>#DIV/0!</v>
      </c>
      <c r="G141" s="288" t="e">
        <f>G102/$B$152</f>
        <v>#DIV/0!</v>
      </c>
    </row>
    <row r="142" spans="2:7" ht="20.149999999999999" customHeight="1" x14ac:dyDescent="0.35">
      <c r="B142" s="288">
        <f t="shared" si="5"/>
        <v>0</v>
      </c>
    </row>
    <row r="143" spans="2:7" ht="20.149999999999999" customHeight="1" x14ac:dyDescent="0.35">
      <c r="B143" s="288">
        <f t="shared" si="5"/>
        <v>0</v>
      </c>
    </row>
    <row r="144" spans="2:7" ht="20.149999999999999" customHeight="1" x14ac:dyDescent="0.35">
      <c r="B144" s="288">
        <f t="shared" si="5"/>
        <v>0</v>
      </c>
    </row>
    <row r="145" spans="2:16" ht="20.149999999999999" customHeight="1" x14ac:dyDescent="0.35">
      <c r="B145" s="288">
        <f t="shared" si="5"/>
        <v>0</v>
      </c>
    </row>
    <row r="146" spans="2:16" ht="20.149999999999999" customHeight="1" x14ac:dyDescent="0.35">
      <c r="B146" s="288" t="e">
        <f t="shared" si="5"/>
        <v>#DIV/0!</v>
      </c>
      <c r="F146" s="288" t="e">
        <f>F117/$B$152</f>
        <v>#DIV/0!</v>
      </c>
      <c r="H146" s="288" t="e">
        <f>H117/$B$152</f>
        <v>#DIV/0!</v>
      </c>
    </row>
    <row r="147" spans="2:16" ht="20.149999999999999" customHeight="1" x14ac:dyDescent="0.35">
      <c r="E147" s="288" t="e">
        <f>E118/$B$152</f>
        <v>#DIV/0!</v>
      </c>
      <c r="F147" s="288" t="e">
        <f>F118/$B$152</f>
        <v>#DIV/0!</v>
      </c>
      <c r="G147" s="288" t="e">
        <f>G118/$B$152</f>
        <v>#DIV/0!</v>
      </c>
      <c r="H147" s="288" t="e">
        <f>H118/$B$152</f>
        <v>#DIV/0!</v>
      </c>
      <c r="I147" s="288" t="e">
        <f t="shared" ref="I147:P147" si="6">I118/$B$152</f>
        <v>#DIV/0!</v>
      </c>
      <c r="J147" s="288" t="e">
        <f t="shared" si="6"/>
        <v>#DIV/0!</v>
      </c>
      <c r="K147" s="288" t="e">
        <f t="shared" si="6"/>
        <v>#DIV/0!</v>
      </c>
      <c r="L147" s="288" t="e">
        <f t="shared" si="6"/>
        <v>#DIV/0!</v>
      </c>
      <c r="M147" s="288" t="e">
        <f t="shared" si="6"/>
        <v>#DIV/0!</v>
      </c>
      <c r="N147" s="288" t="e">
        <f t="shared" si="6"/>
        <v>#DIV/0!</v>
      </c>
      <c r="O147" s="288" t="e">
        <f t="shared" si="6"/>
        <v>#DIV/0!</v>
      </c>
      <c r="P147" s="288" t="e">
        <f t="shared" si="6"/>
        <v>#DIV/0!</v>
      </c>
    </row>
    <row r="149" spans="2:16" ht="20.149999999999999" customHeight="1" x14ac:dyDescent="0.35">
      <c r="B149" s="288" t="e">
        <f>1-(B147/B125)</f>
        <v>#DIV/0!</v>
      </c>
    </row>
  </sheetData>
  <mergeCells count="20">
    <mergeCell ref="C24:D25"/>
    <mergeCell ref="B15:C15"/>
    <mergeCell ref="I21:J21"/>
    <mergeCell ref="I19:J19"/>
    <mergeCell ref="I22:J22"/>
    <mergeCell ref="I20:J20"/>
    <mergeCell ref="C17:D17"/>
    <mergeCell ref="J17:K17"/>
    <mergeCell ref="J16:K16"/>
    <mergeCell ref="J15:K15"/>
    <mergeCell ref="J14:K14"/>
    <mergeCell ref="C8:E8"/>
    <mergeCell ref="C5:E5"/>
    <mergeCell ref="B6:K6"/>
    <mergeCell ref="C7:E7"/>
    <mergeCell ref="B14:C14"/>
    <mergeCell ref="C10:E10"/>
    <mergeCell ref="C9:E9"/>
    <mergeCell ref="C11:E11"/>
    <mergeCell ref="C12:E12"/>
  </mergeCells>
  <phoneticPr fontId="8" type="noConversion"/>
  <hyperlinks>
    <hyperlink ref="C24" r:id="rId1" xr:uid="{6B669221-F0E7-6849-B622-01B717462F44}"/>
  </hyperlinks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54"/>
  <sheetViews>
    <sheetView zoomScale="59" zoomScaleNormal="70" workbookViewId="0">
      <pane xSplit="1" ySplit="5" topLeftCell="B15" activePane="bottomRight" state="frozen"/>
      <selection activeCell="C3" sqref="C3:P5"/>
      <selection pane="topRight" activeCell="C3" sqref="C3:P5"/>
      <selection pane="bottomLeft" activeCell="C3" sqref="C3:P5"/>
      <selection pane="bottomRight" activeCell="C21" sqref="C21:D21"/>
    </sheetView>
  </sheetViews>
  <sheetFormatPr baseColWidth="10" defaultColWidth="10.5" defaultRowHeight="18" customHeight="1" x14ac:dyDescent="0.35"/>
  <cols>
    <col min="1" max="1" width="49" style="288" customWidth="1"/>
    <col min="2" max="2" width="3.83203125" style="288" customWidth="1"/>
    <col min="3" max="3" width="16" style="288" bestFit="1" customWidth="1"/>
    <col min="4" max="16" width="16.08203125" style="288" customWidth="1"/>
    <col min="17" max="17" width="3.08203125" style="288" customWidth="1"/>
    <col min="18" max="18" width="21.08203125" style="288" customWidth="1"/>
    <col min="19" max="19" width="4.5" style="288" customWidth="1"/>
    <col min="20" max="20" width="20.33203125" style="288" customWidth="1"/>
    <col min="21" max="21" width="4.5" style="288" customWidth="1"/>
    <col min="22" max="22" width="22.08203125" style="288" customWidth="1"/>
    <col min="23" max="23" width="4.5" style="288" customWidth="1"/>
    <col min="24" max="24" width="22.08203125" style="288" customWidth="1"/>
    <col min="25" max="16384" width="10.5" style="288"/>
  </cols>
  <sheetData>
    <row r="1" spans="1:24" ht="18" customHeight="1" x14ac:dyDescent="0.35">
      <c r="A1" s="322"/>
      <c r="C1" s="322"/>
      <c r="D1" s="348">
        <v>0</v>
      </c>
      <c r="E1" s="348">
        <v>1</v>
      </c>
      <c r="F1" s="348">
        <v>2</v>
      </c>
      <c r="G1" s="348">
        <v>3</v>
      </c>
      <c r="H1" s="348">
        <v>4</v>
      </c>
      <c r="I1" s="348">
        <v>5</v>
      </c>
      <c r="J1" s="348">
        <v>6</v>
      </c>
      <c r="K1" s="348">
        <v>7</v>
      </c>
      <c r="L1" s="348">
        <v>8</v>
      </c>
      <c r="M1" s="348">
        <v>9</v>
      </c>
      <c r="N1" s="348">
        <v>10</v>
      </c>
      <c r="O1" s="348">
        <v>11</v>
      </c>
      <c r="P1" s="348">
        <v>12</v>
      </c>
      <c r="Q1" s="322"/>
    </row>
    <row r="2" spans="1:24" ht="18" customHeight="1" x14ac:dyDescent="0.35">
      <c r="C2" s="323"/>
      <c r="D2" s="323"/>
      <c r="E2" s="323"/>
      <c r="F2" s="323"/>
      <c r="G2" s="323"/>
      <c r="H2" s="323"/>
      <c r="I2" s="323"/>
      <c r="J2" s="323"/>
      <c r="K2" s="323"/>
      <c r="L2" s="323"/>
      <c r="M2" s="323"/>
      <c r="N2" s="323"/>
      <c r="O2" s="323"/>
      <c r="P2" s="323"/>
      <c r="Q2" s="322"/>
    </row>
    <row r="3" spans="1:24" ht="18" customHeight="1" x14ac:dyDescent="0.35">
      <c r="C3" s="390" t="s">
        <v>84</v>
      </c>
      <c r="D3" s="390" t="s">
        <v>84</v>
      </c>
      <c r="E3" s="391" t="s">
        <v>66</v>
      </c>
      <c r="F3" s="390" t="s">
        <v>67</v>
      </c>
      <c r="G3" s="390" t="s">
        <v>68</v>
      </c>
      <c r="H3" s="390" t="s">
        <v>69</v>
      </c>
      <c r="I3" s="390" t="s">
        <v>70</v>
      </c>
      <c r="J3" s="390" t="s">
        <v>71</v>
      </c>
      <c r="K3" s="390" t="s">
        <v>72</v>
      </c>
      <c r="L3" s="390" t="s">
        <v>73</v>
      </c>
      <c r="M3" s="390" t="s">
        <v>74</v>
      </c>
      <c r="N3" s="390" t="s">
        <v>75</v>
      </c>
      <c r="O3" s="390" t="s">
        <v>76</v>
      </c>
      <c r="P3" s="390" t="s">
        <v>77</v>
      </c>
      <c r="Q3" s="322"/>
      <c r="R3" s="360">
        <f>SUM(R6:R10)</f>
        <v>38550162.324699998</v>
      </c>
      <c r="S3" s="325"/>
      <c r="T3" s="360">
        <f>R3*1.16</f>
        <v>44718188.296651997</v>
      </c>
      <c r="U3" s="325"/>
      <c r="V3" s="360">
        <f>+R3/$E$38</f>
        <v>2133379.21</v>
      </c>
      <c r="W3" s="325"/>
      <c r="X3" s="360">
        <f>V3*1.16</f>
        <v>2474719.8835999998</v>
      </c>
    </row>
    <row r="4" spans="1:24" ht="18" customHeight="1" x14ac:dyDescent="0.35">
      <c r="C4" s="392"/>
      <c r="D4" s="392"/>
      <c r="E4" s="392" t="s">
        <v>436</v>
      </c>
      <c r="F4" s="392" t="s">
        <v>437</v>
      </c>
      <c r="G4" s="392" t="s">
        <v>438</v>
      </c>
      <c r="H4" s="392" t="s">
        <v>439</v>
      </c>
      <c r="I4" s="392" t="s">
        <v>392</v>
      </c>
      <c r="J4" s="392" t="s">
        <v>393</v>
      </c>
      <c r="K4" s="392" t="s">
        <v>394</v>
      </c>
      <c r="L4" s="392" t="s">
        <v>395</v>
      </c>
      <c r="M4" s="392" t="s">
        <v>396</v>
      </c>
      <c r="N4" s="392" t="s">
        <v>397</v>
      </c>
      <c r="O4" s="392" t="s">
        <v>398</v>
      </c>
      <c r="P4" s="392" t="s">
        <v>399</v>
      </c>
      <c r="Q4" s="322"/>
      <c r="R4" s="441" t="s">
        <v>337</v>
      </c>
      <c r="T4" s="441" t="s">
        <v>338</v>
      </c>
      <c r="V4" s="441" t="s">
        <v>36</v>
      </c>
      <c r="X4" s="441" t="s">
        <v>346</v>
      </c>
    </row>
    <row r="5" spans="1:24" ht="18" customHeight="1" x14ac:dyDescent="0.35">
      <c r="A5" s="350" t="s">
        <v>345</v>
      </c>
      <c r="C5" s="393"/>
      <c r="D5" s="393"/>
      <c r="E5" s="393">
        <v>31</v>
      </c>
      <c r="F5" s="393">
        <v>29</v>
      </c>
      <c r="G5" s="393">
        <v>31</v>
      </c>
      <c r="H5" s="393">
        <v>30</v>
      </c>
      <c r="I5" s="393">
        <v>30</v>
      </c>
      <c r="J5" s="393">
        <v>31</v>
      </c>
      <c r="K5" s="393">
        <v>31</v>
      </c>
      <c r="L5" s="393">
        <v>31</v>
      </c>
      <c r="M5" s="393">
        <v>30</v>
      </c>
      <c r="N5" s="393">
        <v>31</v>
      </c>
      <c r="O5" s="393">
        <v>30</v>
      </c>
      <c r="P5" s="393">
        <v>31</v>
      </c>
      <c r="Q5" s="322"/>
      <c r="R5" s="441"/>
      <c r="T5" s="441"/>
      <c r="V5" s="441"/>
      <c r="X5" s="441"/>
    </row>
    <row r="6" spans="1:24" ht="51" customHeight="1" x14ac:dyDescent="0.35">
      <c r="A6" s="349" t="str">
        <f>PREMISAS!C7</f>
        <v>OBRA CIVIL</v>
      </c>
      <c r="C6" s="324">
        <f>'F08 INGRESOS'!M8</f>
        <v>1880684.0389999999</v>
      </c>
      <c r="D6" s="324">
        <f>'F08 INGRESOS'!N8</f>
        <v>0</v>
      </c>
      <c r="E6" s="324">
        <f>'F08 INGRESOS'!O8</f>
        <v>0</v>
      </c>
      <c r="F6" s="324">
        <f>'F08 INGRESOS'!P8</f>
        <v>0</v>
      </c>
      <c r="G6" s="324">
        <f>'F08 INGRESOS'!Q8</f>
        <v>0</v>
      </c>
      <c r="H6" s="324">
        <f>'F08 INGRESOS'!R8</f>
        <v>0</v>
      </c>
      <c r="I6" s="324">
        <f>'F08 INGRESOS'!S8</f>
        <v>0</v>
      </c>
      <c r="J6" s="324">
        <f>'F08 INGRESOS'!T8</f>
        <v>0</v>
      </c>
      <c r="K6" s="324">
        <f>'F08 INGRESOS'!U8</f>
        <v>0</v>
      </c>
      <c r="L6" s="324">
        <f>'F08 INGRESOS'!V8</f>
        <v>0</v>
      </c>
      <c r="M6" s="324">
        <f>'F08 INGRESOS'!W8</f>
        <v>0</v>
      </c>
      <c r="N6" s="324">
        <f>'F08 INGRESOS'!X8</f>
        <v>0</v>
      </c>
      <c r="O6" s="324">
        <f>'F08 INGRESOS'!Y8</f>
        <v>0</v>
      </c>
      <c r="P6" s="324">
        <f>'F08 INGRESOS'!Z8</f>
        <v>0</v>
      </c>
      <c r="Q6" s="322"/>
      <c r="R6" s="325">
        <f t="shared" ref="R6:R12" si="0">SUM(C6:P6)</f>
        <v>1880684.0389999999</v>
      </c>
      <c r="S6" s="325"/>
      <c r="T6" s="325">
        <f t="shared" ref="T6:T11" si="1">R6*1.16</f>
        <v>2181593.4852399998</v>
      </c>
      <c r="U6" s="325"/>
      <c r="V6" s="325">
        <f t="shared" ref="V6:V11" si="2">+R6/$E$38</f>
        <v>104077.7</v>
      </c>
      <c r="W6" s="325"/>
      <c r="X6" s="325">
        <f t="shared" ref="X6:X11" si="3">V6*1.16</f>
        <v>120730.13199999998</v>
      </c>
    </row>
    <row r="7" spans="1:24" ht="51" customHeight="1" x14ac:dyDescent="0.35">
      <c r="A7" s="349" t="e">
        <f>PREMISAS!#REF!</f>
        <v>#REF!</v>
      </c>
      <c r="C7" s="324">
        <f>'F08 INGRESOS'!M9</f>
        <v>0</v>
      </c>
      <c r="D7" s="324">
        <f>'F08 INGRESOS'!N9</f>
        <v>20766929.7914</v>
      </c>
      <c r="E7" s="324">
        <f>'F08 INGRESOS'!O9</f>
        <v>0</v>
      </c>
      <c r="F7" s="324">
        <f>'F08 INGRESOS'!P9</f>
        <v>0</v>
      </c>
      <c r="G7" s="324">
        <f>'F08 INGRESOS'!Q9</f>
        <v>0</v>
      </c>
      <c r="H7" s="324">
        <f>'F08 INGRESOS'!R9</f>
        <v>0</v>
      </c>
      <c r="I7" s="324">
        <f>'F08 INGRESOS'!S9</f>
        <v>0</v>
      </c>
      <c r="J7" s="324">
        <f>'F08 INGRESOS'!T9</f>
        <v>0</v>
      </c>
      <c r="K7" s="324">
        <f>'F08 INGRESOS'!U9</f>
        <v>0</v>
      </c>
      <c r="L7" s="324">
        <f>'F08 INGRESOS'!V9</f>
        <v>0</v>
      </c>
      <c r="M7" s="324">
        <f>'F08 INGRESOS'!W9</f>
        <v>0</v>
      </c>
      <c r="N7" s="324">
        <f>'F08 INGRESOS'!X9</f>
        <v>0</v>
      </c>
      <c r="O7" s="324">
        <f>'F08 INGRESOS'!Y9</f>
        <v>0</v>
      </c>
      <c r="P7" s="324">
        <f>'F08 INGRESOS'!Z9</f>
        <v>0</v>
      </c>
      <c r="Q7" s="322"/>
      <c r="R7" s="325">
        <f t="shared" si="0"/>
        <v>20766929.7914</v>
      </c>
      <c r="S7" s="325"/>
      <c r="T7" s="325">
        <f t="shared" si="1"/>
        <v>24089638.558024</v>
      </c>
      <c r="U7" s="325"/>
      <c r="V7" s="325">
        <f t="shared" si="2"/>
        <v>1149249.02</v>
      </c>
      <c r="W7" s="325"/>
      <c r="X7" s="325">
        <f t="shared" si="3"/>
        <v>1333128.8632</v>
      </c>
    </row>
    <row r="8" spans="1:24" ht="51" customHeight="1" x14ac:dyDescent="0.35">
      <c r="A8" s="349" t="str">
        <f>PREMISAS!C8</f>
        <v>OBRA ELÉCTRICA</v>
      </c>
      <c r="C8" s="324">
        <f>'F08 INGRESOS'!M10</f>
        <v>15902548.4943</v>
      </c>
      <c r="D8" s="324">
        <f>'F08 INGRESOS'!N10</f>
        <v>0</v>
      </c>
      <c r="E8" s="324">
        <f>'F08 INGRESOS'!O10</f>
        <v>0</v>
      </c>
      <c r="F8" s="324">
        <f>'F08 INGRESOS'!P10</f>
        <v>0</v>
      </c>
      <c r="G8" s="324">
        <f>'F08 INGRESOS'!Q10</f>
        <v>0</v>
      </c>
      <c r="H8" s="324">
        <f>'F08 INGRESOS'!R10</f>
        <v>0</v>
      </c>
      <c r="I8" s="324">
        <f>'F08 INGRESOS'!S10</f>
        <v>0</v>
      </c>
      <c r="J8" s="324">
        <f>'F08 INGRESOS'!T10</f>
        <v>0</v>
      </c>
      <c r="K8" s="324">
        <f>'F08 INGRESOS'!U10</f>
        <v>0</v>
      </c>
      <c r="L8" s="324">
        <f>'F08 INGRESOS'!V10</f>
        <v>0</v>
      </c>
      <c r="M8" s="324">
        <f>'F08 INGRESOS'!W10</f>
        <v>0</v>
      </c>
      <c r="N8" s="324">
        <f>'F08 INGRESOS'!X10</f>
        <v>0</v>
      </c>
      <c r="O8" s="324">
        <f>'F08 INGRESOS'!Y10</f>
        <v>0</v>
      </c>
      <c r="P8" s="324">
        <f>'F08 INGRESOS'!Z10</f>
        <v>0</v>
      </c>
      <c r="Q8" s="322"/>
      <c r="R8" s="325">
        <f t="shared" si="0"/>
        <v>15902548.4943</v>
      </c>
      <c r="S8" s="325"/>
      <c r="T8" s="325">
        <f t="shared" si="1"/>
        <v>18446956.253387999</v>
      </c>
      <c r="U8" s="325"/>
      <c r="V8" s="325">
        <f t="shared" si="2"/>
        <v>880052.49</v>
      </c>
      <c r="W8" s="325"/>
      <c r="X8" s="325">
        <f t="shared" si="3"/>
        <v>1020860.8883999999</v>
      </c>
    </row>
    <row r="9" spans="1:24" ht="51" customHeight="1" x14ac:dyDescent="0.35">
      <c r="A9" s="349" t="str">
        <f>PREMISAS!C9</f>
        <v>OBRA MECÁNICA</v>
      </c>
      <c r="C9" s="324">
        <f>'F08 INGRESOS'!M11</f>
        <v>0</v>
      </c>
      <c r="D9" s="324">
        <f>'F08 INGRESOS'!N11</f>
        <v>0</v>
      </c>
      <c r="E9" s="324">
        <f>'F08 INGRESOS'!O11</f>
        <v>0</v>
      </c>
      <c r="F9" s="324">
        <f>'F08 INGRESOS'!P11</f>
        <v>0</v>
      </c>
      <c r="G9" s="324">
        <f>'F08 INGRESOS'!Q11</f>
        <v>0</v>
      </c>
      <c r="H9" s="324">
        <f>'F08 INGRESOS'!R11</f>
        <v>0</v>
      </c>
      <c r="I9" s="324">
        <f>'F08 INGRESOS'!S11</f>
        <v>0</v>
      </c>
      <c r="J9" s="324">
        <f>'F08 INGRESOS'!T11</f>
        <v>0</v>
      </c>
      <c r="K9" s="324">
        <f>'F08 INGRESOS'!U11</f>
        <v>0</v>
      </c>
      <c r="L9" s="324">
        <f>'F08 INGRESOS'!V11</f>
        <v>0</v>
      </c>
      <c r="M9" s="324">
        <f>'F08 INGRESOS'!W11</f>
        <v>0</v>
      </c>
      <c r="N9" s="324">
        <f>'F08 INGRESOS'!X11</f>
        <v>0</v>
      </c>
      <c r="O9" s="324">
        <f>'F08 INGRESOS'!Y11</f>
        <v>0</v>
      </c>
      <c r="P9" s="324">
        <f>'F08 INGRESOS'!Z11</f>
        <v>0</v>
      </c>
      <c r="Q9" s="322"/>
      <c r="R9" s="325">
        <f t="shared" si="0"/>
        <v>0</v>
      </c>
      <c r="S9" s="325"/>
      <c r="T9" s="325">
        <f t="shared" si="1"/>
        <v>0</v>
      </c>
      <c r="U9" s="325"/>
      <c r="V9" s="325">
        <f t="shared" si="2"/>
        <v>0</v>
      </c>
      <c r="W9" s="325"/>
      <c r="X9" s="325">
        <f t="shared" si="3"/>
        <v>0</v>
      </c>
    </row>
    <row r="10" spans="1:24" ht="51" customHeight="1" x14ac:dyDescent="0.35">
      <c r="A10" s="349" t="str">
        <f>PREMISAS!C11</f>
        <v>-</v>
      </c>
      <c r="C10" s="324">
        <f>'F08 INGRESOS'!M12</f>
        <v>0</v>
      </c>
      <c r="D10" s="324">
        <f>'F08 INGRESOS'!N12</f>
        <v>0</v>
      </c>
      <c r="E10" s="324">
        <f>'F08 INGRESOS'!O12</f>
        <v>0</v>
      </c>
      <c r="F10" s="324">
        <f>'F08 INGRESOS'!P12</f>
        <v>0</v>
      </c>
      <c r="G10" s="324">
        <f>'F08 INGRESOS'!Q12</f>
        <v>0</v>
      </c>
      <c r="H10" s="324">
        <f>'F08 INGRESOS'!R12</f>
        <v>0</v>
      </c>
      <c r="I10" s="324">
        <f>'F08 INGRESOS'!S12</f>
        <v>0</v>
      </c>
      <c r="J10" s="324">
        <f>'F08 INGRESOS'!T12</f>
        <v>0</v>
      </c>
      <c r="K10" s="324">
        <f>'F08 INGRESOS'!U12</f>
        <v>0</v>
      </c>
      <c r="L10" s="324">
        <f>'F08 INGRESOS'!V12</f>
        <v>0</v>
      </c>
      <c r="M10" s="324">
        <f>'F08 INGRESOS'!W12</f>
        <v>0</v>
      </c>
      <c r="N10" s="324">
        <f>'F08 INGRESOS'!X12</f>
        <v>0</v>
      </c>
      <c r="O10" s="324">
        <f>'F08 INGRESOS'!Y12</f>
        <v>0</v>
      </c>
      <c r="P10" s="324">
        <f>'F08 INGRESOS'!Z12</f>
        <v>0</v>
      </c>
      <c r="Q10" s="322"/>
      <c r="R10" s="325">
        <f t="shared" si="0"/>
        <v>0</v>
      </c>
      <c r="S10" s="325"/>
      <c r="T10" s="325">
        <f t="shared" si="1"/>
        <v>0</v>
      </c>
      <c r="U10" s="325"/>
      <c r="V10" s="325">
        <f t="shared" si="2"/>
        <v>0</v>
      </c>
      <c r="W10" s="325"/>
      <c r="X10" s="325">
        <f t="shared" si="3"/>
        <v>0</v>
      </c>
    </row>
    <row r="11" spans="1:24" ht="51" customHeight="1" thickBot="1" x14ac:dyDescent="0.4">
      <c r="A11" s="349" t="str">
        <f>PREMISAS!C12</f>
        <v xml:space="preserve">Conceptos extraordinarios </v>
      </c>
      <c r="C11" s="328"/>
      <c r="D11" s="328"/>
      <c r="E11" s="328">
        <f>'F08 INGRESOS'!O13</f>
        <v>0</v>
      </c>
      <c r="F11" s="328">
        <f>'F08 INGRESOS'!P13</f>
        <v>0</v>
      </c>
      <c r="G11" s="328">
        <f>'F08 INGRESOS'!Q13</f>
        <v>0</v>
      </c>
      <c r="H11" s="328">
        <f>'F08 INGRESOS'!R13</f>
        <v>0</v>
      </c>
      <c r="I11" s="328">
        <f>'F08 INGRESOS'!S13</f>
        <v>0</v>
      </c>
      <c r="J11" s="328">
        <f>'F08 INGRESOS'!T13</f>
        <v>0</v>
      </c>
      <c r="K11" s="328">
        <f>'F08 INGRESOS'!U13</f>
        <v>0</v>
      </c>
      <c r="L11" s="328">
        <f>'F08 INGRESOS'!V13</f>
        <v>0</v>
      </c>
      <c r="M11" s="328">
        <f>'F08 INGRESOS'!W13</f>
        <v>0</v>
      </c>
      <c r="N11" s="328">
        <f>'F08 INGRESOS'!X13</f>
        <v>0</v>
      </c>
      <c r="O11" s="328">
        <f>'F08 INGRESOS'!Y13</f>
        <v>0</v>
      </c>
      <c r="P11" s="328">
        <f>'F08 INGRESOS'!Z13</f>
        <v>0</v>
      </c>
      <c r="Q11" s="322"/>
      <c r="R11" s="325">
        <f t="shared" si="0"/>
        <v>0</v>
      </c>
      <c r="S11" s="325"/>
      <c r="T11" s="325">
        <f t="shared" si="1"/>
        <v>0</v>
      </c>
      <c r="U11" s="325"/>
      <c r="V11" s="325">
        <f t="shared" si="2"/>
        <v>0</v>
      </c>
      <c r="W11" s="325"/>
      <c r="X11" s="325">
        <f t="shared" si="3"/>
        <v>0</v>
      </c>
    </row>
    <row r="12" spans="1:24" s="274" customFormat="1" ht="23.15" customHeight="1" thickBot="1" x14ac:dyDescent="0.4">
      <c r="A12" s="351" t="s">
        <v>336</v>
      </c>
      <c r="B12" s="288"/>
      <c r="C12" s="381">
        <f t="shared" ref="C12:P12" si="4">SUM(C6:C11)</f>
        <v>17783232.533300001</v>
      </c>
      <c r="D12" s="382">
        <f t="shared" si="4"/>
        <v>20766929.7914</v>
      </c>
      <c r="E12" s="382">
        <f t="shared" si="4"/>
        <v>0</v>
      </c>
      <c r="F12" s="382">
        <f t="shared" si="4"/>
        <v>0</v>
      </c>
      <c r="G12" s="382">
        <f t="shared" si="4"/>
        <v>0</v>
      </c>
      <c r="H12" s="382">
        <f t="shared" si="4"/>
        <v>0</v>
      </c>
      <c r="I12" s="382">
        <f t="shared" si="4"/>
        <v>0</v>
      </c>
      <c r="J12" s="382">
        <f t="shared" si="4"/>
        <v>0</v>
      </c>
      <c r="K12" s="382">
        <f t="shared" si="4"/>
        <v>0</v>
      </c>
      <c r="L12" s="382">
        <f t="shared" si="4"/>
        <v>0</v>
      </c>
      <c r="M12" s="382">
        <f t="shared" si="4"/>
        <v>0</v>
      </c>
      <c r="N12" s="382">
        <f t="shared" si="4"/>
        <v>0</v>
      </c>
      <c r="O12" s="382">
        <f t="shared" si="4"/>
        <v>0</v>
      </c>
      <c r="P12" s="383">
        <f t="shared" si="4"/>
        <v>0</v>
      </c>
      <c r="Q12" s="322"/>
      <c r="R12" s="327">
        <f t="shared" si="0"/>
        <v>38550162.324699998</v>
      </c>
    </row>
    <row r="13" spans="1:24" s="274" customFormat="1" ht="23.15" customHeight="1" thickBot="1" x14ac:dyDescent="0.4">
      <c r="A13" s="329"/>
      <c r="B13" s="288"/>
      <c r="C13" s="325"/>
      <c r="D13" s="325"/>
      <c r="E13" s="325"/>
      <c r="F13" s="325"/>
      <c r="G13" s="325"/>
      <c r="H13" s="325"/>
      <c r="I13" s="325"/>
      <c r="J13" s="325"/>
      <c r="K13" s="325"/>
      <c r="L13" s="325"/>
      <c r="M13" s="325"/>
      <c r="N13" s="325"/>
      <c r="O13" s="325"/>
      <c r="P13" s="325"/>
      <c r="Q13" s="322"/>
    </row>
    <row r="14" spans="1:24" s="274" customFormat="1" ht="23.15" customHeight="1" thickBot="1" x14ac:dyDescent="0.4">
      <c r="A14" s="352" t="s">
        <v>339</v>
      </c>
      <c r="B14" s="288"/>
      <c r="C14" s="381">
        <f>+C12*1.16</f>
        <v>20628549.738628</v>
      </c>
      <c r="D14" s="382">
        <f>+D12*1.16</f>
        <v>24089638.558024</v>
      </c>
      <c r="E14" s="382">
        <f>+E12*1.16</f>
        <v>0</v>
      </c>
      <c r="F14" s="382">
        <f t="shared" ref="F14:P14" si="5">+F12*1.16</f>
        <v>0</v>
      </c>
      <c r="G14" s="382">
        <f t="shared" si="5"/>
        <v>0</v>
      </c>
      <c r="H14" s="382">
        <f t="shared" si="5"/>
        <v>0</v>
      </c>
      <c r="I14" s="382">
        <f t="shared" si="5"/>
        <v>0</v>
      </c>
      <c r="J14" s="382">
        <f t="shared" si="5"/>
        <v>0</v>
      </c>
      <c r="K14" s="382">
        <f t="shared" si="5"/>
        <v>0</v>
      </c>
      <c r="L14" s="382">
        <f t="shared" si="5"/>
        <v>0</v>
      </c>
      <c r="M14" s="382">
        <f t="shared" si="5"/>
        <v>0</v>
      </c>
      <c r="N14" s="382">
        <f t="shared" si="5"/>
        <v>0</v>
      </c>
      <c r="O14" s="382">
        <f t="shared" si="5"/>
        <v>0</v>
      </c>
      <c r="P14" s="383">
        <f t="shared" si="5"/>
        <v>0</v>
      </c>
      <c r="Q14" s="322"/>
      <c r="R14" s="327">
        <f>SUM(C14:P14)</f>
        <v>44718188.296652004</v>
      </c>
    </row>
    <row r="15" spans="1:24" ht="23.15" customHeight="1" x14ac:dyDescent="0.35">
      <c r="A15" s="330"/>
      <c r="C15" s="331"/>
      <c r="D15" s="331"/>
      <c r="E15" s="331"/>
      <c r="F15" s="331"/>
      <c r="G15" s="331"/>
      <c r="H15" s="331"/>
      <c r="I15" s="331"/>
      <c r="J15" s="331"/>
      <c r="K15" s="331"/>
      <c r="L15" s="331"/>
      <c r="M15" s="331"/>
      <c r="N15" s="331"/>
      <c r="O15" s="331"/>
      <c r="P15" s="331"/>
      <c r="Q15" s="322"/>
      <c r="R15" s="325"/>
      <c r="S15" s="325"/>
      <c r="T15" s="325"/>
      <c r="U15" s="325"/>
      <c r="V15" s="325"/>
      <c r="W15" s="325"/>
      <c r="X15" s="325"/>
    </row>
    <row r="16" spans="1:24" ht="23.15" customHeight="1" x14ac:dyDescent="0.35">
      <c r="A16" s="332" t="s">
        <v>382</v>
      </c>
      <c r="C16" s="331"/>
      <c r="D16" s="331"/>
      <c r="E16" s="331"/>
      <c r="F16" s="331"/>
      <c r="G16" s="331"/>
      <c r="H16" s="331"/>
      <c r="I16" s="331"/>
      <c r="J16" s="331"/>
      <c r="K16" s="331"/>
      <c r="L16" s="331"/>
      <c r="M16" s="331"/>
      <c r="N16" s="331"/>
      <c r="O16" s="331"/>
      <c r="P16" s="331"/>
      <c r="Q16" s="322"/>
      <c r="R16" s="325"/>
      <c r="S16" s="325"/>
      <c r="T16" s="325"/>
      <c r="U16" s="325"/>
      <c r="V16" s="325"/>
      <c r="W16" s="325"/>
      <c r="X16" s="325"/>
    </row>
    <row r="17" spans="1:24" ht="23.15" customHeight="1" x14ac:dyDescent="0.35">
      <c r="A17" s="333" t="s">
        <v>32</v>
      </c>
      <c r="C17" s="331">
        <f>EGRESOS!D37</f>
        <v>3583494.1706631593</v>
      </c>
      <c r="D17" s="331">
        <f>EGRESOS!E37</f>
        <v>2965507.5873736837</v>
      </c>
      <c r="E17" s="331">
        <f>EGRESOS!F37</f>
        <v>0</v>
      </c>
      <c r="F17" s="331">
        <f>EGRESOS!G37</f>
        <v>0</v>
      </c>
      <c r="G17" s="331">
        <f>EGRESOS!H37</f>
        <v>0</v>
      </c>
      <c r="H17" s="331">
        <f>EGRESOS!I37</f>
        <v>0</v>
      </c>
      <c r="I17" s="331">
        <f>EGRESOS!J37</f>
        <v>0</v>
      </c>
      <c r="J17" s="331">
        <f>EGRESOS!K37</f>
        <v>0</v>
      </c>
      <c r="K17" s="331">
        <f>EGRESOS!L37</f>
        <v>0</v>
      </c>
      <c r="L17" s="331">
        <f>EGRESOS!M37</f>
        <v>0</v>
      </c>
      <c r="M17" s="331">
        <f>EGRESOS!N37</f>
        <v>0</v>
      </c>
      <c r="N17" s="331">
        <f>EGRESOS!O37</f>
        <v>0</v>
      </c>
      <c r="O17" s="331">
        <f>EGRESOS!P37</f>
        <v>0</v>
      </c>
      <c r="P17" s="331">
        <f>EGRESOS!Q37</f>
        <v>0</v>
      </c>
      <c r="Q17" s="322"/>
      <c r="R17" s="325">
        <f>SUM(C17:P17)</f>
        <v>6549001.7580368426</v>
      </c>
      <c r="S17" s="325"/>
      <c r="T17" s="325"/>
      <c r="U17" s="325"/>
      <c r="V17" s="325">
        <f>+R17/$E$38</f>
        <v>362424.00431858562</v>
      </c>
      <c r="W17" s="325"/>
      <c r="X17" s="325">
        <f>+V17*1.16</f>
        <v>420411.8450095593</v>
      </c>
    </row>
    <row r="18" spans="1:24" ht="23.15" customHeight="1" x14ac:dyDescent="0.35">
      <c r="A18" s="333" t="s">
        <v>78</v>
      </c>
      <c r="C18" s="331"/>
      <c r="D18" s="331"/>
      <c r="E18" s="331"/>
      <c r="F18" s="331"/>
      <c r="G18" s="331"/>
      <c r="H18" s="331"/>
      <c r="I18" s="331"/>
      <c r="J18" s="331"/>
      <c r="K18" s="331"/>
      <c r="L18" s="331"/>
      <c r="M18" s="331"/>
      <c r="N18" s="331"/>
      <c r="O18" s="331"/>
      <c r="P18" s="331"/>
      <c r="Q18" s="322"/>
      <c r="R18" s="325"/>
      <c r="S18" s="325"/>
      <c r="T18" s="325"/>
      <c r="U18" s="325"/>
      <c r="V18" s="325"/>
      <c r="W18" s="325"/>
      <c r="X18" s="325"/>
    </row>
    <row r="19" spans="1:24" ht="23.15" customHeight="1" x14ac:dyDescent="0.35">
      <c r="A19" s="333" t="s">
        <v>33</v>
      </c>
      <c r="C19" s="331">
        <f>EGRESOS!D35</f>
        <v>16714397.554941889</v>
      </c>
      <c r="D19" s="331">
        <f>EGRESOS!E35</f>
        <v>0</v>
      </c>
      <c r="E19" s="331">
        <f>EGRESOS!F35</f>
        <v>0</v>
      </c>
      <c r="F19" s="331">
        <f>EGRESOS!G35</f>
        <v>0</v>
      </c>
      <c r="G19" s="331">
        <f>EGRESOS!H35</f>
        <v>0</v>
      </c>
      <c r="H19" s="331">
        <f>EGRESOS!I35</f>
        <v>0</v>
      </c>
      <c r="I19" s="331">
        <f>EGRESOS!J35</f>
        <v>0</v>
      </c>
      <c r="J19" s="331">
        <f>EGRESOS!K35</f>
        <v>0</v>
      </c>
      <c r="K19" s="331">
        <f>EGRESOS!L35</f>
        <v>0</v>
      </c>
      <c r="L19" s="331">
        <f>EGRESOS!M35</f>
        <v>0</v>
      </c>
      <c r="M19" s="331">
        <f>EGRESOS!N35</f>
        <v>0</v>
      </c>
      <c r="N19" s="331">
        <f>EGRESOS!O35</f>
        <v>0</v>
      </c>
      <c r="O19" s="331">
        <f>EGRESOS!P35</f>
        <v>0</v>
      </c>
      <c r="P19" s="331">
        <f>EGRESOS!Q35</f>
        <v>0</v>
      </c>
      <c r="Q19" s="322"/>
      <c r="R19" s="325">
        <f>SUM(C19:P19)</f>
        <v>16714397.554941889</v>
      </c>
      <c r="S19" s="325"/>
      <c r="T19" s="325"/>
      <c r="U19" s="325"/>
      <c r="V19" s="325">
        <f>+R19/$E$38</f>
        <v>924980.4955695566</v>
      </c>
      <c r="W19" s="325"/>
      <c r="X19" s="325">
        <f>+V19*1.16</f>
        <v>1072977.3748606856</v>
      </c>
    </row>
    <row r="20" spans="1:24" ht="23.15" customHeight="1" thickBot="1" x14ac:dyDescent="0.4">
      <c r="A20" s="334"/>
      <c r="C20" s="331"/>
      <c r="D20" s="331"/>
      <c r="E20" s="331"/>
      <c r="F20" s="331"/>
      <c r="G20" s="331"/>
      <c r="H20" s="331"/>
      <c r="I20" s="331"/>
      <c r="J20" s="331"/>
      <c r="K20" s="331"/>
      <c r="L20" s="331"/>
      <c r="M20" s="331"/>
      <c r="N20" s="331"/>
      <c r="O20" s="331"/>
      <c r="P20" s="331"/>
      <c r="Q20" s="322"/>
      <c r="R20" s="325"/>
      <c r="S20" s="325"/>
      <c r="T20" s="325"/>
      <c r="U20" s="325"/>
      <c r="V20" s="325"/>
      <c r="W20" s="325"/>
      <c r="X20" s="325"/>
    </row>
    <row r="21" spans="1:24" ht="23.15" customHeight="1" thickBot="1" x14ac:dyDescent="0.4">
      <c r="A21" s="335" t="s">
        <v>344</v>
      </c>
      <c r="C21" s="336">
        <f>SUM(C17:C20)</f>
        <v>20297891.725605048</v>
      </c>
      <c r="D21" s="337">
        <f t="shared" ref="D21:P21" si="6">SUM(D17:D20)</f>
        <v>2965507.5873736837</v>
      </c>
      <c r="E21" s="337">
        <f t="shared" si="6"/>
        <v>0</v>
      </c>
      <c r="F21" s="337">
        <f t="shared" si="6"/>
        <v>0</v>
      </c>
      <c r="G21" s="337">
        <f t="shared" si="6"/>
        <v>0</v>
      </c>
      <c r="H21" s="337">
        <f t="shared" si="6"/>
        <v>0</v>
      </c>
      <c r="I21" s="337">
        <f t="shared" si="6"/>
        <v>0</v>
      </c>
      <c r="J21" s="337">
        <f t="shared" si="6"/>
        <v>0</v>
      </c>
      <c r="K21" s="337">
        <f t="shared" si="6"/>
        <v>0</v>
      </c>
      <c r="L21" s="337">
        <f t="shared" si="6"/>
        <v>0</v>
      </c>
      <c r="M21" s="337">
        <f t="shared" si="6"/>
        <v>0</v>
      </c>
      <c r="N21" s="337">
        <f t="shared" si="6"/>
        <v>0</v>
      </c>
      <c r="O21" s="337">
        <f t="shared" si="6"/>
        <v>0</v>
      </c>
      <c r="P21" s="337">
        <f t="shared" si="6"/>
        <v>0</v>
      </c>
      <c r="Q21" s="322"/>
      <c r="R21" s="325">
        <f>SUM(C21:P21)</f>
        <v>23263399.312978733</v>
      </c>
      <c r="S21" s="325"/>
      <c r="T21" s="325">
        <f>+R21*1.16</f>
        <v>26985543.20305533</v>
      </c>
      <c r="U21" s="325"/>
      <c r="V21" s="325">
        <f>+R21/$E$38</f>
        <v>1287404.4998881423</v>
      </c>
      <c r="W21" s="325"/>
      <c r="X21" s="325">
        <f>+V21*1.16</f>
        <v>1493389.2198702451</v>
      </c>
    </row>
    <row r="22" spans="1:24" ht="23.15" customHeight="1" thickBot="1" x14ac:dyDescent="0.4">
      <c r="A22" s="334"/>
      <c r="C22" s="331"/>
      <c r="D22" s="331"/>
      <c r="E22" s="331"/>
      <c r="F22" s="331"/>
      <c r="G22" s="331"/>
      <c r="H22" s="331"/>
      <c r="I22" s="331"/>
      <c r="J22" s="331"/>
      <c r="K22" s="331"/>
      <c r="L22" s="331"/>
      <c r="M22" s="331"/>
      <c r="N22" s="331"/>
      <c r="O22" s="331"/>
      <c r="P22" s="331"/>
      <c r="Q22" s="322"/>
      <c r="R22" s="325"/>
      <c r="S22" s="325"/>
      <c r="T22" s="325"/>
      <c r="U22" s="325"/>
      <c r="V22" s="325"/>
      <c r="W22" s="325"/>
      <c r="X22" s="325"/>
    </row>
    <row r="23" spans="1:24" ht="23.15" customHeight="1" thickBot="1" x14ac:dyDescent="0.4">
      <c r="A23" s="335" t="s">
        <v>343</v>
      </c>
      <c r="C23" s="338">
        <f>+C21*1.16</f>
        <v>23545554.401701853</v>
      </c>
      <c r="D23" s="339">
        <f t="shared" ref="D23:P23" si="7">+D21*1.16</f>
        <v>3439988.8013534728</v>
      </c>
      <c r="E23" s="339">
        <f t="shared" si="7"/>
        <v>0</v>
      </c>
      <c r="F23" s="339">
        <f t="shared" si="7"/>
        <v>0</v>
      </c>
      <c r="G23" s="339">
        <f t="shared" si="7"/>
        <v>0</v>
      </c>
      <c r="H23" s="339">
        <f t="shared" si="7"/>
        <v>0</v>
      </c>
      <c r="I23" s="339">
        <f t="shared" si="7"/>
        <v>0</v>
      </c>
      <c r="J23" s="339">
        <f t="shared" si="7"/>
        <v>0</v>
      </c>
      <c r="K23" s="339">
        <f t="shared" si="7"/>
        <v>0</v>
      </c>
      <c r="L23" s="339">
        <f t="shared" si="7"/>
        <v>0</v>
      </c>
      <c r="M23" s="339">
        <f t="shared" si="7"/>
        <v>0</v>
      </c>
      <c r="N23" s="339">
        <f t="shared" si="7"/>
        <v>0</v>
      </c>
      <c r="O23" s="339">
        <f t="shared" si="7"/>
        <v>0</v>
      </c>
      <c r="P23" s="339">
        <f t="shared" si="7"/>
        <v>0</v>
      </c>
      <c r="Q23" s="322"/>
      <c r="R23" s="325">
        <f>SUM(C23:P23)</f>
        <v>26985543.203055326</v>
      </c>
      <c r="S23" s="325"/>
      <c r="T23" s="325">
        <f>+R23*1.16</f>
        <v>31303230.115544178</v>
      </c>
      <c r="U23" s="325"/>
      <c r="V23" s="325">
        <f>+R23/$E$38</f>
        <v>1493389.2198702449</v>
      </c>
      <c r="W23" s="325"/>
      <c r="X23" s="325">
        <f>+V23*1.16</f>
        <v>1732331.4950494838</v>
      </c>
    </row>
    <row r="24" spans="1:24" ht="23.15" customHeight="1" thickBot="1" x14ac:dyDescent="0.4">
      <c r="A24" s="330"/>
      <c r="C24" s="331"/>
      <c r="D24" s="331"/>
      <c r="E24" s="331"/>
      <c r="F24" s="331"/>
      <c r="G24" s="331"/>
      <c r="H24" s="331"/>
      <c r="I24" s="331"/>
      <c r="J24" s="331"/>
      <c r="K24" s="331"/>
      <c r="L24" s="331"/>
      <c r="M24" s="331"/>
      <c r="N24" s="331"/>
      <c r="O24" s="331"/>
      <c r="P24" s="331"/>
      <c r="Q24" s="322"/>
      <c r="R24" s="331"/>
      <c r="S24" s="331"/>
      <c r="T24" s="331"/>
      <c r="U24" s="331"/>
      <c r="V24" s="331"/>
      <c r="W24" s="331"/>
      <c r="X24" s="331"/>
    </row>
    <row r="25" spans="1:24" ht="23.15" customHeight="1" thickBot="1" x14ac:dyDescent="0.4">
      <c r="A25" s="340" t="s">
        <v>34</v>
      </c>
      <c r="C25" s="341">
        <f>C12-C21</f>
        <v>-2514659.1923050471</v>
      </c>
      <c r="D25" s="342">
        <f t="shared" ref="D25:P25" si="8">D12-D21</f>
        <v>17801422.204026315</v>
      </c>
      <c r="E25" s="342">
        <f t="shared" si="8"/>
        <v>0</v>
      </c>
      <c r="F25" s="342">
        <f t="shared" si="8"/>
        <v>0</v>
      </c>
      <c r="G25" s="342">
        <f t="shared" si="8"/>
        <v>0</v>
      </c>
      <c r="H25" s="342">
        <f t="shared" si="8"/>
        <v>0</v>
      </c>
      <c r="I25" s="342">
        <f t="shared" si="8"/>
        <v>0</v>
      </c>
      <c r="J25" s="342">
        <f t="shared" si="8"/>
        <v>0</v>
      </c>
      <c r="K25" s="342">
        <f t="shared" si="8"/>
        <v>0</v>
      </c>
      <c r="L25" s="342">
        <f t="shared" si="8"/>
        <v>0</v>
      </c>
      <c r="M25" s="342">
        <f t="shared" si="8"/>
        <v>0</v>
      </c>
      <c r="N25" s="342">
        <f t="shared" si="8"/>
        <v>0</v>
      </c>
      <c r="O25" s="342">
        <f t="shared" si="8"/>
        <v>0</v>
      </c>
      <c r="P25" s="342">
        <f t="shared" si="8"/>
        <v>0</v>
      </c>
      <c r="Q25" s="322"/>
      <c r="R25" s="331"/>
      <c r="S25" s="331"/>
      <c r="T25" s="331"/>
      <c r="U25" s="331"/>
      <c r="V25" s="331"/>
      <c r="W25" s="331"/>
      <c r="X25" s="331"/>
    </row>
    <row r="26" spans="1:24" ht="23.15" customHeight="1" thickBot="1" x14ac:dyDescent="0.4">
      <c r="A26" s="330"/>
      <c r="C26" s="331"/>
      <c r="D26" s="331"/>
      <c r="E26" s="331"/>
      <c r="F26" s="331"/>
      <c r="G26" s="331"/>
      <c r="H26" s="331"/>
      <c r="I26" s="331"/>
      <c r="J26" s="331"/>
      <c r="K26" s="331"/>
      <c r="L26" s="331"/>
      <c r="M26" s="331"/>
      <c r="N26" s="331"/>
      <c r="O26" s="331"/>
      <c r="P26" s="331"/>
      <c r="Q26" s="322"/>
      <c r="R26" s="331"/>
      <c r="S26" s="331"/>
      <c r="T26" s="331"/>
      <c r="U26" s="331"/>
      <c r="V26" s="331"/>
      <c r="W26" s="331"/>
      <c r="X26" s="331"/>
    </row>
    <row r="27" spans="1:24" ht="23.15" customHeight="1" thickBot="1" x14ac:dyDescent="0.4">
      <c r="A27" s="340" t="s">
        <v>61</v>
      </c>
      <c r="C27" s="341">
        <f>+C25*1.16</f>
        <v>-2917004.6630738545</v>
      </c>
      <c r="D27" s="342">
        <f t="shared" ref="D27:N27" si="9">+D25*1.16</f>
        <v>20649649.756670523</v>
      </c>
      <c r="E27" s="342">
        <f t="shared" si="9"/>
        <v>0</v>
      </c>
      <c r="F27" s="342">
        <f t="shared" si="9"/>
        <v>0</v>
      </c>
      <c r="G27" s="342">
        <f t="shared" si="9"/>
        <v>0</v>
      </c>
      <c r="H27" s="342">
        <f t="shared" si="9"/>
        <v>0</v>
      </c>
      <c r="I27" s="342">
        <f t="shared" si="9"/>
        <v>0</v>
      </c>
      <c r="J27" s="342">
        <f t="shared" si="9"/>
        <v>0</v>
      </c>
      <c r="K27" s="342">
        <f t="shared" si="9"/>
        <v>0</v>
      </c>
      <c r="L27" s="342">
        <f t="shared" si="9"/>
        <v>0</v>
      </c>
      <c r="M27" s="342">
        <f t="shared" si="9"/>
        <v>0</v>
      </c>
      <c r="N27" s="342">
        <f t="shared" si="9"/>
        <v>0</v>
      </c>
      <c r="O27" s="342">
        <f>+O25*1.16</f>
        <v>0</v>
      </c>
      <c r="P27" s="342">
        <f>+P25*1.16</f>
        <v>0</v>
      </c>
      <c r="Q27" s="322"/>
      <c r="R27" s="331"/>
      <c r="S27" s="331"/>
      <c r="T27" s="331"/>
      <c r="U27" s="331"/>
      <c r="V27" s="331"/>
      <c r="W27" s="331"/>
      <c r="X27" s="331"/>
    </row>
    <row r="28" spans="1:24" ht="23.15" customHeight="1" x14ac:dyDescent="0.35">
      <c r="A28" s="330"/>
      <c r="C28" s="343"/>
      <c r="D28" s="343"/>
      <c r="E28" s="343"/>
      <c r="F28" s="343"/>
      <c r="G28" s="343"/>
      <c r="H28" s="343"/>
      <c r="I28" s="343"/>
      <c r="J28" s="343"/>
      <c r="K28" s="343"/>
      <c r="L28" s="343"/>
      <c r="M28" s="343"/>
      <c r="N28" s="343"/>
      <c r="O28" s="343"/>
      <c r="P28" s="343"/>
      <c r="Q28" s="322"/>
      <c r="R28" s="331"/>
      <c r="S28" s="331"/>
      <c r="T28" s="331"/>
      <c r="U28" s="331"/>
      <c r="V28" s="331"/>
      <c r="W28" s="331"/>
      <c r="X28" s="331"/>
    </row>
    <row r="29" spans="1:24" ht="23.15" customHeight="1" x14ac:dyDescent="0.35">
      <c r="A29" s="322" t="s">
        <v>35</v>
      </c>
      <c r="C29" s="343">
        <f>+C25</f>
        <v>-2514659.1923050471</v>
      </c>
      <c r="D29" s="343">
        <f>+D25+C29</f>
        <v>15286763.011721268</v>
      </c>
      <c r="E29" s="343">
        <f t="shared" ref="E29:P29" si="10">+E25+D29</f>
        <v>15286763.011721268</v>
      </c>
      <c r="F29" s="343">
        <f t="shared" si="10"/>
        <v>15286763.011721268</v>
      </c>
      <c r="G29" s="343">
        <f t="shared" si="10"/>
        <v>15286763.011721268</v>
      </c>
      <c r="H29" s="343">
        <f t="shared" si="10"/>
        <v>15286763.011721268</v>
      </c>
      <c r="I29" s="343">
        <f t="shared" si="10"/>
        <v>15286763.011721268</v>
      </c>
      <c r="J29" s="343">
        <f t="shared" si="10"/>
        <v>15286763.011721268</v>
      </c>
      <c r="K29" s="343">
        <f t="shared" si="10"/>
        <v>15286763.011721268</v>
      </c>
      <c r="L29" s="343">
        <f t="shared" si="10"/>
        <v>15286763.011721268</v>
      </c>
      <c r="M29" s="343">
        <f t="shared" si="10"/>
        <v>15286763.011721268</v>
      </c>
      <c r="N29" s="343">
        <f t="shared" si="10"/>
        <v>15286763.011721268</v>
      </c>
      <c r="O29" s="343">
        <f t="shared" si="10"/>
        <v>15286763.011721268</v>
      </c>
      <c r="P29" s="343">
        <f t="shared" si="10"/>
        <v>15286763.011721268</v>
      </c>
      <c r="Q29" s="322"/>
      <c r="R29" s="331"/>
      <c r="S29" s="331"/>
      <c r="T29" s="331"/>
      <c r="U29" s="331"/>
      <c r="V29" s="331"/>
      <c r="W29" s="331"/>
      <c r="X29" s="331"/>
    </row>
    <row r="30" spans="1:24" ht="23.15" customHeight="1" x14ac:dyDescent="0.35">
      <c r="A30" s="330"/>
      <c r="C30" s="343"/>
      <c r="D30" s="343"/>
      <c r="E30" s="343"/>
      <c r="F30" s="343"/>
      <c r="G30" s="343"/>
      <c r="H30" s="343"/>
      <c r="I30" s="343"/>
      <c r="J30" s="343"/>
      <c r="K30" s="343"/>
      <c r="L30" s="343"/>
      <c r="M30" s="343"/>
      <c r="N30" s="343"/>
      <c r="O30" s="343"/>
      <c r="P30" s="343"/>
      <c r="Q30" s="322"/>
      <c r="R30" s="331"/>
      <c r="S30" s="331"/>
      <c r="T30" s="331"/>
      <c r="U30" s="331"/>
      <c r="V30" s="331"/>
      <c r="W30" s="331"/>
      <c r="X30" s="331"/>
    </row>
    <row r="31" spans="1:24" ht="23.15" customHeight="1" x14ac:dyDescent="0.35">
      <c r="A31" s="322" t="s">
        <v>62</v>
      </c>
      <c r="C31" s="343">
        <f>+C29*1.16</f>
        <v>-2917004.6630738545</v>
      </c>
      <c r="D31" s="343">
        <f t="shared" ref="D31:P31" si="11">+D29*1.16</f>
        <v>17732645.093596671</v>
      </c>
      <c r="E31" s="343">
        <f t="shared" si="11"/>
        <v>17732645.093596671</v>
      </c>
      <c r="F31" s="343">
        <f t="shared" si="11"/>
        <v>17732645.093596671</v>
      </c>
      <c r="G31" s="343">
        <f t="shared" si="11"/>
        <v>17732645.093596671</v>
      </c>
      <c r="H31" s="343">
        <f t="shared" si="11"/>
        <v>17732645.093596671</v>
      </c>
      <c r="I31" s="343">
        <f t="shared" si="11"/>
        <v>17732645.093596671</v>
      </c>
      <c r="J31" s="343">
        <f t="shared" si="11"/>
        <v>17732645.093596671</v>
      </c>
      <c r="K31" s="343">
        <f t="shared" si="11"/>
        <v>17732645.093596671</v>
      </c>
      <c r="L31" s="343">
        <f t="shared" si="11"/>
        <v>17732645.093596671</v>
      </c>
      <c r="M31" s="343">
        <f t="shared" si="11"/>
        <v>17732645.093596671</v>
      </c>
      <c r="N31" s="343">
        <f t="shared" si="11"/>
        <v>17732645.093596671</v>
      </c>
      <c r="O31" s="343">
        <f t="shared" si="11"/>
        <v>17732645.093596671</v>
      </c>
      <c r="P31" s="343">
        <f t="shared" si="11"/>
        <v>17732645.093596671</v>
      </c>
      <c r="Q31" s="322"/>
      <c r="R31" s="331"/>
      <c r="S31" s="331"/>
      <c r="T31" s="331"/>
      <c r="U31" s="331"/>
      <c r="V31" s="331"/>
      <c r="W31" s="331"/>
      <c r="X31" s="331"/>
    </row>
    <row r="32" spans="1:24" ht="23.15" customHeight="1" thickBot="1" x14ac:dyDescent="0.4">
      <c r="Q32" s="322"/>
    </row>
    <row r="33" spans="3:18" ht="23.15" customHeight="1" x14ac:dyDescent="0.35">
      <c r="C33" s="384" t="s">
        <v>405</v>
      </c>
      <c r="D33" s="385">
        <f>AVERAGE(C17:P17)</f>
        <v>467785.83985977445</v>
      </c>
      <c r="E33" s="344"/>
      <c r="F33" s="344"/>
      <c r="G33" s="344"/>
      <c r="H33" s="344"/>
      <c r="I33" s="344"/>
      <c r="J33" s="344"/>
      <c r="K33" s="344"/>
      <c r="L33" s="344"/>
      <c r="M33" s="344"/>
      <c r="N33" s="344"/>
      <c r="O33" s="344"/>
      <c r="P33" s="344"/>
      <c r="Q33" s="322"/>
      <c r="R33" s="344"/>
    </row>
    <row r="34" spans="3:18" ht="23.15" customHeight="1" x14ac:dyDescent="0.35">
      <c r="C34" s="386" t="s">
        <v>33</v>
      </c>
      <c r="D34" s="387">
        <f>SUM(C19:G19)</f>
        <v>16714397.554941889</v>
      </c>
      <c r="Q34" s="322"/>
    </row>
    <row r="35" spans="3:18" ht="23.15" customHeight="1" thickBot="1" x14ac:dyDescent="0.4">
      <c r="C35" s="388" t="s">
        <v>406</v>
      </c>
      <c r="D35" s="389">
        <f>SUM(C17:P17)</f>
        <v>6549001.7580368426</v>
      </c>
      <c r="K35" s="345"/>
      <c r="L35" s="326"/>
      <c r="Q35" s="322"/>
    </row>
    <row r="36" spans="3:18" ht="23.15" customHeight="1" x14ac:dyDescent="0.35">
      <c r="Q36" s="322"/>
    </row>
    <row r="37" spans="3:18" ht="23.15" customHeight="1" x14ac:dyDescent="0.35">
      <c r="C37" s="442" t="s">
        <v>39</v>
      </c>
      <c r="D37" s="442"/>
      <c r="E37" s="442"/>
      <c r="G37" s="345" t="s">
        <v>386</v>
      </c>
      <c r="H37" s="345"/>
      <c r="I37" s="345"/>
      <c r="J37" s="345"/>
    </row>
    <row r="38" spans="3:18" ht="23.15" customHeight="1" x14ac:dyDescent="0.35">
      <c r="C38" s="440" t="s">
        <v>40</v>
      </c>
      <c r="D38" s="440"/>
      <c r="E38" s="354">
        <f>PREMISAS!D18</f>
        <v>18.07</v>
      </c>
      <c r="F38" s="345"/>
      <c r="G38" s="345"/>
      <c r="H38" s="354"/>
      <c r="I38" s="353" t="s">
        <v>41</v>
      </c>
      <c r="J38" s="354">
        <f>SUM(R12)/1000000</f>
        <v>38.550162324699997</v>
      </c>
    </row>
    <row r="39" spans="3:18" ht="23.15" customHeight="1" x14ac:dyDescent="0.35">
      <c r="C39" s="440"/>
      <c r="D39" s="440"/>
      <c r="E39" s="354"/>
      <c r="F39" s="345" t="s">
        <v>65</v>
      </c>
      <c r="G39" s="355"/>
      <c r="H39" s="355"/>
      <c r="I39" s="353" t="s">
        <v>42</v>
      </c>
      <c r="J39" s="354">
        <f>SUM(R21)/1000000</f>
        <v>23.263399312978734</v>
      </c>
    </row>
    <row r="40" spans="3:18" ht="18" customHeight="1" x14ac:dyDescent="0.35">
      <c r="C40" s="440"/>
      <c r="D40" s="440"/>
      <c r="E40" s="354"/>
      <c r="F40" s="345" t="s">
        <v>65</v>
      </c>
      <c r="G40" s="355"/>
      <c r="H40" s="355"/>
      <c r="I40" s="353"/>
      <c r="J40" s="354"/>
    </row>
    <row r="41" spans="3:18" ht="18" customHeight="1" x14ac:dyDescent="0.35">
      <c r="C41" s="440" t="s">
        <v>88</v>
      </c>
      <c r="D41" s="440"/>
      <c r="E41" s="354"/>
      <c r="F41" s="345" t="s">
        <v>65</v>
      </c>
      <c r="G41" s="355"/>
      <c r="H41" s="355"/>
      <c r="I41" s="353"/>
      <c r="J41" s="354"/>
    </row>
    <row r="42" spans="3:18" ht="18" customHeight="1" x14ac:dyDescent="0.35">
      <c r="C42" s="440" t="s">
        <v>84</v>
      </c>
      <c r="D42" s="440"/>
      <c r="E42" s="354"/>
      <c r="F42" s="345" t="s">
        <v>65</v>
      </c>
      <c r="G42" s="354"/>
      <c r="H42" s="355"/>
      <c r="I42" s="353"/>
      <c r="J42" s="354"/>
    </row>
    <row r="43" spans="3:18" ht="18" customHeight="1" x14ac:dyDescent="0.35">
      <c r="C43" s="440" t="s">
        <v>89</v>
      </c>
      <c r="D43" s="440"/>
      <c r="E43" s="354"/>
      <c r="F43" s="345" t="s">
        <v>90</v>
      </c>
      <c r="G43" s="354"/>
      <c r="H43" s="355"/>
      <c r="I43" s="353"/>
      <c r="J43" s="354"/>
    </row>
    <row r="44" spans="3:18" ht="18" customHeight="1" x14ac:dyDescent="0.35">
      <c r="C44" s="440" t="s">
        <v>87</v>
      </c>
      <c r="D44" s="440"/>
      <c r="E44" s="354"/>
      <c r="F44" s="345" t="s">
        <v>65</v>
      </c>
      <c r="G44" s="345"/>
      <c r="H44" s="355"/>
      <c r="I44" s="353"/>
      <c r="J44" s="354"/>
    </row>
    <row r="45" spans="3:18" ht="18" customHeight="1" x14ac:dyDescent="0.35">
      <c r="C45" s="440" t="s">
        <v>55</v>
      </c>
      <c r="D45" s="440"/>
      <c r="E45" s="354"/>
      <c r="F45" s="345" t="s">
        <v>65</v>
      </c>
      <c r="G45" s="345"/>
      <c r="H45" s="355"/>
      <c r="I45" s="353"/>
      <c r="J45" s="354"/>
    </row>
    <row r="46" spans="3:18" ht="18" customHeight="1" x14ac:dyDescent="0.35">
      <c r="C46" s="440"/>
      <c r="D46" s="440"/>
      <c r="E46" s="354"/>
      <c r="F46" s="345"/>
      <c r="G46" s="345"/>
      <c r="H46" s="345"/>
      <c r="I46" s="353"/>
      <c r="J46" s="356"/>
    </row>
    <row r="47" spans="3:18" ht="18" customHeight="1" x14ac:dyDescent="0.35">
      <c r="C47" s="440" t="s">
        <v>80</v>
      </c>
      <c r="D47" s="440"/>
      <c r="E47" s="354"/>
      <c r="F47" s="345" t="s">
        <v>65</v>
      </c>
      <c r="G47" s="345" t="s">
        <v>43</v>
      </c>
      <c r="H47" s="354">
        <f>(R12-R21)/1000000</f>
        <v>15.286763011721265</v>
      </c>
      <c r="I47" s="353" t="s">
        <v>44</v>
      </c>
      <c r="J47" s="354">
        <f>H47/E51</f>
        <v>10.19117534114751</v>
      </c>
    </row>
    <row r="48" spans="3:18" ht="18" customHeight="1" x14ac:dyDescent="0.35">
      <c r="C48" s="440" t="s">
        <v>64</v>
      </c>
      <c r="D48" s="440"/>
      <c r="E48" s="346">
        <f>MIN(C31:P31)</f>
        <v>-2917004.6630738545</v>
      </c>
      <c r="F48" s="345"/>
      <c r="G48" s="345" t="s">
        <v>45</v>
      </c>
      <c r="H48" s="354">
        <f>(NPV(E49/18,D25:P25))/1000000</f>
        <v>17.68353199075462</v>
      </c>
      <c r="I48" s="353" t="s">
        <v>46</v>
      </c>
      <c r="J48" s="354">
        <f>H48/E51</f>
        <v>11.789021327169747</v>
      </c>
    </row>
    <row r="49" spans="3:10" ht="18" customHeight="1" x14ac:dyDescent="0.35">
      <c r="C49" s="440" t="s">
        <v>47</v>
      </c>
      <c r="D49" s="440"/>
      <c r="E49" s="357">
        <v>0.12</v>
      </c>
      <c r="F49" s="345"/>
      <c r="G49" s="345" t="s">
        <v>48</v>
      </c>
      <c r="H49" s="354">
        <f>(NPV(E49/18,D19:P19))/1000000</f>
        <v>0</v>
      </c>
      <c r="I49" s="345"/>
      <c r="J49" s="345"/>
    </row>
    <row r="50" spans="3:10" ht="18" customHeight="1" x14ac:dyDescent="0.35">
      <c r="C50" s="440" t="s">
        <v>79</v>
      </c>
      <c r="D50" s="440"/>
      <c r="E50" s="353"/>
      <c r="F50" s="345"/>
      <c r="G50" s="345" t="s">
        <v>51</v>
      </c>
      <c r="H50" s="353"/>
      <c r="I50" s="345" t="s">
        <v>52</v>
      </c>
      <c r="J50" s="345"/>
    </row>
    <row r="51" spans="3:10" ht="18" customHeight="1" x14ac:dyDescent="0.35">
      <c r="C51" s="440" t="s">
        <v>53</v>
      </c>
      <c r="D51" s="440"/>
      <c r="E51" s="358">
        <v>1.5</v>
      </c>
      <c r="F51" s="345"/>
      <c r="G51" s="345" t="s">
        <v>49</v>
      </c>
      <c r="H51" s="347" t="e">
        <f>XIRR(D25:P25,D4:P4)</f>
        <v>#VALUE!</v>
      </c>
      <c r="I51" s="345" t="s">
        <v>383</v>
      </c>
      <c r="J51" s="345"/>
    </row>
    <row r="52" spans="3:10" ht="18" customHeight="1" x14ac:dyDescent="0.35">
      <c r="C52" s="440"/>
      <c r="D52" s="440"/>
      <c r="E52" s="353"/>
      <c r="F52" s="345"/>
      <c r="G52" s="345" t="s">
        <v>54</v>
      </c>
      <c r="H52" s="357">
        <f>+H47/J38</f>
        <v>0.39654211785060828</v>
      </c>
      <c r="I52" s="345"/>
      <c r="J52" s="345"/>
    </row>
    <row r="53" spans="3:10" ht="18" customHeight="1" x14ac:dyDescent="0.35">
      <c r="C53" s="440" t="s">
        <v>384</v>
      </c>
      <c r="D53" s="440"/>
      <c r="E53" s="354">
        <f>((AVERAGE(C17:P17)/1000000))</f>
        <v>0.46778583985977445</v>
      </c>
      <c r="F53" s="345"/>
      <c r="G53" s="345"/>
      <c r="H53" s="353"/>
      <c r="I53" s="345"/>
      <c r="J53" s="345"/>
    </row>
    <row r="54" spans="3:10" ht="18" customHeight="1" x14ac:dyDescent="0.35">
      <c r="C54" s="440" t="s">
        <v>385</v>
      </c>
      <c r="D54" s="440"/>
      <c r="E54" s="354">
        <f>R19/1000000</f>
        <v>16.71439755494189</v>
      </c>
      <c r="F54" s="345"/>
      <c r="G54" s="345" t="s">
        <v>50</v>
      </c>
      <c r="H54" s="359" t="e">
        <f>H48/H49</f>
        <v>#DIV/0!</v>
      </c>
      <c r="I54" s="345"/>
      <c r="J54" s="345"/>
    </row>
  </sheetData>
  <mergeCells count="22">
    <mergeCell ref="X4:X5"/>
    <mergeCell ref="V4:V5"/>
    <mergeCell ref="C37:E37"/>
    <mergeCell ref="R4:R5"/>
    <mergeCell ref="T4:T5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53:D53"/>
    <mergeCell ref="C54:D54"/>
    <mergeCell ref="C48:D48"/>
    <mergeCell ref="C49:D49"/>
    <mergeCell ref="C50:D50"/>
    <mergeCell ref="C51:D51"/>
    <mergeCell ref="C52:D52"/>
  </mergeCells>
  <phoneticPr fontId="8" type="noConversion"/>
  <conditionalFormatting sqref="C25:P25">
    <cfRule type="cellIs" dxfId="3" priority="18" operator="greaterThan">
      <formula>0</formula>
    </cfRule>
    <cfRule type="cellIs" dxfId="2" priority="58" operator="lessThan">
      <formula>0</formula>
    </cfRule>
  </conditionalFormatting>
  <conditionalFormatting sqref="C27:P31">
    <cfRule type="cellIs" dxfId="1" priority="5" operator="greaterThan">
      <formula>0</formula>
    </cfRule>
    <cfRule type="cellIs" dxfId="0" priority="6" operator="lessThan">
      <formula>0</formula>
    </cfRule>
  </conditionalFormatting>
  <pageMargins left="0.75" right="0.75" top="1" bottom="1" header="0.5" footer="0.5"/>
  <pageSetup orientation="portrait" horizontalDpi="4294967292" verticalDpi="4294967292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2060"/>
    <pageSetUpPr fitToPage="1"/>
  </sheetPr>
  <dimension ref="A2:Y67"/>
  <sheetViews>
    <sheetView zoomScale="72" zoomScaleNormal="60" zoomScaleSheetLayoutView="40" zoomScalePageLayoutView="50" workbookViewId="0">
      <pane xSplit="2" ySplit="6" topLeftCell="C27" activePane="bottomRight" state="frozen"/>
      <selection activeCell="I22" sqref="I22"/>
      <selection pane="topRight" activeCell="I22" sqref="I22"/>
      <selection pane="bottomLeft" activeCell="I22" sqref="I22"/>
      <selection pane="bottomRight" activeCell="D33" sqref="D33:E33"/>
    </sheetView>
  </sheetViews>
  <sheetFormatPr baseColWidth="10" defaultColWidth="10.5" defaultRowHeight="23.15" customHeight="1" x14ac:dyDescent="0.45"/>
  <cols>
    <col min="1" max="1" width="3.5" style="62" customWidth="1"/>
    <col min="2" max="2" width="52.33203125" style="82" bestFit="1" customWidth="1"/>
    <col min="3" max="3" width="2.83203125" style="62" customWidth="1"/>
    <col min="4" max="4" width="22.58203125" style="62" customWidth="1"/>
    <col min="5" max="5" width="18.33203125" style="62" customWidth="1"/>
    <col min="6" max="6" width="18.83203125" style="62" customWidth="1"/>
    <col min="7" max="10" width="18.5" style="62" customWidth="1"/>
    <col min="11" max="12" width="18" style="62" customWidth="1"/>
    <col min="13" max="16" width="18.33203125" style="62" customWidth="1"/>
    <col min="17" max="17" width="18" style="62" customWidth="1"/>
    <col min="18" max="18" width="28" style="62" bestFit="1" customWidth="1"/>
    <col min="19" max="19" width="2.08203125" style="62" customWidth="1"/>
    <col min="20" max="20" width="27.5" style="62" bestFit="1" customWidth="1"/>
    <col min="21" max="21" width="8.08203125" style="63" customWidth="1"/>
    <col min="22" max="22" width="18.33203125" style="63" bestFit="1" customWidth="1"/>
    <col min="23" max="23" width="16.83203125" style="63" bestFit="1" customWidth="1"/>
    <col min="24" max="24" width="14.33203125" style="63" bestFit="1" customWidth="1"/>
    <col min="25" max="25" width="16.58203125" style="63" bestFit="1" customWidth="1"/>
    <col min="26" max="16384" width="10.5" style="63"/>
  </cols>
  <sheetData>
    <row r="2" spans="1:25" ht="23.15" customHeight="1" x14ac:dyDescent="0.45">
      <c r="A2" s="450" t="s">
        <v>16</v>
      </c>
      <c r="B2" s="450"/>
    </row>
    <row r="3" spans="1:25" ht="23.15" customHeight="1" x14ac:dyDescent="0.45">
      <c r="A3" s="450"/>
      <c r="B3" s="450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U3" s="64"/>
    </row>
    <row r="4" spans="1:25" s="65" customFormat="1" ht="23.15" customHeight="1" x14ac:dyDescent="0.45">
      <c r="A4" s="450"/>
      <c r="B4" s="450"/>
      <c r="C4" s="62"/>
      <c r="D4" s="283" t="s">
        <v>84</v>
      </c>
      <c r="E4" s="283" t="s">
        <v>84</v>
      </c>
      <c r="F4" s="284" t="s">
        <v>66</v>
      </c>
      <c r="G4" s="283" t="s">
        <v>67</v>
      </c>
      <c r="H4" s="283" t="s">
        <v>68</v>
      </c>
      <c r="I4" s="283" t="s">
        <v>69</v>
      </c>
      <c r="J4" s="283" t="s">
        <v>70</v>
      </c>
      <c r="K4" s="283" t="s">
        <v>71</v>
      </c>
      <c r="L4" s="283" t="s">
        <v>72</v>
      </c>
      <c r="M4" s="283" t="s">
        <v>73</v>
      </c>
      <c r="N4" s="283" t="s">
        <v>74</v>
      </c>
      <c r="O4" s="283" t="s">
        <v>75</v>
      </c>
      <c r="P4" s="283" t="s">
        <v>76</v>
      </c>
      <c r="Q4" s="283" t="s">
        <v>77</v>
      </c>
      <c r="U4" s="64"/>
    </row>
    <row r="5" spans="1:25" s="66" customFormat="1" ht="23.15" customHeight="1" x14ac:dyDescent="0.45">
      <c r="A5" s="450"/>
      <c r="B5" s="450"/>
      <c r="C5" s="62"/>
      <c r="D5" s="285" t="s">
        <v>391</v>
      </c>
      <c r="E5" s="285" t="s">
        <v>392</v>
      </c>
      <c r="F5" s="285" t="s">
        <v>393</v>
      </c>
      <c r="G5" s="285" t="s">
        <v>394</v>
      </c>
      <c r="H5" s="285" t="s">
        <v>395</v>
      </c>
      <c r="I5" s="285" t="s">
        <v>396</v>
      </c>
      <c r="J5" s="285" t="s">
        <v>397</v>
      </c>
      <c r="K5" s="285" t="s">
        <v>398</v>
      </c>
      <c r="L5" s="285" t="s">
        <v>399</v>
      </c>
      <c r="M5" s="285" t="s">
        <v>400</v>
      </c>
      <c r="N5" s="285" t="s">
        <v>401</v>
      </c>
      <c r="O5" s="285" t="s">
        <v>402</v>
      </c>
      <c r="P5" s="285" t="s">
        <v>391</v>
      </c>
      <c r="Q5" s="285" t="s">
        <v>392</v>
      </c>
      <c r="R5" s="446" t="s">
        <v>31</v>
      </c>
      <c r="T5" s="446" t="s">
        <v>36</v>
      </c>
      <c r="U5" s="64"/>
    </row>
    <row r="6" spans="1:25" s="17" customFormat="1" ht="23.15" customHeight="1" x14ac:dyDescent="0.45">
      <c r="A6" s="450"/>
      <c r="B6" s="450"/>
      <c r="C6" s="62"/>
      <c r="D6" s="286">
        <v>30</v>
      </c>
      <c r="E6" s="286">
        <v>31</v>
      </c>
      <c r="F6" s="286">
        <v>20</v>
      </c>
      <c r="G6" s="286">
        <v>31</v>
      </c>
      <c r="H6" s="286">
        <v>31</v>
      </c>
      <c r="I6" s="286">
        <v>30</v>
      </c>
      <c r="J6" s="286">
        <v>31</v>
      </c>
      <c r="K6" s="286">
        <v>30</v>
      </c>
      <c r="L6" s="286">
        <v>31</v>
      </c>
      <c r="M6" s="286">
        <v>30</v>
      </c>
      <c r="N6" s="286">
        <v>31</v>
      </c>
      <c r="O6" s="286">
        <v>30</v>
      </c>
      <c r="P6" s="286">
        <v>31</v>
      </c>
      <c r="Q6" s="286">
        <v>31</v>
      </c>
      <c r="R6" s="446"/>
      <c r="T6" s="446"/>
      <c r="U6" s="64"/>
    </row>
    <row r="7" spans="1:25" ht="23.15" customHeight="1" x14ac:dyDescent="0.45">
      <c r="B7" s="67"/>
      <c r="R7" s="63"/>
      <c r="S7" s="63"/>
      <c r="T7" s="63"/>
      <c r="U7" s="64"/>
    </row>
    <row r="8" spans="1:25" s="68" customFormat="1" ht="23.15" customHeight="1" x14ac:dyDescent="0.45">
      <c r="A8" s="447" t="s">
        <v>370</v>
      </c>
      <c r="B8" s="447"/>
      <c r="C8" s="62"/>
      <c r="D8" s="69">
        <f>'F00 INVERSIÓN'!L43</f>
        <v>16714397.554941889</v>
      </c>
      <c r="E8" s="69">
        <f>'F00 INVERSIÓN'!M43</f>
        <v>0</v>
      </c>
      <c r="F8" s="69">
        <f>'F00 INVERSIÓN'!N43</f>
        <v>0</v>
      </c>
      <c r="G8" s="69">
        <f>'F00 INVERSIÓN'!O43</f>
        <v>0</v>
      </c>
      <c r="H8" s="69">
        <f>'F00 INVERSIÓN'!P43</f>
        <v>0</v>
      </c>
      <c r="I8" s="69">
        <f>'F00 INVERSIÓN'!Q43</f>
        <v>0</v>
      </c>
      <c r="J8" s="69">
        <f>'F00 INVERSIÓN'!R43</f>
        <v>0</v>
      </c>
      <c r="K8" s="69">
        <f>'F00 INVERSIÓN'!S43</f>
        <v>0</v>
      </c>
      <c r="L8" s="69">
        <f>'F00 INVERSIÓN'!T43</f>
        <v>0</v>
      </c>
      <c r="M8" s="69">
        <f>'F00 INVERSIÓN'!U43</f>
        <v>0</v>
      </c>
      <c r="N8" s="69">
        <f>'F00 INVERSIÓN'!V43</f>
        <v>0</v>
      </c>
      <c r="O8" s="69">
        <f>'F00 INVERSIÓN'!W43</f>
        <v>0</v>
      </c>
      <c r="P8" s="69">
        <f>'F00 INVERSIÓN'!X43</f>
        <v>0</v>
      </c>
      <c r="Q8" s="69">
        <f>'F00 INVERSIÓN'!Y43</f>
        <v>0</v>
      </c>
      <c r="R8" s="70">
        <f>SUM(D8:Q8)</f>
        <v>16714397.554941889</v>
      </c>
      <c r="S8" s="71"/>
      <c r="T8" s="70">
        <f>R8/$E$42</f>
        <v>924980.4955695566</v>
      </c>
      <c r="U8" s="64"/>
      <c r="V8" s="72">
        <f>'F00 INVERSIÓN'!L45</f>
        <v>16714397.554941889</v>
      </c>
      <c r="W8" s="73">
        <f>SERVICIO!B13</f>
        <v>16714397.554941889</v>
      </c>
      <c r="X8" s="72">
        <f>V8-R8</f>
        <v>0</v>
      </c>
      <c r="Y8" s="72">
        <f>V8-W8</f>
        <v>0</v>
      </c>
    </row>
    <row r="9" spans="1:25" ht="23.15" customHeight="1" x14ac:dyDescent="0.45">
      <c r="B9" s="241" t="s">
        <v>93</v>
      </c>
      <c r="R9" s="63"/>
      <c r="S9" s="63"/>
      <c r="T9" s="63"/>
      <c r="U9" s="64"/>
    </row>
    <row r="10" spans="1:25" s="68" customFormat="1" ht="23.15" customHeight="1" x14ac:dyDescent="0.45">
      <c r="A10" s="447" t="s">
        <v>0</v>
      </c>
      <c r="B10" s="447"/>
      <c r="C10" s="62"/>
      <c r="D10" s="69">
        <f>'F01 NÓMINA'!X20+'F01 EPP'!M19+'F01 UNIFORMES'!M15</f>
        <v>651198.78276315785</v>
      </c>
      <c r="E10" s="69">
        <f>'F01 NÓMINA'!Y20+'F01 EPP'!N19+'F01 UNIFORMES'!N15</f>
        <v>678534.53947368416</v>
      </c>
      <c r="F10" s="69">
        <f>'F01 NÓMINA'!Z20+'F01 EPP'!O19+'F01 UNIFORMES'!O15</f>
        <v>0</v>
      </c>
      <c r="G10" s="69">
        <f>'F01 NÓMINA'!AA20+'F01 EPP'!P19+'F01 UNIFORMES'!P15</f>
        <v>0</v>
      </c>
      <c r="H10" s="69">
        <f>'F01 NÓMINA'!AB20+'F01 EPP'!Q19+'F01 UNIFORMES'!Q15</f>
        <v>0</v>
      </c>
      <c r="I10" s="69">
        <f>'F01 NÓMINA'!AC20+'F01 EPP'!R19+'F01 UNIFORMES'!R15</f>
        <v>0</v>
      </c>
      <c r="J10" s="69">
        <f>'F01 NÓMINA'!AD20+'F01 EPP'!S19+'F01 UNIFORMES'!S15</f>
        <v>0</v>
      </c>
      <c r="K10" s="69">
        <f>'F01 NÓMINA'!AE20+'F01 EPP'!T19+'F01 UNIFORMES'!T15</f>
        <v>0</v>
      </c>
      <c r="L10" s="69">
        <f>'F01 NÓMINA'!AF20+'F01 EPP'!U19+'F01 UNIFORMES'!U15</f>
        <v>0</v>
      </c>
      <c r="M10" s="69">
        <f>'F01 NÓMINA'!AG20+'F01 EPP'!V19+'F01 UNIFORMES'!V15</f>
        <v>0</v>
      </c>
      <c r="N10" s="69">
        <f>'F01 NÓMINA'!AH20+'F01 EPP'!W19+'F01 UNIFORMES'!W15</f>
        <v>0</v>
      </c>
      <c r="O10" s="69">
        <f>'F01 NÓMINA'!AI20+'F01 EPP'!X19+'F01 UNIFORMES'!X15</f>
        <v>0</v>
      </c>
      <c r="P10" s="69">
        <f>'F01 NÓMINA'!AJ20+'F01 EPP'!Y19+'F01 UNIFORMES'!Y15</f>
        <v>0</v>
      </c>
      <c r="Q10" s="69">
        <f>'F01 NÓMINA'!AK20+'F01 EPP'!Z19+'F01 UNIFORMES'!Z15</f>
        <v>0</v>
      </c>
      <c r="R10" s="70">
        <f>SUM(D10:Q10)</f>
        <v>1329733.322236842</v>
      </c>
      <c r="S10" s="71"/>
      <c r="T10" s="70">
        <f>R10/$E$42</f>
        <v>73587.898297556283</v>
      </c>
      <c r="U10" s="64"/>
      <c r="V10" s="72">
        <f>'F01 NÓMINA'!X22+'F01 EPP'!M21+'F01 UNIFORMES'!M17</f>
        <v>1329733.322236842</v>
      </c>
      <c r="W10" s="73">
        <f>'F01 NÓMINA'!X22+'F01 EPP'!M21+'F01 UNIFORMES'!M17</f>
        <v>1329733.322236842</v>
      </c>
      <c r="X10" s="72">
        <f>V10-R10</f>
        <v>0</v>
      </c>
      <c r="Y10" s="72">
        <f>V10-W10</f>
        <v>0</v>
      </c>
    </row>
    <row r="11" spans="1:25" s="68" customFormat="1" ht="23.15" customHeight="1" x14ac:dyDescent="0.45">
      <c r="A11" s="74"/>
      <c r="B11" s="241" t="s">
        <v>371</v>
      </c>
      <c r="C11" s="62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6"/>
      <c r="S11" s="76"/>
      <c r="T11" s="76"/>
      <c r="U11" s="64"/>
    </row>
    <row r="12" spans="1:25" s="68" customFormat="1" ht="23.15" customHeight="1" x14ac:dyDescent="0.45">
      <c r="A12" s="447" t="s">
        <v>3</v>
      </c>
      <c r="B12" s="447"/>
      <c r="C12" s="62"/>
      <c r="D12" s="69">
        <f>'F02 INMUEBLES Y S'!N18</f>
        <v>0</v>
      </c>
      <c r="E12" s="69">
        <f>'F02 INMUEBLES Y S'!O18</f>
        <v>0</v>
      </c>
      <c r="F12" s="69">
        <f>'F02 INMUEBLES Y S'!P18</f>
        <v>0</v>
      </c>
      <c r="G12" s="69">
        <f>'F02 INMUEBLES Y S'!Q18</f>
        <v>0</v>
      </c>
      <c r="H12" s="69">
        <f>'F02 INMUEBLES Y S'!R18</f>
        <v>0</v>
      </c>
      <c r="I12" s="69">
        <f>'F02 INMUEBLES Y S'!S18</f>
        <v>0</v>
      </c>
      <c r="J12" s="69">
        <f>'F02 INMUEBLES Y S'!T18</f>
        <v>0</v>
      </c>
      <c r="K12" s="69">
        <f>'F02 INMUEBLES Y S'!U18</f>
        <v>0</v>
      </c>
      <c r="L12" s="69">
        <f>'F02 INMUEBLES Y S'!V18</f>
        <v>0</v>
      </c>
      <c r="M12" s="69">
        <f>'F02 INMUEBLES Y S'!W18</f>
        <v>0</v>
      </c>
      <c r="N12" s="69">
        <f>'F02 INMUEBLES Y S'!X18</f>
        <v>0</v>
      </c>
      <c r="O12" s="69">
        <f>'F02 INMUEBLES Y S'!Y18</f>
        <v>0</v>
      </c>
      <c r="P12" s="69">
        <f>'F02 INMUEBLES Y S'!Z18</f>
        <v>0</v>
      </c>
      <c r="Q12" s="69">
        <f>'F02 INMUEBLES Y S'!AA18</f>
        <v>0</v>
      </c>
      <c r="R12" s="70">
        <f>SUM(D12:Q12)</f>
        <v>0</v>
      </c>
      <c r="S12" s="71"/>
      <c r="T12" s="70">
        <f>R12/$E$42</f>
        <v>0</v>
      </c>
      <c r="U12" s="64"/>
      <c r="V12" s="72">
        <f>'F02 INMUEBLES Y S'!N20</f>
        <v>0</v>
      </c>
      <c r="W12" s="73">
        <f>SERVICIO!B23</f>
        <v>0</v>
      </c>
      <c r="X12" s="72">
        <f>V12-R12</f>
        <v>0</v>
      </c>
      <c r="Y12" s="72">
        <f>V12-W12</f>
        <v>0</v>
      </c>
    </row>
    <row r="13" spans="1:25" s="68" customFormat="1" ht="23.15" customHeight="1" x14ac:dyDescent="0.45">
      <c r="A13" s="74"/>
      <c r="B13" s="241" t="s">
        <v>372</v>
      </c>
      <c r="C13" s="62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U13" s="64"/>
    </row>
    <row r="14" spans="1:25" s="68" customFormat="1" ht="23.15" customHeight="1" x14ac:dyDescent="0.45">
      <c r="A14" s="447" t="s">
        <v>276</v>
      </c>
      <c r="B14" s="447"/>
      <c r="C14" s="62"/>
      <c r="D14" s="69">
        <f>'F03 COM Y EQ COM'!L36</f>
        <v>0</v>
      </c>
      <c r="E14" s="69">
        <f>'F03 COM Y EQ COM'!M36</f>
        <v>0</v>
      </c>
      <c r="F14" s="69">
        <f>'F03 COM Y EQ COM'!N36</f>
        <v>0</v>
      </c>
      <c r="G14" s="69">
        <f>'F03 COM Y EQ COM'!O36</f>
        <v>0</v>
      </c>
      <c r="H14" s="69">
        <f>'F03 COM Y EQ COM'!P36</f>
        <v>0</v>
      </c>
      <c r="I14" s="69">
        <f>'F03 COM Y EQ COM'!Q36</f>
        <v>0</v>
      </c>
      <c r="J14" s="69">
        <f>'F03 COM Y EQ COM'!R36</f>
        <v>0</v>
      </c>
      <c r="K14" s="69">
        <f>'F03 COM Y EQ COM'!S36</f>
        <v>0</v>
      </c>
      <c r="L14" s="69">
        <f>'F03 COM Y EQ COM'!T36</f>
        <v>0</v>
      </c>
      <c r="M14" s="69">
        <f>'F03 COM Y EQ COM'!U36</f>
        <v>0</v>
      </c>
      <c r="N14" s="69">
        <f>'F03 COM Y EQ COM'!V36</f>
        <v>0</v>
      </c>
      <c r="O14" s="69">
        <f>'F03 COM Y EQ COM'!W36</f>
        <v>0</v>
      </c>
      <c r="P14" s="69">
        <f>'F03 COM Y EQ COM'!X36</f>
        <v>0</v>
      </c>
      <c r="Q14" s="69">
        <f>'F03 COM Y EQ COM'!Y36</f>
        <v>0</v>
      </c>
      <c r="R14" s="70">
        <f>SUM(D14:Q14)</f>
        <v>0</v>
      </c>
      <c r="S14" s="71"/>
      <c r="T14" s="70">
        <f>R14/$E$42</f>
        <v>0</v>
      </c>
      <c r="U14" s="64"/>
      <c r="V14" s="72">
        <f>'F03 COM Y EQ COM'!L38</f>
        <v>0</v>
      </c>
      <c r="W14" s="73">
        <f>SERVICIO!B82</f>
        <v>0</v>
      </c>
      <c r="X14" s="72">
        <f>V14-R14</f>
        <v>0</v>
      </c>
      <c r="Y14" s="72">
        <f>V14-W14</f>
        <v>0</v>
      </c>
    </row>
    <row r="15" spans="1:25" s="68" customFormat="1" ht="23.15" customHeight="1" x14ac:dyDescent="0.45">
      <c r="A15" s="74"/>
      <c r="B15" s="241" t="s">
        <v>373</v>
      </c>
      <c r="C15" s="62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U15" s="64"/>
    </row>
    <row r="16" spans="1:25" s="68" customFormat="1" ht="23.15" customHeight="1" x14ac:dyDescent="0.45">
      <c r="A16" s="448" t="s">
        <v>5</v>
      </c>
      <c r="B16" s="449"/>
      <c r="C16" s="62"/>
      <c r="D16" s="69">
        <f>'F04 VEHÍCULOS Y COMB. '!V25</f>
        <v>150400</v>
      </c>
      <c r="E16" s="69">
        <f>'F04 VEHÍCULOS Y COMB. '!W25</f>
        <v>150400</v>
      </c>
      <c r="F16" s="69">
        <f>'F04 VEHÍCULOS Y COMB. '!X25</f>
        <v>0</v>
      </c>
      <c r="G16" s="69">
        <f>'F04 VEHÍCULOS Y COMB. '!Y25</f>
        <v>0</v>
      </c>
      <c r="H16" s="69">
        <f>'F04 VEHÍCULOS Y COMB. '!Z25</f>
        <v>0</v>
      </c>
      <c r="I16" s="69">
        <f>'F04 VEHÍCULOS Y COMB. '!AA25</f>
        <v>0</v>
      </c>
      <c r="J16" s="69">
        <f>'F04 VEHÍCULOS Y COMB. '!AB25</f>
        <v>0</v>
      </c>
      <c r="K16" s="69">
        <f>'F04 VEHÍCULOS Y COMB. '!AC25</f>
        <v>0</v>
      </c>
      <c r="L16" s="69">
        <f>'F04 VEHÍCULOS Y COMB. '!AD25</f>
        <v>0</v>
      </c>
      <c r="M16" s="69">
        <f>'F04 VEHÍCULOS Y COMB. '!AE25</f>
        <v>0</v>
      </c>
      <c r="N16" s="69">
        <f>'F04 VEHÍCULOS Y COMB. '!AF25</f>
        <v>0</v>
      </c>
      <c r="O16" s="69">
        <f>'F04 VEHÍCULOS Y COMB. '!AG25</f>
        <v>0</v>
      </c>
      <c r="P16" s="69">
        <f>'F04 VEHÍCULOS Y COMB. '!AH25</f>
        <v>0</v>
      </c>
      <c r="Q16" s="69">
        <f>'F04 VEHÍCULOS Y COMB. '!AI25</f>
        <v>0</v>
      </c>
      <c r="R16" s="70">
        <f>SUM(D16:Q16)</f>
        <v>300800</v>
      </c>
      <c r="S16" s="71"/>
      <c r="T16" s="70">
        <f>R16/$E$42</f>
        <v>16646.375207526286</v>
      </c>
      <c r="U16" s="64"/>
      <c r="V16" s="72">
        <f>'F04 VEHÍCULOS Y COMB. '!V27</f>
        <v>300800</v>
      </c>
      <c r="W16" s="73">
        <f>SERVICIO!B153</f>
        <v>300800</v>
      </c>
      <c r="X16" s="72">
        <f>V16-R16</f>
        <v>0</v>
      </c>
      <c r="Y16" s="72">
        <f>V16-W16</f>
        <v>0</v>
      </c>
    </row>
    <row r="17" spans="1:25" s="68" customFormat="1" ht="23.15" customHeight="1" x14ac:dyDescent="0.45">
      <c r="A17" s="74"/>
      <c r="B17" s="241" t="s">
        <v>374</v>
      </c>
      <c r="C17" s="62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U17" s="64"/>
    </row>
    <row r="18" spans="1:25" s="68" customFormat="1" ht="23.15" customHeight="1" x14ac:dyDescent="0.45">
      <c r="A18" s="447" t="s">
        <v>6</v>
      </c>
      <c r="B18" s="447"/>
      <c r="C18" s="62"/>
      <c r="D18" s="69">
        <f>'F05 VIÁTICOS'!K28</f>
        <v>806647.14910000004</v>
      </c>
      <c r="E18" s="69">
        <f>'F05 VIÁTICOS'!L28</f>
        <v>806647.14910000004</v>
      </c>
      <c r="F18" s="69">
        <f>'F05 VIÁTICOS'!M28</f>
        <v>0</v>
      </c>
      <c r="G18" s="69">
        <f>'F05 VIÁTICOS'!N28</f>
        <v>0</v>
      </c>
      <c r="H18" s="69">
        <f>'F05 VIÁTICOS'!O28</f>
        <v>0</v>
      </c>
      <c r="I18" s="69">
        <f>'F05 VIÁTICOS'!P28</f>
        <v>0</v>
      </c>
      <c r="J18" s="69">
        <f>'F05 VIÁTICOS'!Q28</f>
        <v>0</v>
      </c>
      <c r="K18" s="69">
        <f>'F05 VIÁTICOS'!R28</f>
        <v>0</v>
      </c>
      <c r="L18" s="69">
        <f>'F05 VIÁTICOS'!S28</f>
        <v>0</v>
      </c>
      <c r="M18" s="69">
        <f>'F05 VIÁTICOS'!T28</f>
        <v>0</v>
      </c>
      <c r="N18" s="69">
        <f>'F05 VIÁTICOS'!U28</f>
        <v>0</v>
      </c>
      <c r="O18" s="69">
        <f>'F05 VIÁTICOS'!V28</f>
        <v>0</v>
      </c>
      <c r="P18" s="69">
        <f>'F05 VIÁTICOS'!W28</f>
        <v>0</v>
      </c>
      <c r="Q18" s="69">
        <f>'F05 VIÁTICOS'!X28</f>
        <v>0</v>
      </c>
      <c r="R18" s="70">
        <f>SUM(D18:Q18)</f>
        <v>1613294.2982000001</v>
      </c>
      <c r="S18" s="71"/>
      <c r="T18" s="70">
        <f>R18/$E$42</f>
        <v>89280.260000000009</v>
      </c>
      <c r="U18" s="64"/>
      <c r="V18" s="72">
        <f>'F05 VIÁTICOS'!K30</f>
        <v>1613294.2982000001</v>
      </c>
      <c r="W18" s="73">
        <f>SERVICIO!B161</f>
        <v>1613294.2982000001</v>
      </c>
      <c r="X18" s="72">
        <f>V18-R18</f>
        <v>0</v>
      </c>
      <c r="Y18" s="72">
        <f>V18-W18</f>
        <v>0</v>
      </c>
    </row>
    <row r="19" spans="1:25" s="68" customFormat="1" ht="23.15" customHeight="1" x14ac:dyDescent="0.45">
      <c r="A19" s="74"/>
      <c r="B19" s="241" t="s">
        <v>375</v>
      </c>
      <c r="C19" s="62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U19" s="64"/>
    </row>
    <row r="20" spans="1:25" s="68" customFormat="1" ht="23.15" customHeight="1" x14ac:dyDescent="0.45">
      <c r="A20" s="443" t="s">
        <v>340</v>
      </c>
      <c r="B20" s="443"/>
      <c r="C20" s="62"/>
      <c r="D20" s="69">
        <f>'F06 (MAT,SERV &amp; EQUIPO)'!M44</f>
        <v>10498.67</v>
      </c>
      <c r="E20" s="69">
        <f>'F06 (MAT,SERV &amp; EQUIPO)'!N44</f>
        <v>10498.67</v>
      </c>
      <c r="F20" s="69">
        <f>'F06 (MAT,SERV &amp; EQUIPO)'!O44</f>
        <v>0</v>
      </c>
      <c r="G20" s="69">
        <f>'F06 (MAT,SERV &amp; EQUIPO)'!P44</f>
        <v>0</v>
      </c>
      <c r="H20" s="69">
        <f>'F06 (MAT,SERV &amp; EQUIPO)'!Q44</f>
        <v>0</v>
      </c>
      <c r="I20" s="69">
        <f>'F06 (MAT,SERV &amp; EQUIPO)'!R44</f>
        <v>0</v>
      </c>
      <c r="J20" s="69">
        <f>'F06 (MAT,SERV &amp; EQUIPO)'!S44</f>
        <v>0</v>
      </c>
      <c r="K20" s="69">
        <f>'F06 (MAT,SERV &amp; EQUIPO)'!T44</f>
        <v>0</v>
      </c>
      <c r="L20" s="69">
        <f>'F06 (MAT,SERV &amp; EQUIPO)'!U44</f>
        <v>0</v>
      </c>
      <c r="M20" s="69">
        <f>'F06 (MAT,SERV &amp; EQUIPO)'!V44</f>
        <v>0</v>
      </c>
      <c r="N20" s="69">
        <f>'F06 (MAT,SERV &amp; EQUIPO)'!W44</f>
        <v>0</v>
      </c>
      <c r="O20" s="69">
        <f>'F06 (MAT,SERV &amp; EQUIPO)'!X44</f>
        <v>0</v>
      </c>
      <c r="P20" s="69">
        <f>'F06 (MAT,SERV &amp; EQUIPO)'!Y44</f>
        <v>0</v>
      </c>
      <c r="Q20" s="69">
        <f>'F06 (MAT,SERV &amp; EQUIPO)'!Z44</f>
        <v>0</v>
      </c>
      <c r="R20" s="70">
        <f>SUM(D20:Q20)</f>
        <v>20997.34</v>
      </c>
      <c r="S20" s="71"/>
      <c r="T20" s="70">
        <f>R20/$E$42</f>
        <v>1162</v>
      </c>
      <c r="U20" s="64"/>
      <c r="V20" s="72">
        <f>'F06 (MAT,SERV &amp; EQUIPO)'!M46</f>
        <v>20997.34</v>
      </c>
      <c r="W20" s="73">
        <f>SERVICIO!B75</f>
        <v>20997.34</v>
      </c>
      <c r="X20" s="72">
        <f>V20-R20</f>
        <v>0</v>
      </c>
      <c r="Y20" s="72">
        <f>V20-W20</f>
        <v>0</v>
      </c>
    </row>
    <row r="21" spans="1:25" s="68" customFormat="1" ht="23.15" customHeight="1" x14ac:dyDescent="0.45">
      <c r="A21" s="77"/>
      <c r="B21" s="241" t="s">
        <v>376</v>
      </c>
      <c r="C21" s="62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U21" s="64"/>
    </row>
    <row r="22" spans="1:25" s="68" customFormat="1" ht="23.15" customHeight="1" x14ac:dyDescent="0.45">
      <c r="A22" s="447" t="s">
        <v>341</v>
      </c>
      <c r="B22" s="447"/>
      <c r="C22" s="62"/>
      <c r="D22" s="69">
        <f>'F07 OPERAC. (MAT,SERV &amp; EQUIPO)'!L117</f>
        <v>1959720.8087999998</v>
      </c>
      <c r="E22" s="69">
        <f>'F07 OPERAC. (MAT,SERV &amp; EQUIPO)'!M117</f>
        <v>1281872.4687999999</v>
      </c>
      <c r="F22" s="69">
        <f>'F07 OPERAC. (MAT,SERV &amp; EQUIPO)'!N117</f>
        <v>0</v>
      </c>
      <c r="G22" s="69">
        <f>'F07 OPERAC. (MAT,SERV &amp; EQUIPO)'!O117</f>
        <v>0</v>
      </c>
      <c r="H22" s="69">
        <f>'F07 OPERAC. (MAT,SERV &amp; EQUIPO)'!P117</f>
        <v>0</v>
      </c>
      <c r="I22" s="69">
        <f>'F07 OPERAC. (MAT,SERV &amp; EQUIPO)'!Q117</f>
        <v>0</v>
      </c>
      <c r="J22" s="69">
        <f>'F07 OPERAC. (MAT,SERV &amp; EQUIPO)'!R117</f>
        <v>0</v>
      </c>
      <c r="K22" s="69">
        <f>'F07 OPERAC. (MAT,SERV &amp; EQUIPO)'!S117</f>
        <v>0</v>
      </c>
      <c r="L22" s="69">
        <f>'F07 OPERAC. (MAT,SERV &amp; EQUIPO)'!T117</f>
        <v>0</v>
      </c>
      <c r="M22" s="69">
        <f>'F07 OPERAC. (MAT,SERV &amp; EQUIPO)'!U117</f>
        <v>0</v>
      </c>
      <c r="N22" s="69">
        <f>'F07 OPERAC. (MAT,SERV &amp; EQUIPO)'!V117</f>
        <v>0</v>
      </c>
      <c r="O22" s="69">
        <f>'F07 OPERAC. (MAT,SERV &amp; EQUIPO)'!W117</f>
        <v>0</v>
      </c>
      <c r="P22" s="69">
        <f>'F07 OPERAC. (MAT,SERV &amp; EQUIPO)'!X117</f>
        <v>0</v>
      </c>
      <c r="Q22" s="69">
        <f>'F07 OPERAC. (MAT,SERV &amp; EQUIPO)'!Y117</f>
        <v>0</v>
      </c>
      <c r="R22" s="70">
        <f>SUM(D22:Q22)</f>
        <v>3241593.2775999997</v>
      </c>
      <c r="S22" s="78"/>
      <c r="T22" s="70">
        <f>R22/$E$42</f>
        <v>179390.88420586605</v>
      </c>
      <c r="U22" s="64"/>
      <c r="V22" s="72">
        <f>'F07 OPERAC. (MAT,SERV &amp; EQUIPO)'!L119</f>
        <v>3241593.2775999997</v>
      </c>
      <c r="W22" s="73">
        <f>SERVICIO!B146</f>
        <v>3241593.2775999997</v>
      </c>
      <c r="X22" s="72">
        <f>V22-R22</f>
        <v>0</v>
      </c>
      <c r="Y22" s="72">
        <f>V22-W22</f>
        <v>0</v>
      </c>
    </row>
    <row r="23" spans="1:25" s="68" customFormat="1" ht="23.15" customHeight="1" x14ac:dyDescent="0.45">
      <c r="A23" s="77"/>
      <c r="B23" s="241" t="s">
        <v>376</v>
      </c>
      <c r="C23" s="62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U23" s="64"/>
    </row>
    <row r="24" spans="1:25" s="68" customFormat="1" ht="23.15" customHeight="1" x14ac:dyDescent="0.45">
      <c r="A24" s="443" t="s">
        <v>15</v>
      </c>
      <c r="B24" s="443"/>
      <c r="C24" s="62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70">
        <f>SUM(D24:Q24)</f>
        <v>0</v>
      </c>
      <c r="S24" s="78"/>
      <c r="T24" s="70"/>
      <c r="U24" s="64"/>
      <c r="X24" s="72">
        <f>V24-R24</f>
        <v>0</v>
      </c>
      <c r="Y24" s="72">
        <f>V24-W24</f>
        <v>0</v>
      </c>
    </row>
    <row r="25" spans="1:25" s="68" customFormat="1" ht="23.15" customHeight="1" x14ac:dyDescent="0.45">
      <c r="A25" s="74"/>
      <c r="B25" s="240"/>
      <c r="C25" s="62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U25" s="64"/>
    </row>
    <row r="26" spans="1:25" s="68" customFormat="1" ht="23.15" customHeight="1" x14ac:dyDescent="0.45">
      <c r="A26" s="444" t="s">
        <v>14</v>
      </c>
      <c r="B26" s="444"/>
      <c r="C26" s="62"/>
      <c r="D26" s="69">
        <f>'F07 OPERAC. (MAT,SERV &amp; EQUIPO)'!L44</f>
        <v>5028.7599999999993</v>
      </c>
      <c r="E26" s="69">
        <f>'F07 OPERAC. (MAT,SERV &amp; EQUIPO)'!M44</f>
        <v>5028.7599999999993</v>
      </c>
      <c r="F26" s="69">
        <f>'F07 OPERAC. (MAT,SERV &amp; EQUIPO)'!N44</f>
        <v>0</v>
      </c>
      <c r="G26" s="69">
        <f>'F07 OPERAC. (MAT,SERV &amp; EQUIPO)'!O44</f>
        <v>0</v>
      </c>
      <c r="H26" s="69">
        <f>'F07 OPERAC. (MAT,SERV &amp; EQUIPO)'!P44</f>
        <v>0</v>
      </c>
      <c r="I26" s="69">
        <f>'F07 OPERAC. (MAT,SERV &amp; EQUIPO)'!Q44</f>
        <v>0</v>
      </c>
      <c r="J26" s="69">
        <f>'F07 OPERAC. (MAT,SERV &amp; EQUIPO)'!R44</f>
        <v>0</v>
      </c>
      <c r="K26" s="69">
        <f>'F07 OPERAC. (MAT,SERV &amp; EQUIPO)'!S44</f>
        <v>0</v>
      </c>
      <c r="L26" s="69">
        <f>'F07 OPERAC. (MAT,SERV &amp; EQUIPO)'!T44</f>
        <v>0</v>
      </c>
      <c r="M26" s="69">
        <f>'F07 OPERAC. (MAT,SERV &amp; EQUIPO)'!U44</f>
        <v>0</v>
      </c>
      <c r="N26" s="69">
        <f>'F07 OPERAC. (MAT,SERV &amp; EQUIPO)'!V44</f>
        <v>0</v>
      </c>
      <c r="O26" s="69">
        <f>'F07 OPERAC. (MAT,SERV &amp; EQUIPO)'!W44</f>
        <v>0</v>
      </c>
      <c r="P26" s="69">
        <f>'F07 OPERAC. (MAT,SERV &amp; EQUIPO)'!X44</f>
        <v>0</v>
      </c>
      <c r="Q26" s="69">
        <f>'F07 OPERAC. (MAT,SERV &amp; EQUIPO)'!Y44</f>
        <v>0</v>
      </c>
      <c r="R26" s="70">
        <f>SUM(D26:Q26)</f>
        <v>10057.519999999999</v>
      </c>
      <c r="S26" s="71"/>
      <c r="T26" s="70">
        <f>R26/$E$42</f>
        <v>556.5866076369673</v>
      </c>
      <c r="U26" s="64"/>
      <c r="V26" s="72">
        <f>'F07 OPERAC. (MAT,SERV &amp; EQUIPO)'!L46</f>
        <v>10057.519999999999</v>
      </c>
      <c r="W26" s="73">
        <f>SERVICIO!B30+SERVICIO!B31</f>
        <v>10057.519999999999</v>
      </c>
      <c r="X26" s="72">
        <f>V26-R26</f>
        <v>0</v>
      </c>
      <c r="Y26" s="72">
        <f>V26-W26</f>
        <v>0</v>
      </c>
    </row>
    <row r="27" spans="1:25" ht="23.15" customHeight="1" x14ac:dyDescent="0.45">
      <c r="A27" s="66"/>
      <c r="B27" s="241" t="s">
        <v>342</v>
      </c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63"/>
      <c r="S27" s="63"/>
      <c r="T27" s="63"/>
      <c r="U27" s="64"/>
    </row>
    <row r="28" spans="1:25" s="68" customFormat="1" ht="23.15" customHeight="1" x14ac:dyDescent="0.45">
      <c r="A28" s="444" t="s">
        <v>13</v>
      </c>
      <c r="B28" s="444"/>
      <c r="C28" s="62"/>
      <c r="D28" s="69">
        <f>'F07 OPERAC. (MAT,SERV &amp; EQUIPO)'!L195</f>
        <v>0</v>
      </c>
      <c r="E28" s="69">
        <f>'F07 OPERAC. (MAT,SERV &amp; EQUIPO)'!M195</f>
        <v>0</v>
      </c>
      <c r="F28" s="69">
        <f>'F07 OPERAC. (MAT,SERV &amp; EQUIPO)'!N195</f>
        <v>0</v>
      </c>
      <c r="G28" s="69">
        <f>'F07 OPERAC. (MAT,SERV &amp; EQUIPO)'!O195</f>
        <v>0</v>
      </c>
      <c r="H28" s="69">
        <f>'F07 OPERAC. (MAT,SERV &amp; EQUIPO)'!P195</f>
        <v>0</v>
      </c>
      <c r="I28" s="69">
        <f>'F07 OPERAC. (MAT,SERV &amp; EQUIPO)'!Q195</f>
        <v>0</v>
      </c>
      <c r="J28" s="69">
        <f>'F07 OPERAC. (MAT,SERV &amp; EQUIPO)'!R195</f>
        <v>0</v>
      </c>
      <c r="K28" s="69">
        <f>'F07 OPERAC. (MAT,SERV &amp; EQUIPO)'!S195</f>
        <v>0</v>
      </c>
      <c r="L28" s="69">
        <f>'F07 OPERAC. (MAT,SERV &amp; EQUIPO)'!T195</f>
        <v>0</v>
      </c>
      <c r="M28" s="69">
        <f>'F07 OPERAC. (MAT,SERV &amp; EQUIPO)'!U195</f>
        <v>0</v>
      </c>
      <c r="N28" s="69">
        <f>'F07 OPERAC. (MAT,SERV &amp; EQUIPO)'!V195</f>
        <v>0</v>
      </c>
      <c r="O28" s="69">
        <f>'F07 OPERAC. (MAT,SERV &amp; EQUIPO)'!W195</f>
        <v>0</v>
      </c>
      <c r="P28" s="69">
        <f>'F07 OPERAC. (MAT,SERV &amp; EQUIPO)'!X195</f>
        <v>0</v>
      </c>
      <c r="Q28" s="69">
        <f>'F07 OPERAC. (MAT,SERV &amp; EQUIPO)'!Y195</f>
        <v>0</v>
      </c>
      <c r="R28" s="70">
        <f>SUM(D28:Q28)</f>
        <v>0</v>
      </c>
      <c r="S28" s="71"/>
      <c r="T28" s="70">
        <f>R28/$E$42</f>
        <v>0</v>
      </c>
      <c r="U28" s="64"/>
      <c r="V28" s="72">
        <f>'F07 OPERAC. (MAT,SERV &amp; EQUIPO)'!L197</f>
        <v>0</v>
      </c>
      <c r="W28" s="73">
        <f>SERVICIO!B36+SERVICIO!B39+SERVICIO!B77+SERVICIO!B147+SERVICIO!B149</f>
        <v>0</v>
      </c>
      <c r="X28" s="72">
        <f>V28-R28</f>
        <v>0</v>
      </c>
      <c r="Y28" s="72">
        <f>V28-W28</f>
        <v>0</v>
      </c>
    </row>
    <row r="29" spans="1:25" s="68" customFormat="1" ht="23.15" customHeight="1" x14ac:dyDescent="0.45">
      <c r="A29" s="74"/>
      <c r="B29" s="241" t="s">
        <v>377</v>
      </c>
      <c r="C29" s="62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U29" s="64"/>
    </row>
    <row r="30" spans="1:25" s="68" customFormat="1" ht="23.15" customHeight="1" x14ac:dyDescent="0.45">
      <c r="A30" s="444" t="s">
        <v>275</v>
      </c>
      <c r="B30" s="444"/>
      <c r="C30" s="62"/>
      <c r="D30" s="69">
        <f>'F03 COM Y EQ COM'!L49</f>
        <v>0</v>
      </c>
      <c r="E30" s="69">
        <f>'F03 COM Y EQ COM'!M49</f>
        <v>32526</v>
      </c>
      <c r="F30" s="69">
        <f>'F03 COM Y EQ COM'!N49</f>
        <v>0</v>
      </c>
      <c r="G30" s="69">
        <f>'F03 COM Y EQ COM'!O49</f>
        <v>0</v>
      </c>
      <c r="H30" s="69">
        <f>'F03 COM Y EQ COM'!P49</f>
        <v>0</v>
      </c>
      <c r="I30" s="69">
        <f>'F03 COM Y EQ COM'!Q49</f>
        <v>0</v>
      </c>
      <c r="J30" s="69">
        <f>'F03 COM Y EQ COM'!R49</f>
        <v>0</v>
      </c>
      <c r="K30" s="69">
        <f>'F03 COM Y EQ COM'!S49</f>
        <v>0</v>
      </c>
      <c r="L30" s="69">
        <f>'F03 COM Y EQ COM'!T49</f>
        <v>0</v>
      </c>
      <c r="M30" s="69">
        <f>'F03 COM Y EQ COM'!U49</f>
        <v>0</v>
      </c>
      <c r="N30" s="69">
        <f>'F03 COM Y EQ COM'!V49</f>
        <v>0</v>
      </c>
      <c r="O30" s="69">
        <f>'F03 COM Y EQ COM'!W49</f>
        <v>0</v>
      </c>
      <c r="P30" s="69">
        <f>'F03 COM Y EQ COM'!X49</f>
        <v>0</v>
      </c>
      <c r="Q30" s="69">
        <f>'F03 COM Y EQ COM'!Y49</f>
        <v>0</v>
      </c>
      <c r="R30" s="70">
        <f>SUM(D30:Q30)</f>
        <v>32526</v>
      </c>
      <c r="S30" s="71"/>
      <c r="T30" s="70">
        <f>R30/$E$42</f>
        <v>1800</v>
      </c>
      <c r="U30" s="64"/>
      <c r="V30" s="72">
        <f>'F03 COM Y EQ COM'!L51</f>
        <v>32526</v>
      </c>
      <c r="W30" s="73">
        <f>SERVICIO!B28</f>
        <v>32526</v>
      </c>
      <c r="X30" s="72">
        <f>V30-R30</f>
        <v>0</v>
      </c>
      <c r="Y30" s="72">
        <f>V30-W30</f>
        <v>0</v>
      </c>
    </row>
    <row r="31" spans="1:25" s="68" customFormat="1" ht="23.15" customHeight="1" x14ac:dyDescent="0.45">
      <c r="A31" s="74"/>
      <c r="B31" s="241" t="s">
        <v>379</v>
      </c>
      <c r="C31" s="62"/>
      <c r="R31" s="72"/>
      <c r="U31" s="64"/>
    </row>
    <row r="32" spans="1:25" s="68" customFormat="1" ht="23.15" customHeight="1" x14ac:dyDescent="0.45">
      <c r="A32" s="65"/>
      <c r="B32" s="79"/>
      <c r="C32" s="62"/>
      <c r="S32" s="71"/>
      <c r="T32" s="71"/>
      <c r="U32" s="64"/>
    </row>
    <row r="33" spans="1:24" s="68" customFormat="1" ht="23.15" customHeight="1" x14ac:dyDescent="0.45">
      <c r="A33" s="445" t="s">
        <v>37</v>
      </c>
      <c r="B33" s="445"/>
      <c r="C33" s="62"/>
      <c r="D33" s="70">
        <f>SUM(D8:D30)</f>
        <v>20297891.725605048</v>
      </c>
      <c r="E33" s="70">
        <f t="shared" ref="E33:O33" si="0">SUM(E8:E30)</f>
        <v>2965507.5873736837</v>
      </c>
      <c r="F33" s="70">
        <f t="shared" si="0"/>
        <v>0</v>
      </c>
      <c r="G33" s="70">
        <f t="shared" si="0"/>
        <v>0</v>
      </c>
      <c r="H33" s="70">
        <f t="shared" si="0"/>
        <v>0</v>
      </c>
      <c r="I33" s="70">
        <f t="shared" si="0"/>
        <v>0</v>
      </c>
      <c r="J33" s="70">
        <f t="shared" si="0"/>
        <v>0</v>
      </c>
      <c r="K33" s="70">
        <f t="shared" si="0"/>
        <v>0</v>
      </c>
      <c r="L33" s="70">
        <f t="shared" si="0"/>
        <v>0</v>
      </c>
      <c r="M33" s="70">
        <f t="shared" si="0"/>
        <v>0</v>
      </c>
      <c r="N33" s="70">
        <f t="shared" si="0"/>
        <v>0</v>
      </c>
      <c r="O33" s="70">
        <f t="shared" si="0"/>
        <v>0</v>
      </c>
      <c r="P33" s="70">
        <f>SUM(P8:P30)</f>
        <v>0</v>
      </c>
      <c r="Q33" s="70">
        <f>SUM(Q8:Q30)</f>
        <v>0</v>
      </c>
      <c r="R33" s="70">
        <f>SUM(D33:Q33)</f>
        <v>23263399.312978733</v>
      </c>
      <c r="S33" s="81"/>
      <c r="T33" s="70">
        <f>R33/$E$42</f>
        <v>1287404.4998881423</v>
      </c>
      <c r="U33" s="64"/>
      <c r="V33" s="73">
        <f>SERVICIO!B162</f>
        <v>23263399.31297873</v>
      </c>
      <c r="X33" s="72">
        <f>V33-R33</f>
        <v>0</v>
      </c>
    </row>
    <row r="34" spans="1:24" ht="23.15" customHeight="1" x14ac:dyDescent="0.45">
      <c r="B34" s="62"/>
      <c r="U34" s="64"/>
    </row>
    <row r="35" spans="1:24" s="68" customFormat="1" ht="23.15" customHeight="1" x14ac:dyDescent="0.45">
      <c r="A35" s="445" t="s">
        <v>59</v>
      </c>
      <c r="B35" s="445"/>
      <c r="C35" s="62"/>
      <c r="D35" s="70">
        <f>D8</f>
        <v>16714397.554941889</v>
      </c>
      <c r="E35" s="70">
        <f t="shared" ref="E35:O35" si="1">E8</f>
        <v>0</v>
      </c>
      <c r="F35" s="70">
        <f t="shared" si="1"/>
        <v>0</v>
      </c>
      <c r="G35" s="70">
        <f t="shared" si="1"/>
        <v>0</v>
      </c>
      <c r="H35" s="70">
        <f t="shared" si="1"/>
        <v>0</v>
      </c>
      <c r="I35" s="70">
        <f t="shared" si="1"/>
        <v>0</v>
      </c>
      <c r="J35" s="70">
        <f t="shared" si="1"/>
        <v>0</v>
      </c>
      <c r="K35" s="70">
        <f t="shared" si="1"/>
        <v>0</v>
      </c>
      <c r="L35" s="70">
        <f t="shared" si="1"/>
        <v>0</v>
      </c>
      <c r="M35" s="70">
        <f t="shared" si="1"/>
        <v>0</v>
      </c>
      <c r="N35" s="70">
        <f t="shared" si="1"/>
        <v>0</v>
      </c>
      <c r="O35" s="70">
        <f t="shared" si="1"/>
        <v>0</v>
      </c>
      <c r="P35" s="70">
        <f>P8</f>
        <v>0</v>
      </c>
      <c r="Q35" s="70">
        <f>Q8</f>
        <v>0</v>
      </c>
      <c r="R35" s="70">
        <f>SUM(D35:Q35)</f>
        <v>16714397.554941889</v>
      </c>
      <c r="S35" s="81"/>
      <c r="T35" s="70">
        <f>R35/$E$42</f>
        <v>924980.4955695566</v>
      </c>
      <c r="U35" s="64"/>
    </row>
    <row r="36" spans="1:24" ht="23.15" customHeight="1" x14ac:dyDescent="0.45">
      <c r="U36" s="64"/>
    </row>
    <row r="37" spans="1:24" s="68" customFormat="1" ht="23.15" customHeight="1" x14ac:dyDescent="0.45">
      <c r="A37" s="445" t="s">
        <v>60</v>
      </c>
      <c r="B37" s="445"/>
      <c r="C37" s="62"/>
      <c r="D37" s="70">
        <f>+D33-D35</f>
        <v>3583494.1706631593</v>
      </c>
      <c r="E37" s="70">
        <f>+E33-E35</f>
        <v>2965507.5873736837</v>
      </c>
      <c r="F37" s="70">
        <f t="shared" ref="F37:O37" si="2">+F33-F35</f>
        <v>0</v>
      </c>
      <c r="G37" s="70">
        <f t="shared" si="2"/>
        <v>0</v>
      </c>
      <c r="H37" s="70">
        <f t="shared" si="2"/>
        <v>0</v>
      </c>
      <c r="I37" s="70">
        <f t="shared" si="2"/>
        <v>0</v>
      </c>
      <c r="J37" s="70">
        <f t="shared" si="2"/>
        <v>0</v>
      </c>
      <c r="K37" s="70">
        <f t="shared" si="2"/>
        <v>0</v>
      </c>
      <c r="L37" s="70">
        <f t="shared" si="2"/>
        <v>0</v>
      </c>
      <c r="M37" s="70">
        <f t="shared" si="2"/>
        <v>0</v>
      </c>
      <c r="N37" s="70">
        <f t="shared" si="2"/>
        <v>0</v>
      </c>
      <c r="O37" s="70">
        <f t="shared" si="2"/>
        <v>0</v>
      </c>
      <c r="P37" s="70">
        <f>+P33-P35</f>
        <v>0</v>
      </c>
      <c r="Q37" s="70">
        <f>+Q33-Q35</f>
        <v>0</v>
      </c>
      <c r="R37" s="70">
        <f>SUM(D37:Q37)</f>
        <v>6549001.7580368426</v>
      </c>
      <c r="S37" s="81"/>
      <c r="T37" s="70">
        <f>R37/$E$42</f>
        <v>362424.00431858562</v>
      </c>
      <c r="U37" s="64"/>
    </row>
    <row r="39" spans="1:24" s="68" customFormat="1" ht="23.15" customHeight="1" x14ac:dyDescent="0.35">
      <c r="A39" s="445" t="s">
        <v>86</v>
      </c>
      <c r="B39" s="445"/>
      <c r="C39" s="80"/>
      <c r="D39" s="83"/>
      <c r="E39" s="83"/>
      <c r="F39" s="83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70">
        <f>SUM(D39:Q39)</f>
        <v>0</v>
      </c>
      <c r="S39" s="81"/>
      <c r="T39" s="70">
        <f>+R39*PREMISAS!$D$18</f>
        <v>0</v>
      </c>
      <c r="U39" s="64"/>
    </row>
    <row r="41" spans="1:24" ht="23.15" customHeight="1" x14ac:dyDescent="0.45">
      <c r="D41" s="85" t="str">
        <f>SERVICIO!A195</f>
        <v>Premisas</v>
      </c>
      <c r="E41" s="85"/>
      <c r="G41" s="86"/>
    </row>
    <row r="42" spans="1:24" ht="23.15" customHeight="1" x14ac:dyDescent="0.45">
      <c r="D42" s="87" t="str">
        <f>SERVICIO!A196</f>
        <v>Paridad</v>
      </c>
      <c r="E42" s="88">
        <f>SERVICIO!B196</f>
        <v>18.07</v>
      </c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</row>
    <row r="43" spans="1:24" ht="23.15" customHeight="1" x14ac:dyDescent="0.45">
      <c r="D43" s="89" t="str">
        <f>SERVICIO!A197</f>
        <v xml:space="preserve">Mes </v>
      </c>
      <c r="E43" s="90">
        <f>SERVICIO!B197</f>
        <v>30.4</v>
      </c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</row>
    <row r="44" spans="1:24" ht="23.15" customHeight="1" x14ac:dyDescent="0.45">
      <c r="D44" s="91" t="str">
        <f>SERVICIO!A198</f>
        <v>Periodo Pago (días)</v>
      </c>
      <c r="E44" s="92">
        <f>SERVICIO!B198</f>
        <v>30</v>
      </c>
      <c r="S44" s="17"/>
    </row>
    <row r="45" spans="1:24" ht="23.15" customHeight="1" x14ac:dyDescent="0.45">
      <c r="D45" s="93" t="str">
        <f>SERVICIO!A199</f>
        <v>Gas lp</v>
      </c>
      <c r="E45" s="94">
        <f>SERVICIO!B199</f>
        <v>0</v>
      </c>
    </row>
    <row r="46" spans="1:24" ht="23.15" customHeight="1" x14ac:dyDescent="0.45">
      <c r="D46" s="95" t="str">
        <f>SERVICIO!A200</f>
        <v>Gasolina Magna</v>
      </c>
      <c r="E46" s="96">
        <f>SERVICIO!B200</f>
        <v>22</v>
      </c>
    </row>
    <row r="47" spans="1:24" ht="23.15" customHeight="1" x14ac:dyDescent="0.45">
      <c r="D47" s="97" t="str">
        <f>SERVICIO!A201</f>
        <v>Diesel</v>
      </c>
      <c r="E47" s="98">
        <f>SERVICIO!B201</f>
        <v>23</v>
      </c>
    </row>
    <row r="50" spans="4:17" ht="23.15" customHeight="1" x14ac:dyDescent="0.45"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</row>
    <row r="52" spans="4:17" ht="23.15" customHeight="1" x14ac:dyDescent="0.45"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</row>
    <row r="54" spans="4:17" ht="23.15" customHeight="1" x14ac:dyDescent="0.45"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</row>
    <row r="58" spans="4:17" ht="23.15" customHeight="1" x14ac:dyDescent="0.45"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</row>
    <row r="59" spans="4:17" ht="23.15" customHeight="1" x14ac:dyDescent="0.45"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</row>
    <row r="61" spans="4:17" ht="23.15" customHeight="1" x14ac:dyDescent="0.45">
      <c r="D61" s="99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</row>
    <row r="67" spans="2:2" ht="23.15" customHeight="1" x14ac:dyDescent="0.45">
      <c r="B67" s="17"/>
    </row>
  </sheetData>
  <mergeCells count="19">
    <mergeCell ref="A12:B12"/>
    <mergeCell ref="A14:B14"/>
    <mergeCell ref="A30:B30"/>
    <mergeCell ref="A24:B24"/>
    <mergeCell ref="A26:B26"/>
    <mergeCell ref="A28:B28"/>
    <mergeCell ref="A39:B39"/>
    <mergeCell ref="T5:T6"/>
    <mergeCell ref="A37:B37"/>
    <mergeCell ref="A35:B35"/>
    <mergeCell ref="R5:R6"/>
    <mergeCell ref="A33:B33"/>
    <mergeCell ref="A8:B8"/>
    <mergeCell ref="A16:B16"/>
    <mergeCell ref="A18:B18"/>
    <mergeCell ref="A20:B20"/>
    <mergeCell ref="A22:B22"/>
    <mergeCell ref="A10:B10"/>
    <mergeCell ref="A2:B6"/>
  </mergeCells>
  <phoneticPr fontId="38" type="noConversion"/>
  <pageMargins left="0.25" right="0.25" top="0.75" bottom="0.75" header="0.3" footer="0.3"/>
  <pageSetup paperSize="3" scale="64" pageOrder="overThenDown" orientation="landscape" r:id="rId1"/>
  <headerFooter>
    <oddFooter xml:space="preserve">&amp;C&amp;"-,Negrita"&amp;16VERSION 1.0 2016 &amp;11
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Z34"/>
  <sheetViews>
    <sheetView zoomScale="48" zoomScaleNormal="70" zoomScalePageLayoutView="110" workbookViewId="0">
      <pane xSplit="11" ySplit="7" topLeftCell="M8" activePane="bottomRight" state="frozen"/>
      <selection pane="topRight" activeCell="M1" sqref="M1"/>
      <selection pane="bottomLeft" activeCell="A8" sqref="A8"/>
      <selection pane="bottomRight" activeCell="M17" sqref="M17"/>
    </sheetView>
  </sheetViews>
  <sheetFormatPr baseColWidth="10" defaultColWidth="10.5" defaultRowHeight="20.149999999999999" customHeight="1" x14ac:dyDescent="0.35"/>
  <cols>
    <col min="1" max="1" width="3.08203125" style="2" customWidth="1"/>
    <col min="2" max="2" width="20.08203125" style="2" customWidth="1"/>
    <col min="3" max="3" width="10.58203125" style="2" bestFit="1" customWidth="1"/>
    <col min="4" max="4" width="49.33203125" style="2" customWidth="1"/>
    <col min="5" max="5" width="10.08203125" style="2" customWidth="1"/>
    <col min="6" max="6" width="11.5" style="2" customWidth="1"/>
    <col min="7" max="8" width="15.83203125" style="2" customWidth="1"/>
    <col min="9" max="9" width="15.58203125" style="2" bestFit="1" customWidth="1"/>
    <col min="10" max="10" width="16.83203125" style="2" bestFit="1" customWidth="1"/>
    <col min="11" max="11" width="20.33203125" style="2" bestFit="1" customWidth="1"/>
    <col min="12" max="12" width="2.33203125" style="2" customWidth="1"/>
    <col min="13" max="13" width="17.83203125" style="2" bestFit="1" customWidth="1"/>
    <col min="14" max="14" width="17.08203125" style="2" bestFit="1" customWidth="1"/>
    <col min="15" max="15" width="16.58203125" style="2" bestFit="1" customWidth="1"/>
    <col min="16" max="16" width="15.1640625" style="2" bestFit="1" customWidth="1"/>
    <col min="17" max="17" width="15.83203125" style="2" bestFit="1" customWidth="1"/>
    <col min="18" max="18" width="15.4140625" style="2" bestFit="1" customWidth="1"/>
    <col min="19" max="19" width="15.1640625" style="2" bestFit="1" customWidth="1"/>
    <col min="20" max="20" width="15.4140625" style="2" bestFit="1" customWidth="1"/>
    <col min="21" max="21" width="15.6640625" style="2" bestFit="1" customWidth="1"/>
    <col min="22" max="22" width="15.4140625" style="2" bestFit="1" customWidth="1"/>
    <col min="23" max="23" width="15.1640625" style="2" bestFit="1" customWidth="1"/>
    <col min="24" max="24" width="15.4140625" style="2" bestFit="1" customWidth="1"/>
    <col min="25" max="25" width="15.08203125" style="2" bestFit="1" customWidth="1"/>
    <col min="26" max="26" width="15.58203125" style="2" bestFit="1" customWidth="1"/>
    <col min="27" max="16384" width="10.5" style="2"/>
  </cols>
  <sheetData>
    <row r="1" spans="1:26" ht="20.149999999999999" customHeight="1" x14ac:dyDescent="0.35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3"/>
    </row>
    <row r="2" spans="1:26" ht="20.149999999999999" customHeight="1" x14ac:dyDescent="0.35">
      <c r="A2" s="33"/>
      <c r="B2" s="35" t="s">
        <v>8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4"/>
      <c r="N2" s="34"/>
      <c r="O2" s="455"/>
      <c r="P2" s="455"/>
      <c r="Q2" s="455"/>
      <c r="R2" s="455"/>
      <c r="S2" s="455"/>
      <c r="T2" s="455"/>
      <c r="U2" s="455"/>
      <c r="V2" s="34"/>
      <c r="W2" s="34"/>
      <c r="X2" s="34"/>
      <c r="Y2" s="34"/>
      <c r="Z2" s="33"/>
    </row>
    <row r="3" spans="1:26" ht="20.149999999999999" customHeight="1" x14ac:dyDescent="0.35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455"/>
      <c r="P3" s="455"/>
      <c r="Q3" s="455"/>
      <c r="R3" s="455"/>
      <c r="S3" s="455"/>
      <c r="T3" s="455"/>
      <c r="U3" s="455"/>
      <c r="V3" s="33"/>
      <c r="W3" s="33"/>
      <c r="X3" s="33"/>
      <c r="Y3" s="33"/>
      <c r="Z3" s="33"/>
    </row>
    <row r="4" spans="1:26" ht="32.15" customHeight="1" x14ac:dyDescent="0.35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 spans="1:26" ht="20.149999999999999" customHeight="1" x14ac:dyDescent="0.35">
      <c r="A5" s="37"/>
      <c r="B5" s="451" t="s">
        <v>285</v>
      </c>
      <c r="C5" s="451" t="s">
        <v>258</v>
      </c>
      <c r="D5" s="451" t="s">
        <v>9</v>
      </c>
      <c r="E5" s="451" t="s">
        <v>28</v>
      </c>
      <c r="F5" s="451" t="s">
        <v>2</v>
      </c>
      <c r="G5" s="454" t="s">
        <v>354</v>
      </c>
      <c r="H5" s="454" t="s">
        <v>355</v>
      </c>
      <c r="I5" s="453" t="s">
        <v>335</v>
      </c>
      <c r="J5" s="453" t="s">
        <v>356</v>
      </c>
      <c r="K5" s="452" t="s">
        <v>265</v>
      </c>
      <c r="M5" s="390" t="s">
        <v>84</v>
      </c>
      <c r="N5" s="390" t="s">
        <v>84</v>
      </c>
      <c r="O5" s="391" t="s">
        <v>66</v>
      </c>
      <c r="P5" s="390" t="s">
        <v>67</v>
      </c>
      <c r="Q5" s="390" t="s">
        <v>68</v>
      </c>
      <c r="R5" s="390" t="s">
        <v>69</v>
      </c>
      <c r="S5" s="390" t="s">
        <v>70</v>
      </c>
      <c r="T5" s="390" t="s">
        <v>71</v>
      </c>
      <c r="U5" s="390" t="s">
        <v>72</v>
      </c>
      <c r="V5" s="390" t="s">
        <v>73</v>
      </c>
      <c r="W5" s="390" t="s">
        <v>74</v>
      </c>
      <c r="X5" s="390" t="s">
        <v>75</v>
      </c>
      <c r="Y5" s="390" t="s">
        <v>76</v>
      </c>
      <c r="Z5" s="390" t="s">
        <v>77</v>
      </c>
    </row>
    <row r="6" spans="1:26" ht="20.149999999999999" customHeight="1" x14ac:dyDescent="0.35">
      <c r="A6" s="37"/>
      <c r="B6" s="451"/>
      <c r="C6" s="451"/>
      <c r="D6" s="451"/>
      <c r="E6" s="451"/>
      <c r="F6" s="451"/>
      <c r="G6" s="454"/>
      <c r="H6" s="454"/>
      <c r="I6" s="453"/>
      <c r="J6" s="453"/>
      <c r="K6" s="452"/>
      <c r="M6" s="392"/>
      <c r="N6" s="392"/>
      <c r="O6" s="392" t="s">
        <v>436</v>
      </c>
      <c r="P6" s="392" t="s">
        <v>437</v>
      </c>
      <c r="Q6" s="392" t="s">
        <v>438</v>
      </c>
      <c r="R6" s="392" t="s">
        <v>439</v>
      </c>
      <c r="S6" s="392" t="s">
        <v>392</v>
      </c>
      <c r="T6" s="392" t="s">
        <v>393</v>
      </c>
      <c r="U6" s="392" t="s">
        <v>394</v>
      </c>
      <c r="V6" s="392" t="s">
        <v>395</v>
      </c>
      <c r="W6" s="392" t="s">
        <v>396</v>
      </c>
      <c r="X6" s="392" t="s">
        <v>397</v>
      </c>
      <c r="Y6" s="392" t="s">
        <v>398</v>
      </c>
      <c r="Z6" s="392" t="s">
        <v>399</v>
      </c>
    </row>
    <row r="7" spans="1:26" ht="20.149999999999999" customHeight="1" x14ac:dyDescent="0.35">
      <c r="A7" s="37"/>
      <c r="B7" s="451"/>
      <c r="C7" s="451"/>
      <c r="D7" s="451"/>
      <c r="E7" s="451"/>
      <c r="F7" s="451"/>
      <c r="G7" s="361" t="s">
        <v>259</v>
      </c>
      <c r="H7" s="361" t="s">
        <v>259</v>
      </c>
      <c r="I7" s="362" t="s">
        <v>260</v>
      </c>
      <c r="J7" s="363" t="s">
        <v>260</v>
      </c>
      <c r="K7" s="364" t="s">
        <v>260</v>
      </c>
      <c r="M7" s="393"/>
      <c r="N7" s="393"/>
      <c r="O7" s="393">
        <v>31</v>
      </c>
      <c r="P7" s="393">
        <v>29</v>
      </c>
      <c r="Q7" s="393">
        <v>31</v>
      </c>
      <c r="R7" s="393">
        <v>30</v>
      </c>
      <c r="S7" s="393">
        <v>30</v>
      </c>
      <c r="T7" s="393">
        <v>31</v>
      </c>
      <c r="U7" s="393">
        <v>31</v>
      </c>
      <c r="V7" s="393">
        <v>31</v>
      </c>
      <c r="W7" s="393">
        <v>30</v>
      </c>
      <c r="X7" s="393">
        <v>31</v>
      </c>
      <c r="Y7" s="393">
        <v>30</v>
      </c>
      <c r="Z7" s="393">
        <v>31</v>
      </c>
    </row>
    <row r="8" spans="1:26" ht="52" customHeight="1" x14ac:dyDescent="0.35">
      <c r="A8" s="37"/>
      <c r="B8" s="39" t="s">
        <v>92</v>
      </c>
      <c r="C8" s="39">
        <v>1.2</v>
      </c>
      <c r="D8" s="40" t="s">
        <v>435</v>
      </c>
      <c r="E8" s="39" t="s">
        <v>309</v>
      </c>
      <c r="F8" s="320">
        <f>PREMISAS!G7</f>
        <v>1</v>
      </c>
      <c r="G8" s="42">
        <f>PREMISAS!H7</f>
        <v>104077.7</v>
      </c>
      <c r="H8" s="42">
        <f t="shared" ref="H8:H13" si="0">G8*F8</f>
        <v>104077.7</v>
      </c>
      <c r="I8" s="42">
        <f>PREMISAS!I7</f>
        <v>1880684.0389999999</v>
      </c>
      <c r="J8" s="61">
        <f t="shared" ref="J8:J13" si="1">F8*I8</f>
        <v>1880684.0389999999</v>
      </c>
      <c r="K8" s="42">
        <f t="shared" ref="K8:K13" si="2">J8*1.16</f>
        <v>2181593.4852399998</v>
      </c>
      <c r="M8" s="250">
        <f>PREMISAS!M7</f>
        <v>1880684.0389999999</v>
      </c>
      <c r="N8" s="250">
        <f>PREMISAS!N7</f>
        <v>0</v>
      </c>
      <c r="O8" s="250">
        <f>PREMISAS!O7</f>
        <v>0</v>
      </c>
      <c r="P8" s="250">
        <f>PREMISAS!P7</f>
        <v>0</v>
      </c>
      <c r="Q8" s="250">
        <f>PREMISAS!Q7</f>
        <v>0</v>
      </c>
      <c r="R8" s="250">
        <f>PREMISAS!R7</f>
        <v>0</v>
      </c>
      <c r="S8" s="250">
        <f>PREMISAS!S7</f>
        <v>0</v>
      </c>
      <c r="T8" s="250">
        <f>PREMISAS!T7</f>
        <v>0</v>
      </c>
      <c r="U8" s="250">
        <f>PREMISAS!U7</f>
        <v>0</v>
      </c>
      <c r="V8" s="250">
        <f>PREMISAS!V7</f>
        <v>0</v>
      </c>
      <c r="W8" s="250">
        <f>PREMISAS!W7</f>
        <v>0</v>
      </c>
      <c r="X8" s="250">
        <f>PREMISAS!X7</f>
        <v>0</v>
      </c>
      <c r="Y8" s="250">
        <f>PREMISAS!Y7</f>
        <v>0</v>
      </c>
      <c r="Z8" s="250">
        <f>PREMISAS!Z7</f>
        <v>0</v>
      </c>
    </row>
    <row r="9" spans="1:26" ht="36" customHeight="1" x14ac:dyDescent="0.35">
      <c r="A9" s="37"/>
      <c r="B9" s="39" t="s">
        <v>92</v>
      </c>
      <c r="C9" s="39">
        <v>2.2000000000000002</v>
      </c>
      <c r="D9" s="40" t="s">
        <v>310</v>
      </c>
      <c r="E9" s="39" t="s">
        <v>311</v>
      </c>
      <c r="F9" s="320">
        <f>PREMISAS!G8</f>
        <v>1</v>
      </c>
      <c r="G9" s="42">
        <f>PREMISAS!H8</f>
        <v>1149249.02</v>
      </c>
      <c r="H9" s="42">
        <f t="shared" si="0"/>
        <v>1149249.02</v>
      </c>
      <c r="I9" s="42">
        <f>PREMISAS!I8</f>
        <v>20766929.7914</v>
      </c>
      <c r="J9" s="61">
        <f t="shared" si="1"/>
        <v>20766929.7914</v>
      </c>
      <c r="K9" s="42">
        <f t="shared" si="2"/>
        <v>24089638.558024</v>
      </c>
      <c r="M9" s="250">
        <f>PREMISAS!M8</f>
        <v>0</v>
      </c>
      <c r="N9" s="250">
        <f>PREMISAS!N8</f>
        <v>20766929.7914</v>
      </c>
      <c r="O9" s="250">
        <f>PREMISAS!O8</f>
        <v>0</v>
      </c>
      <c r="P9" s="250">
        <f>PREMISAS!P8</f>
        <v>0</v>
      </c>
      <c r="Q9" s="250">
        <f>PREMISAS!Q8</f>
        <v>0</v>
      </c>
      <c r="R9" s="250">
        <f>PREMISAS!R8</f>
        <v>0</v>
      </c>
      <c r="S9" s="250">
        <f>PREMISAS!S8</f>
        <v>0</v>
      </c>
      <c r="T9" s="250">
        <f>PREMISAS!T8</f>
        <v>0</v>
      </c>
      <c r="U9" s="250">
        <f>PREMISAS!U8</f>
        <v>0</v>
      </c>
      <c r="V9" s="250">
        <f>PREMISAS!V8</f>
        <v>0</v>
      </c>
      <c r="W9" s="250">
        <f>PREMISAS!W8</f>
        <v>0</v>
      </c>
      <c r="X9" s="250">
        <f>PREMISAS!X8</f>
        <v>0</v>
      </c>
      <c r="Y9" s="250">
        <f>PREMISAS!Y8</f>
        <v>0</v>
      </c>
      <c r="Z9" s="250">
        <f>PREMISAS!Z8</f>
        <v>0</v>
      </c>
    </row>
    <row r="10" spans="1:26" ht="36" customHeight="1" x14ac:dyDescent="0.35">
      <c r="A10" s="37"/>
      <c r="B10" s="39" t="s">
        <v>92</v>
      </c>
      <c r="C10" s="39">
        <v>2.6</v>
      </c>
      <c r="D10" s="40" t="s">
        <v>403</v>
      </c>
      <c r="E10" s="39" t="s">
        <v>311</v>
      </c>
      <c r="F10" s="320">
        <f>PREMISAS!G9</f>
        <v>1</v>
      </c>
      <c r="G10" s="42">
        <f>PREMISAS!H9</f>
        <v>880052.49</v>
      </c>
      <c r="H10" s="42">
        <f t="shared" si="0"/>
        <v>880052.49</v>
      </c>
      <c r="I10" s="42">
        <f>PREMISAS!I9</f>
        <v>15902548.4943</v>
      </c>
      <c r="J10" s="61">
        <f t="shared" si="1"/>
        <v>15902548.4943</v>
      </c>
      <c r="K10" s="42">
        <f t="shared" si="2"/>
        <v>18446956.253387999</v>
      </c>
      <c r="M10" s="250">
        <f>PREMISAS!M9</f>
        <v>15902548.4943</v>
      </c>
      <c r="N10" s="250">
        <f>PREMISAS!N9</f>
        <v>0</v>
      </c>
      <c r="O10" s="250">
        <f>PREMISAS!O9</f>
        <v>0</v>
      </c>
      <c r="P10" s="250">
        <f>PREMISAS!P9</f>
        <v>0</v>
      </c>
      <c r="Q10" s="250">
        <f>PREMISAS!Q9</f>
        <v>0</v>
      </c>
      <c r="R10" s="250">
        <f>PREMISAS!R9</f>
        <v>0</v>
      </c>
      <c r="S10" s="250">
        <f>PREMISAS!S9</f>
        <v>0</v>
      </c>
      <c r="T10" s="250">
        <f>PREMISAS!T9</f>
        <v>0</v>
      </c>
      <c r="U10" s="250">
        <f>PREMISAS!U9</f>
        <v>0</v>
      </c>
      <c r="V10" s="250">
        <f>PREMISAS!V9</f>
        <v>0</v>
      </c>
      <c r="W10" s="250">
        <f>PREMISAS!W9</f>
        <v>0</v>
      </c>
      <c r="X10" s="250">
        <f>PREMISAS!X9</f>
        <v>0</v>
      </c>
      <c r="Y10" s="250">
        <f>PREMISAS!Y9</f>
        <v>0</v>
      </c>
      <c r="Z10" s="250">
        <f>PREMISAS!Z9</f>
        <v>0</v>
      </c>
    </row>
    <row r="11" spans="1:26" ht="36" customHeight="1" x14ac:dyDescent="0.35">
      <c r="A11" s="37"/>
      <c r="B11" s="39" t="s">
        <v>92</v>
      </c>
      <c r="C11" s="39">
        <v>2.6</v>
      </c>
      <c r="D11" s="40" t="s">
        <v>312</v>
      </c>
      <c r="E11" s="39" t="s">
        <v>311</v>
      </c>
      <c r="F11" s="320">
        <f>PREMISAS!G10</f>
        <v>1</v>
      </c>
      <c r="G11" s="42">
        <f>PREMISAS!H10</f>
        <v>0</v>
      </c>
      <c r="H11" s="42">
        <f t="shared" si="0"/>
        <v>0</v>
      </c>
      <c r="I11" s="42">
        <f>PREMISAS!I10</f>
        <v>0</v>
      </c>
      <c r="J11" s="61">
        <f t="shared" si="1"/>
        <v>0</v>
      </c>
      <c r="K11" s="42">
        <f t="shared" si="2"/>
        <v>0</v>
      </c>
      <c r="M11" s="250">
        <f>PREMISAS!M10</f>
        <v>0</v>
      </c>
      <c r="N11" s="250">
        <f>PREMISAS!N10</f>
        <v>0</v>
      </c>
      <c r="O11" s="250">
        <f>PREMISAS!O10</f>
        <v>0</v>
      </c>
      <c r="P11" s="250">
        <f>PREMISAS!P10</f>
        <v>0</v>
      </c>
      <c r="Q11" s="250">
        <f>PREMISAS!Q10</f>
        <v>0</v>
      </c>
      <c r="R11" s="250">
        <f>PREMISAS!R10</f>
        <v>0</v>
      </c>
      <c r="S11" s="250">
        <f>PREMISAS!S10</f>
        <v>0</v>
      </c>
      <c r="T11" s="250">
        <f>PREMISAS!T10</f>
        <v>0</v>
      </c>
      <c r="U11" s="250">
        <f>PREMISAS!U10</f>
        <v>0</v>
      </c>
      <c r="V11" s="250">
        <f>PREMISAS!V10</f>
        <v>0</v>
      </c>
      <c r="W11" s="250">
        <f>PREMISAS!W10</f>
        <v>0</v>
      </c>
      <c r="X11" s="250">
        <f>PREMISAS!X10</f>
        <v>0</v>
      </c>
      <c r="Y11" s="250">
        <f>PREMISAS!Y10</f>
        <v>0</v>
      </c>
      <c r="Z11" s="250">
        <f>PREMISAS!Z10</f>
        <v>0</v>
      </c>
    </row>
    <row r="12" spans="1:26" ht="46.5" x14ac:dyDescent="0.35">
      <c r="A12" s="37"/>
      <c r="B12" s="39" t="s">
        <v>92</v>
      </c>
      <c r="C12" s="39">
        <v>2.7</v>
      </c>
      <c r="D12" s="40" t="s">
        <v>390</v>
      </c>
      <c r="E12" s="39" t="s">
        <v>311</v>
      </c>
      <c r="F12" s="320">
        <f>PREMISAS!G11</f>
        <v>0</v>
      </c>
      <c r="G12" s="42">
        <f>PREMISAS!H11</f>
        <v>0</v>
      </c>
      <c r="H12" s="42">
        <f t="shared" si="0"/>
        <v>0</v>
      </c>
      <c r="I12" s="42">
        <f>PREMISAS!I11</f>
        <v>0</v>
      </c>
      <c r="J12" s="61">
        <f t="shared" si="1"/>
        <v>0</v>
      </c>
      <c r="K12" s="42">
        <f t="shared" si="2"/>
        <v>0</v>
      </c>
      <c r="M12" s="250">
        <f>PREMISAS!M11</f>
        <v>0</v>
      </c>
      <c r="N12" s="250">
        <f>PREMISAS!N11</f>
        <v>0</v>
      </c>
      <c r="O12" s="250">
        <f>PREMISAS!O11</f>
        <v>0</v>
      </c>
      <c r="P12" s="250">
        <f>PREMISAS!P11</f>
        <v>0</v>
      </c>
      <c r="Q12" s="250">
        <f>PREMISAS!Q11</f>
        <v>0</v>
      </c>
      <c r="R12" s="250">
        <f>PREMISAS!R11</f>
        <v>0</v>
      </c>
      <c r="S12" s="250">
        <f>PREMISAS!S11</f>
        <v>0</v>
      </c>
      <c r="T12" s="250">
        <f>PREMISAS!T11</f>
        <v>0</v>
      </c>
      <c r="U12" s="250">
        <f>PREMISAS!U11</f>
        <v>0</v>
      </c>
      <c r="V12" s="250">
        <f>PREMISAS!V11</f>
        <v>0</v>
      </c>
      <c r="W12" s="250">
        <f>PREMISAS!W11</f>
        <v>0</v>
      </c>
      <c r="X12" s="250">
        <f>PREMISAS!X11</f>
        <v>0</v>
      </c>
      <c r="Y12" s="250">
        <f>PREMISAS!Y11</f>
        <v>0</v>
      </c>
      <c r="Z12" s="250">
        <f>PREMISAS!Z11</f>
        <v>0</v>
      </c>
    </row>
    <row r="13" spans="1:26" ht="46.5" x14ac:dyDescent="0.35">
      <c r="A13" s="37"/>
      <c r="B13" s="39" t="s">
        <v>92</v>
      </c>
      <c r="C13" s="39">
        <v>2.7</v>
      </c>
      <c r="D13" s="40" t="s">
        <v>443</v>
      </c>
      <c r="E13" s="39" t="s">
        <v>311</v>
      </c>
      <c r="F13" s="320">
        <f>PREMISAS!G12</f>
        <v>1</v>
      </c>
      <c r="G13" s="42">
        <f>PREMISAS!H12</f>
        <v>2034857.9100000001</v>
      </c>
      <c r="H13" s="42">
        <f t="shared" si="0"/>
        <v>2034857.9100000001</v>
      </c>
      <c r="I13" s="42">
        <f>PREMISAS!I12</f>
        <v>36769882.433700003</v>
      </c>
      <c r="J13" s="61">
        <f t="shared" si="1"/>
        <v>36769882.433700003</v>
      </c>
      <c r="K13" s="42">
        <f t="shared" si="2"/>
        <v>42653063.623092003</v>
      </c>
      <c r="M13" s="250">
        <f>PREMISAS!M12</f>
        <v>0</v>
      </c>
      <c r="N13" s="250">
        <f>PREMISAS!N12</f>
        <v>36769882.433700003</v>
      </c>
      <c r="O13" s="250">
        <f>PREMISAS!O12</f>
        <v>0</v>
      </c>
      <c r="P13" s="250">
        <f>PREMISAS!P12</f>
        <v>0</v>
      </c>
      <c r="Q13" s="250">
        <f>PREMISAS!Q12</f>
        <v>0</v>
      </c>
      <c r="R13" s="250">
        <f>PREMISAS!R12</f>
        <v>0</v>
      </c>
      <c r="S13" s="250">
        <f>PREMISAS!S12</f>
        <v>0</v>
      </c>
      <c r="T13" s="250">
        <f>PREMISAS!T12</f>
        <v>0</v>
      </c>
      <c r="U13" s="250">
        <f>PREMISAS!U12</f>
        <v>0</v>
      </c>
      <c r="V13" s="250">
        <f>PREMISAS!V12</f>
        <v>0</v>
      </c>
      <c r="W13" s="250">
        <f>PREMISAS!W12</f>
        <v>0</v>
      </c>
      <c r="X13" s="250">
        <f>PREMISAS!X12</f>
        <v>0</v>
      </c>
      <c r="Y13" s="250">
        <f>PREMISAS!Y12</f>
        <v>0</v>
      </c>
      <c r="Z13" s="250">
        <f>PREMISAS!Z12</f>
        <v>0</v>
      </c>
    </row>
    <row r="14" spans="1:26" ht="20.149999999999999" customHeight="1" x14ac:dyDescent="0.35">
      <c r="A14" s="37"/>
      <c r="B14" s="46"/>
      <c r="C14" s="46"/>
      <c r="D14" s="46"/>
      <c r="E14" s="46"/>
      <c r="F14" s="46"/>
      <c r="G14" s="46"/>
      <c r="H14" s="46"/>
      <c r="I14" s="46"/>
      <c r="J14" s="46"/>
      <c r="K14" s="46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18"/>
    </row>
    <row r="15" spans="1:26" ht="20.149999999999999" customHeight="1" thickBot="1" x14ac:dyDescent="0.4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M15" s="47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8"/>
    </row>
    <row r="16" spans="1:26" ht="20.149999999999999" customHeight="1" x14ac:dyDescent="0.35">
      <c r="A16" s="46"/>
      <c r="B16" s="437" t="str">
        <f>PREMISAS!C17</f>
        <v>Premisas</v>
      </c>
      <c r="C16" s="438"/>
      <c r="D16" s="11"/>
      <c r="E16" s="11"/>
      <c r="F16" s="11"/>
      <c r="G16" s="46"/>
      <c r="H16" s="46"/>
      <c r="J16" s="46"/>
      <c r="K16" s="50" t="s">
        <v>262</v>
      </c>
      <c r="M16" s="51">
        <f t="shared" ref="M16:Z16" si="3">SUM(M8:M14)</f>
        <v>17783232.533300001</v>
      </c>
      <c r="N16" s="51">
        <f t="shared" si="3"/>
        <v>57536812.225100003</v>
      </c>
      <c r="O16" s="51">
        <f t="shared" si="3"/>
        <v>0</v>
      </c>
      <c r="P16" s="51">
        <f t="shared" si="3"/>
        <v>0</v>
      </c>
      <c r="Q16" s="51">
        <f t="shared" si="3"/>
        <v>0</v>
      </c>
      <c r="R16" s="51">
        <f t="shared" si="3"/>
        <v>0</v>
      </c>
      <c r="S16" s="51">
        <f t="shared" si="3"/>
        <v>0</v>
      </c>
      <c r="T16" s="51">
        <f t="shared" si="3"/>
        <v>0</v>
      </c>
      <c r="U16" s="51">
        <f t="shared" si="3"/>
        <v>0</v>
      </c>
      <c r="V16" s="51">
        <f t="shared" si="3"/>
        <v>0</v>
      </c>
      <c r="W16" s="51">
        <f t="shared" si="3"/>
        <v>0</v>
      </c>
      <c r="X16" s="51">
        <f t="shared" si="3"/>
        <v>0</v>
      </c>
      <c r="Y16" s="51">
        <f t="shared" si="3"/>
        <v>0</v>
      </c>
      <c r="Z16" s="51">
        <f t="shared" si="3"/>
        <v>0</v>
      </c>
    </row>
    <row r="17" spans="1:26" ht="20.149999999999999" customHeight="1" x14ac:dyDescent="0.35">
      <c r="A17" s="46"/>
      <c r="B17" s="303" t="str">
        <f>PREMISAS!C18</f>
        <v>Paridad</v>
      </c>
      <c r="C17" s="304">
        <f>PREMISAS!D18</f>
        <v>18.07</v>
      </c>
      <c r="D17" s="11"/>
      <c r="E17" s="11"/>
      <c r="F17" s="11"/>
      <c r="H17" s="46"/>
      <c r="J17" s="18"/>
      <c r="K17" s="53" t="s">
        <v>263</v>
      </c>
      <c r="M17" s="43">
        <f>M16/$C$17</f>
        <v>984130.19000000006</v>
      </c>
      <c r="N17" s="43">
        <f t="shared" ref="N17:Z17" si="4">N16/$C$17</f>
        <v>3184106.93</v>
      </c>
      <c r="O17" s="43">
        <f t="shared" si="4"/>
        <v>0</v>
      </c>
      <c r="P17" s="43">
        <f t="shared" si="4"/>
        <v>0</v>
      </c>
      <c r="Q17" s="43">
        <f t="shared" si="4"/>
        <v>0</v>
      </c>
      <c r="R17" s="43">
        <f t="shared" si="4"/>
        <v>0</v>
      </c>
      <c r="S17" s="43">
        <f t="shared" si="4"/>
        <v>0</v>
      </c>
      <c r="T17" s="43">
        <f t="shared" si="4"/>
        <v>0</v>
      </c>
      <c r="U17" s="43">
        <f t="shared" si="4"/>
        <v>0</v>
      </c>
      <c r="V17" s="43">
        <f t="shared" si="4"/>
        <v>0</v>
      </c>
      <c r="W17" s="43">
        <f t="shared" si="4"/>
        <v>0</v>
      </c>
      <c r="X17" s="43">
        <f t="shared" si="4"/>
        <v>0</v>
      </c>
      <c r="Y17" s="43">
        <f t="shared" si="4"/>
        <v>0</v>
      </c>
      <c r="Z17" s="43">
        <f t="shared" si="4"/>
        <v>0</v>
      </c>
    </row>
    <row r="18" spans="1:26" ht="20.149999999999999" customHeight="1" x14ac:dyDescent="0.35">
      <c r="A18" s="46"/>
      <c r="B18" s="305" t="str">
        <f>PREMISAS!C19</f>
        <v xml:space="preserve">Mes </v>
      </c>
      <c r="C18" s="306">
        <f>PREMISAS!D19</f>
        <v>30.4</v>
      </c>
      <c r="D18" s="11"/>
      <c r="E18" s="11"/>
      <c r="F18" s="11"/>
      <c r="H18" s="46"/>
      <c r="J18" s="18"/>
      <c r="K18" s="50" t="s">
        <v>284</v>
      </c>
      <c r="M18" s="51">
        <f>SUM(M16:Z16)</f>
        <v>75320044.758400008</v>
      </c>
      <c r="Y18" s="18"/>
      <c r="Z18" s="18"/>
    </row>
    <row r="19" spans="1:26" ht="20.149999999999999" customHeight="1" x14ac:dyDescent="0.35">
      <c r="A19" s="46"/>
      <c r="B19" s="307" t="str">
        <f>PREMISAS!C20</f>
        <v>Periodo Pago (días)</v>
      </c>
      <c r="C19" s="308">
        <f>PREMISAS!D20</f>
        <v>30</v>
      </c>
      <c r="D19" s="11"/>
      <c r="E19" s="11"/>
      <c r="F19" s="11"/>
      <c r="H19" s="46"/>
      <c r="J19" s="56"/>
      <c r="K19" s="53" t="s">
        <v>261</v>
      </c>
      <c r="M19" s="57">
        <f>M18/C17</f>
        <v>4168237.1200000006</v>
      </c>
      <c r="Y19" s="18"/>
      <c r="Z19" s="18"/>
    </row>
    <row r="20" spans="1:26" ht="20.149999999999999" customHeight="1" x14ac:dyDescent="0.35">
      <c r="A20" s="46"/>
      <c r="B20" s="309" t="str">
        <f>PREMISAS!C21</f>
        <v>Gas lp</v>
      </c>
      <c r="C20" s="310">
        <f>PREMISAS!D21</f>
        <v>0</v>
      </c>
      <c r="D20" s="11"/>
      <c r="E20" s="11"/>
      <c r="F20" s="11"/>
      <c r="H20" s="46"/>
      <c r="J20" s="56"/>
      <c r="Y20" s="18"/>
      <c r="Z20" s="18"/>
    </row>
    <row r="21" spans="1:26" ht="20.149999999999999" customHeight="1" x14ac:dyDescent="0.35">
      <c r="B21" s="311" t="str">
        <f>PREMISAS!C22</f>
        <v>Gasolina Magna</v>
      </c>
      <c r="C21" s="312">
        <f>PREMISAS!D22</f>
        <v>22</v>
      </c>
      <c r="D21" s="11"/>
      <c r="E21" s="11"/>
      <c r="F21" s="11"/>
      <c r="H21" s="46"/>
      <c r="J21" s="56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Y21" s="18"/>
      <c r="Z21" s="18"/>
    </row>
    <row r="22" spans="1:26" ht="20.149999999999999" customHeight="1" thickBot="1" x14ac:dyDescent="0.4">
      <c r="B22" s="313" t="str">
        <f>PREMISAS!C23</f>
        <v>Diesel</v>
      </c>
      <c r="C22" s="314">
        <f>PREMISAS!D23</f>
        <v>23</v>
      </c>
      <c r="D22" s="11"/>
      <c r="E22" s="11"/>
      <c r="F22" s="11"/>
      <c r="H22" s="46"/>
      <c r="J22" s="56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8"/>
      <c r="X22" s="18"/>
      <c r="Y22" s="18"/>
    </row>
    <row r="23" spans="1:26" ht="20.149999999999999" customHeight="1" x14ac:dyDescent="0.35">
      <c r="D23" s="11"/>
      <c r="E23" s="11"/>
      <c r="F23" s="11"/>
      <c r="J23" s="56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8"/>
      <c r="X23" s="18"/>
    </row>
    <row r="24" spans="1:26" ht="20.149999999999999" customHeight="1" x14ac:dyDescent="0.35">
      <c r="R24" s="11"/>
      <c r="S24" s="11"/>
      <c r="T24" s="11"/>
      <c r="U24" s="11"/>
      <c r="V24" s="11"/>
      <c r="X24" s="3"/>
    </row>
    <row r="25" spans="1:26" ht="20.149999999999999" customHeight="1" x14ac:dyDescent="0.35">
      <c r="R25" s="11"/>
      <c r="S25" s="11"/>
      <c r="T25" s="11"/>
      <c r="U25" s="11"/>
      <c r="V25" s="11"/>
    </row>
    <row r="26" spans="1:26" ht="20.149999999999999" customHeight="1" x14ac:dyDescent="0.35">
      <c r="R26" s="11"/>
      <c r="S26" s="11"/>
      <c r="T26" s="11"/>
      <c r="U26" s="11"/>
      <c r="V26" s="11"/>
    </row>
    <row r="27" spans="1:26" ht="20.149999999999999" customHeight="1" x14ac:dyDescent="0.35">
      <c r="R27" s="11"/>
      <c r="S27" s="11"/>
      <c r="T27" s="11"/>
      <c r="U27" s="11"/>
      <c r="V27" s="11"/>
    </row>
    <row r="28" spans="1:26" ht="20.149999999999999" customHeight="1" x14ac:dyDescent="0.35">
      <c r="R28" s="11"/>
      <c r="S28" s="11"/>
      <c r="T28" s="11"/>
      <c r="U28" s="11"/>
      <c r="V28" s="11"/>
    </row>
    <row r="29" spans="1:26" ht="20.149999999999999" customHeight="1" x14ac:dyDescent="0.35">
      <c r="R29" s="11"/>
      <c r="S29" s="11"/>
      <c r="T29" s="11"/>
      <c r="U29" s="11"/>
      <c r="V29" s="11"/>
    </row>
    <row r="30" spans="1:26" ht="20.149999999999999" customHeight="1" x14ac:dyDescent="0.35">
      <c r="R30" s="11"/>
      <c r="S30" s="11"/>
      <c r="T30" s="11"/>
      <c r="U30" s="11"/>
      <c r="V30" s="11"/>
    </row>
    <row r="31" spans="1:26" ht="20.149999999999999" customHeight="1" x14ac:dyDescent="0.35">
      <c r="R31" s="11"/>
      <c r="S31" s="11"/>
      <c r="T31" s="11"/>
      <c r="U31" s="11"/>
      <c r="V31" s="11"/>
    </row>
    <row r="32" spans="1:26" ht="20.149999999999999" customHeight="1" x14ac:dyDescent="0.35">
      <c r="R32" s="11"/>
      <c r="S32" s="11"/>
      <c r="T32" s="11"/>
      <c r="U32" s="11"/>
      <c r="V32" s="11"/>
    </row>
    <row r="33" spans="18:22" ht="20.149999999999999" customHeight="1" x14ac:dyDescent="0.35">
      <c r="R33" s="11"/>
      <c r="S33" s="11"/>
      <c r="T33" s="11"/>
      <c r="U33" s="11"/>
      <c r="V33" s="11"/>
    </row>
    <row r="34" spans="18:22" ht="20.149999999999999" customHeight="1" x14ac:dyDescent="0.35">
      <c r="R34" s="11"/>
      <c r="S34" s="11"/>
      <c r="T34" s="11"/>
      <c r="U34" s="11"/>
      <c r="V34" s="11"/>
    </row>
  </sheetData>
  <mergeCells count="18">
    <mergeCell ref="T2:T3"/>
    <mergeCell ref="U2:U3"/>
    <mergeCell ref="O2:O3"/>
    <mergeCell ref="P2:P3"/>
    <mergeCell ref="Q2:Q3"/>
    <mergeCell ref="R2:R3"/>
    <mergeCell ref="S2:S3"/>
    <mergeCell ref="K5:K6"/>
    <mergeCell ref="J5:J6"/>
    <mergeCell ref="I5:I6"/>
    <mergeCell ref="G5:G6"/>
    <mergeCell ref="F5:F7"/>
    <mergeCell ref="H5:H6"/>
    <mergeCell ref="B16:C16"/>
    <mergeCell ref="E5:E7"/>
    <mergeCell ref="D5:D7"/>
    <mergeCell ref="C5:C7"/>
    <mergeCell ref="B5:B7"/>
  </mergeCells>
  <phoneticPr fontId="8" type="noConversion"/>
  <pageMargins left="0.25" right="0.25" top="0.75" bottom="0.75" header="0.3" footer="0.3"/>
  <pageSetup paperSize="3" scale="5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Y91"/>
  <sheetViews>
    <sheetView zoomScale="50" zoomScaleNormal="50" workbookViewId="0">
      <pane xSplit="10" ySplit="7" topLeftCell="K14" activePane="bottomRight" state="frozen"/>
      <selection activeCell="B55" sqref="B55"/>
      <selection pane="topRight" activeCell="B55" sqref="B55"/>
      <selection pane="bottomLeft" activeCell="B55" sqref="B55"/>
      <selection pane="bottomRight" activeCell="C30" sqref="C30:E34"/>
    </sheetView>
  </sheetViews>
  <sheetFormatPr baseColWidth="10" defaultColWidth="10.5" defaultRowHeight="20.149999999999999" customHeight="1" x14ac:dyDescent="0.35"/>
  <cols>
    <col min="1" max="1" width="3.58203125" style="2" customWidth="1"/>
    <col min="2" max="2" width="33.83203125" style="2" bestFit="1" customWidth="1"/>
    <col min="3" max="3" width="28.08203125" style="2" customWidth="1"/>
    <col min="4" max="4" width="14.58203125" style="2" bestFit="1" customWidth="1"/>
    <col min="5" max="5" width="13.33203125" style="2" bestFit="1" customWidth="1"/>
    <col min="6" max="9" width="16.58203125" style="2" customWidth="1"/>
    <col min="10" max="10" width="19.58203125" style="2" customWidth="1"/>
    <col min="11" max="11" width="1.83203125" style="2" customWidth="1"/>
    <col min="12" max="13" width="16.33203125" style="2" bestFit="1" customWidth="1"/>
    <col min="14" max="14" width="17.08203125" style="2" bestFit="1" customWidth="1"/>
    <col min="15" max="16" width="15.33203125" style="2" bestFit="1" customWidth="1"/>
    <col min="17" max="17" width="14.58203125" style="2" bestFit="1" customWidth="1"/>
    <col min="18" max="18" width="15.5" style="2" bestFit="1" customWidth="1"/>
    <col min="19" max="19" width="14.58203125" style="2" bestFit="1" customWidth="1"/>
    <col min="20" max="20" width="14.5" style="2" bestFit="1" customWidth="1"/>
    <col min="21" max="21" width="12.08203125" style="2" bestFit="1" customWidth="1"/>
    <col min="22" max="22" width="12.83203125" style="2" bestFit="1" customWidth="1"/>
    <col min="23" max="23" width="13.08203125" style="2" bestFit="1" customWidth="1"/>
    <col min="24" max="25" width="12.08203125" style="2" bestFit="1" customWidth="1"/>
    <col min="26" max="16384" width="10.5" style="2"/>
  </cols>
  <sheetData>
    <row r="1" spans="1:25" ht="20.149999999999999" customHeight="1" x14ac:dyDescent="0.35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</row>
    <row r="2" spans="1:25" ht="20.149999999999999" customHeight="1" x14ac:dyDescent="0.35">
      <c r="A2" s="33"/>
      <c r="B2" s="35" t="s">
        <v>30</v>
      </c>
      <c r="C2" s="33"/>
      <c r="D2" s="33"/>
      <c r="E2" s="33"/>
      <c r="F2" s="33"/>
      <c r="G2" s="33"/>
      <c r="H2" s="33"/>
      <c r="I2" s="33"/>
      <c r="J2" s="33"/>
      <c r="K2" s="33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</row>
    <row r="3" spans="1:25" ht="20.149999999999999" customHeight="1" x14ac:dyDescent="0.35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</row>
    <row r="4" spans="1:25" ht="20.149999999999999" customHeight="1" x14ac:dyDescent="0.35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</row>
    <row r="5" spans="1:25" ht="20.149999999999999" customHeight="1" x14ac:dyDescent="0.35">
      <c r="A5" s="37"/>
      <c r="B5" s="458" t="s">
        <v>285</v>
      </c>
      <c r="C5" s="458" t="s">
        <v>266</v>
      </c>
      <c r="D5" s="458" t="s">
        <v>28</v>
      </c>
      <c r="E5" s="458" t="s">
        <v>264</v>
      </c>
      <c r="F5" s="454" t="s">
        <v>354</v>
      </c>
      <c r="G5" s="454" t="s">
        <v>355</v>
      </c>
      <c r="H5" s="456" t="s">
        <v>335</v>
      </c>
      <c r="I5" s="456" t="s">
        <v>356</v>
      </c>
      <c r="J5" s="452" t="s">
        <v>265</v>
      </c>
      <c r="L5" s="390" t="s">
        <v>84</v>
      </c>
      <c r="M5" s="390" t="s">
        <v>84</v>
      </c>
      <c r="N5" s="391" t="s">
        <v>66</v>
      </c>
      <c r="O5" s="390" t="s">
        <v>67</v>
      </c>
      <c r="P5" s="390" t="s">
        <v>68</v>
      </c>
      <c r="Q5" s="390" t="s">
        <v>69</v>
      </c>
      <c r="R5" s="390" t="s">
        <v>70</v>
      </c>
      <c r="S5" s="390" t="s">
        <v>71</v>
      </c>
      <c r="T5" s="390" t="s">
        <v>72</v>
      </c>
      <c r="U5" s="390" t="s">
        <v>73</v>
      </c>
      <c r="V5" s="390" t="s">
        <v>74</v>
      </c>
      <c r="W5" s="390" t="s">
        <v>75</v>
      </c>
      <c r="X5" s="390" t="s">
        <v>76</v>
      </c>
      <c r="Y5" s="390" t="s">
        <v>77</v>
      </c>
    </row>
    <row r="6" spans="1:25" ht="20.149999999999999" customHeight="1" x14ac:dyDescent="0.35">
      <c r="A6" s="37"/>
      <c r="B6" s="458"/>
      <c r="C6" s="458"/>
      <c r="D6" s="458"/>
      <c r="E6" s="458"/>
      <c r="F6" s="454"/>
      <c r="G6" s="454"/>
      <c r="H6" s="457"/>
      <c r="I6" s="457"/>
      <c r="J6" s="452"/>
      <c r="L6" s="392"/>
      <c r="M6" s="392"/>
      <c r="N6" s="392" t="s">
        <v>436</v>
      </c>
      <c r="O6" s="392" t="s">
        <v>437</v>
      </c>
      <c r="P6" s="392" t="s">
        <v>438</v>
      </c>
      <c r="Q6" s="392" t="s">
        <v>439</v>
      </c>
      <c r="R6" s="392" t="s">
        <v>392</v>
      </c>
      <c r="S6" s="392" t="s">
        <v>393</v>
      </c>
      <c r="T6" s="392" t="s">
        <v>394</v>
      </c>
      <c r="U6" s="392" t="s">
        <v>395</v>
      </c>
      <c r="V6" s="392" t="s">
        <v>396</v>
      </c>
      <c r="W6" s="392" t="s">
        <v>397</v>
      </c>
      <c r="X6" s="392" t="s">
        <v>398</v>
      </c>
      <c r="Y6" s="392" t="s">
        <v>399</v>
      </c>
    </row>
    <row r="7" spans="1:25" ht="20.149999999999999" customHeight="1" x14ac:dyDescent="0.35">
      <c r="A7" s="37"/>
      <c r="B7" s="458"/>
      <c r="C7" s="458"/>
      <c r="D7" s="458"/>
      <c r="E7" s="458"/>
      <c r="F7" s="361" t="s">
        <v>259</v>
      </c>
      <c r="G7" s="361" t="s">
        <v>259</v>
      </c>
      <c r="H7" s="362" t="s">
        <v>260</v>
      </c>
      <c r="I7" s="363" t="s">
        <v>260</v>
      </c>
      <c r="J7" s="364" t="s">
        <v>260</v>
      </c>
      <c r="L7" s="393"/>
      <c r="M7" s="393"/>
      <c r="N7" s="393">
        <v>31</v>
      </c>
      <c r="O7" s="393">
        <v>29</v>
      </c>
      <c r="P7" s="393">
        <v>31</v>
      </c>
      <c r="Q7" s="393">
        <v>30</v>
      </c>
      <c r="R7" s="393">
        <v>30</v>
      </c>
      <c r="S7" s="393">
        <v>31</v>
      </c>
      <c r="T7" s="393">
        <v>31</v>
      </c>
      <c r="U7" s="393">
        <v>31</v>
      </c>
      <c r="V7" s="393">
        <v>30</v>
      </c>
      <c r="W7" s="393">
        <v>31</v>
      </c>
      <c r="X7" s="393">
        <v>30</v>
      </c>
      <c r="Y7" s="393">
        <v>31</v>
      </c>
    </row>
    <row r="8" spans="1:25" ht="20.149999999999999" customHeight="1" x14ac:dyDescent="0.35">
      <c r="A8" s="37"/>
      <c r="B8" s="45" t="s">
        <v>112</v>
      </c>
      <c r="C8" s="45"/>
      <c r="D8" s="236"/>
      <c r="E8" s="41">
        <v>0</v>
      </c>
      <c r="F8" s="42">
        <v>0</v>
      </c>
      <c r="G8" s="42">
        <f>E8*F8</f>
        <v>0</v>
      </c>
      <c r="H8" s="42">
        <f>F8*$C$44</f>
        <v>0</v>
      </c>
      <c r="I8" s="42">
        <f>E8*H8</f>
        <v>0</v>
      </c>
      <c r="J8" s="42">
        <f>I8*1.16</f>
        <v>0</v>
      </c>
      <c r="L8" s="42">
        <v>0</v>
      </c>
      <c r="M8" s="42">
        <f>I8</f>
        <v>0</v>
      </c>
      <c r="N8" s="42">
        <v>0</v>
      </c>
      <c r="O8" s="42">
        <v>0</v>
      </c>
      <c r="P8" s="42">
        <v>0</v>
      </c>
      <c r="Q8" s="42">
        <v>0</v>
      </c>
      <c r="R8" s="42">
        <v>0</v>
      </c>
      <c r="S8" s="42">
        <v>0</v>
      </c>
      <c r="T8" s="42">
        <v>0</v>
      </c>
      <c r="U8" s="42">
        <v>0</v>
      </c>
      <c r="V8" s="42">
        <v>0</v>
      </c>
      <c r="W8" s="42">
        <v>0</v>
      </c>
      <c r="X8" s="42">
        <v>0</v>
      </c>
      <c r="Y8" s="42">
        <v>0</v>
      </c>
    </row>
    <row r="9" spans="1:25" ht="20.149999999999999" customHeight="1" x14ac:dyDescent="0.35">
      <c r="A9" s="37"/>
      <c r="B9" s="45" t="s">
        <v>112</v>
      </c>
      <c r="C9" s="45" t="s">
        <v>462</v>
      </c>
      <c r="D9" s="236"/>
      <c r="E9" s="41">
        <v>0</v>
      </c>
      <c r="F9" s="42">
        <v>32025.45</v>
      </c>
      <c r="G9" s="42">
        <f>E9*F9</f>
        <v>0</v>
      </c>
      <c r="H9" s="42">
        <f>F9*$C$44</f>
        <v>578699.88150000002</v>
      </c>
      <c r="I9" s="42">
        <f t="shared" ref="I9:I40" si="0">E9*H9</f>
        <v>0</v>
      </c>
      <c r="J9" s="42">
        <f>I9*1.16</f>
        <v>0</v>
      </c>
      <c r="L9" s="42">
        <v>0</v>
      </c>
      <c r="M9" s="42">
        <f>I9</f>
        <v>0</v>
      </c>
      <c r="N9" s="42">
        <v>0</v>
      </c>
      <c r="O9" s="42">
        <v>0</v>
      </c>
      <c r="P9" s="42">
        <v>0</v>
      </c>
      <c r="Q9" s="42">
        <v>0</v>
      </c>
      <c r="R9" s="42">
        <v>0</v>
      </c>
      <c r="S9" s="42"/>
      <c r="T9" s="42">
        <v>0</v>
      </c>
      <c r="U9" s="42">
        <v>0</v>
      </c>
      <c r="V9" s="42">
        <v>0</v>
      </c>
      <c r="W9" s="42">
        <v>0</v>
      </c>
      <c r="X9" s="42">
        <v>0</v>
      </c>
      <c r="Y9" s="42">
        <v>0</v>
      </c>
    </row>
    <row r="10" spans="1:25" ht="20.149999999999999" customHeight="1" x14ac:dyDescent="0.35">
      <c r="A10" s="37"/>
      <c r="B10" s="45" t="s">
        <v>112</v>
      </c>
      <c r="C10" s="45"/>
      <c r="D10" s="236"/>
      <c r="E10" s="41">
        <v>0</v>
      </c>
      <c r="F10" s="42">
        <v>76812.399999999994</v>
      </c>
      <c r="G10" s="42">
        <f>E10*F10</f>
        <v>0</v>
      </c>
      <c r="H10" s="42">
        <f>F10*$C$44</f>
        <v>1388000.068</v>
      </c>
      <c r="I10" s="42">
        <f t="shared" si="0"/>
        <v>0</v>
      </c>
      <c r="J10" s="42">
        <f>I10*1.16</f>
        <v>0</v>
      </c>
      <c r="L10" s="42">
        <v>0</v>
      </c>
      <c r="M10" s="42">
        <v>0</v>
      </c>
      <c r="N10" s="42">
        <v>0</v>
      </c>
      <c r="O10" s="42">
        <v>0</v>
      </c>
      <c r="P10" s="42"/>
      <c r="Q10" s="42">
        <v>0</v>
      </c>
      <c r="R10" s="42">
        <v>0</v>
      </c>
      <c r="S10" s="42">
        <v>0</v>
      </c>
      <c r="T10" s="42">
        <v>0</v>
      </c>
      <c r="U10" s="42">
        <v>0</v>
      </c>
      <c r="V10" s="42">
        <v>0</v>
      </c>
      <c r="W10" s="42">
        <v>0</v>
      </c>
      <c r="X10" s="42">
        <v>0</v>
      </c>
      <c r="Y10" s="42">
        <v>0</v>
      </c>
    </row>
    <row r="11" spans="1:25" ht="20.149999999999999" customHeight="1" x14ac:dyDescent="0.35">
      <c r="A11" s="37"/>
      <c r="B11" s="45" t="s">
        <v>112</v>
      </c>
      <c r="C11" s="45"/>
      <c r="D11" s="45"/>
      <c r="E11" s="41">
        <v>0</v>
      </c>
      <c r="F11" s="42">
        <v>0</v>
      </c>
      <c r="G11" s="42">
        <f>E11*F11</f>
        <v>0</v>
      </c>
      <c r="H11" s="42">
        <f>F11*$C$44</f>
        <v>0</v>
      </c>
      <c r="I11" s="42">
        <f t="shared" si="0"/>
        <v>0</v>
      </c>
      <c r="J11" s="42">
        <f>I11*1.16</f>
        <v>0</v>
      </c>
      <c r="L11" s="42">
        <v>0</v>
      </c>
      <c r="M11" s="42">
        <v>0</v>
      </c>
      <c r="N11" s="42">
        <f>I11</f>
        <v>0</v>
      </c>
      <c r="O11" s="42">
        <v>0</v>
      </c>
      <c r="P11" s="42">
        <v>0</v>
      </c>
      <c r="Q11" s="42">
        <v>0</v>
      </c>
      <c r="R11" s="42">
        <v>0</v>
      </c>
      <c r="S11" s="42">
        <v>0</v>
      </c>
      <c r="T11" s="42">
        <v>0</v>
      </c>
      <c r="U11" s="42">
        <v>0</v>
      </c>
      <c r="V11" s="42">
        <v>0</v>
      </c>
      <c r="W11" s="42">
        <v>0</v>
      </c>
      <c r="X11" s="42">
        <v>0</v>
      </c>
      <c r="Y11" s="42">
        <v>0</v>
      </c>
    </row>
    <row r="12" spans="1:25" ht="20.149999999999999" customHeight="1" x14ac:dyDescent="0.35">
      <c r="A12" s="37"/>
      <c r="L12" s="51">
        <f>SUM(L8:L11)</f>
        <v>0</v>
      </c>
      <c r="M12" s="51">
        <f t="shared" ref="M12:Y12" si="1">SUM(M8:M11)</f>
        <v>0</v>
      </c>
      <c r="N12" s="51">
        <f t="shared" si="1"/>
        <v>0</v>
      </c>
      <c r="O12" s="51">
        <f t="shared" si="1"/>
        <v>0</v>
      </c>
      <c r="P12" s="51">
        <f>SUM(P8:P11)</f>
        <v>0</v>
      </c>
      <c r="Q12" s="51">
        <f t="shared" si="1"/>
        <v>0</v>
      </c>
      <c r="R12" s="51">
        <f t="shared" si="1"/>
        <v>0</v>
      </c>
      <c r="S12" s="51">
        <f t="shared" si="1"/>
        <v>0</v>
      </c>
      <c r="T12" s="51">
        <f t="shared" si="1"/>
        <v>0</v>
      </c>
      <c r="U12" s="51">
        <f t="shared" si="1"/>
        <v>0</v>
      </c>
      <c r="V12" s="51">
        <f t="shared" si="1"/>
        <v>0</v>
      </c>
      <c r="W12" s="51">
        <f t="shared" si="1"/>
        <v>0</v>
      </c>
      <c r="X12" s="51">
        <f t="shared" si="1"/>
        <v>0</v>
      </c>
      <c r="Y12" s="51">
        <f t="shared" si="1"/>
        <v>0</v>
      </c>
    </row>
    <row r="13" spans="1:25" ht="20.149999999999999" customHeight="1" x14ac:dyDescent="0.35">
      <c r="A13" s="37"/>
      <c r="B13" s="237"/>
    </row>
    <row r="14" spans="1:25" ht="20.149999999999999" customHeight="1" x14ac:dyDescent="0.35">
      <c r="A14" s="37"/>
      <c r="B14" s="45" t="s">
        <v>113</v>
      </c>
      <c r="C14" s="45" t="s">
        <v>404</v>
      </c>
      <c r="D14" s="45"/>
      <c r="E14" s="41">
        <v>0</v>
      </c>
      <c r="F14" s="42">
        <v>6500</v>
      </c>
      <c r="G14" s="42">
        <f>E14*F14</f>
        <v>0</v>
      </c>
      <c r="H14" s="42">
        <f>F14*$C$44</f>
        <v>117455</v>
      </c>
      <c r="I14" s="42">
        <f t="shared" si="0"/>
        <v>0</v>
      </c>
      <c r="J14" s="42">
        <f>I14*1.16</f>
        <v>0</v>
      </c>
      <c r="L14" s="42">
        <v>0</v>
      </c>
      <c r="M14" s="42">
        <f>I14</f>
        <v>0</v>
      </c>
      <c r="N14" s="42">
        <v>0</v>
      </c>
      <c r="O14" s="42">
        <v>0</v>
      </c>
      <c r="P14" s="42">
        <v>0</v>
      </c>
      <c r="Q14" s="42">
        <v>0</v>
      </c>
      <c r="R14" s="42">
        <v>0</v>
      </c>
      <c r="S14" s="42">
        <v>0</v>
      </c>
      <c r="T14" s="42">
        <v>0</v>
      </c>
      <c r="U14" s="42">
        <v>0</v>
      </c>
      <c r="V14" s="42">
        <v>0</v>
      </c>
      <c r="W14" s="42">
        <v>0</v>
      </c>
      <c r="X14" s="42">
        <v>0</v>
      </c>
      <c r="Y14" s="42">
        <v>0</v>
      </c>
    </row>
    <row r="15" spans="1:25" ht="20.149999999999999" customHeight="1" x14ac:dyDescent="0.35">
      <c r="A15" s="37"/>
      <c r="B15" s="45" t="s">
        <v>113</v>
      </c>
      <c r="C15" s="45" t="s">
        <v>314</v>
      </c>
      <c r="D15" s="45"/>
      <c r="E15" s="41">
        <v>0</v>
      </c>
      <c r="F15" s="42">
        <v>3500</v>
      </c>
      <c r="G15" s="42">
        <f>E15*F15</f>
        <v>0</v>
      </c>
      <c r="H15" s="42">
        <f>F15*$C$44</f>
        <v>63245</v>
      </c>
      <c r="I15" s="42">
        <f t="shared" si="0"/>
        <v>0</v>
      </c>
      <c r="J15" s="42">
        <f>I15*1.16</f>
        <v>0</v>
      </c>
      <c r="L15" s="42">
        <v>0</v>
      </c>
      <c r="M15" s="42">
        <v>0</v>
      </c>
      <c r="N15" s="42">
        <v>0</v>
      </c>
      <c r="O15" s="42">
        <v>0</v>
      </c>
      <c r="P15" s="42">
        <v>0</v>
      </c>
      <c r="Q15" s="42">
        <v>0</v>
      </c>
      <c r="R15" s="42">
        <v>0</v>
      </c>
      <c r="S15" s="42">
        <v>0</v>
      </c>
      <c r="T15" s="42">
        <v>0</v>
      </c>
      <c r="U15" s="42">
        <v>0</v>
      </c>
      <c r="V15" s="42">
        <v>0</v>
      </c>
      <c r="W15" s="42">
        <v>0</v>
      </c>
      <c r="X15" s="42">
        <v>0</v>
      </c>
      <c r="Y15" s="42">
        <v>0</v>
      </c>
    </row>
    <row r="16" spans="1:25" ht="20.149999999999999" customHeight="1" x14ac:dyDescent="0.35">
      <c r="A16" s="37"/>
      <c r="B16" s="45" t="s">
        <v>113</v>
      </c>
      <c r="C16" s="45" t="s">
        <v>315</v>
      </c>
      <c r="D16" s="45"/>
      <c r="E16" s="41">
        <v>0</v>
      </c>
      <c r="F16" s="42">
        <v>11538.46</v>
      </c>
      <c r="G16" s="42">
        <f>E16*F16</f>
        <v>0</v>
      </c>
      <c r="H16" s="42">
        <f>F16*$C$44</f>
        <v>208499.97219999999</v>
      </c>
      <c r="I16" s="42">
        <f t="shared" si="0"/>
        <v>0</v>
      </c>
      <c r="J16" s="42">
        <f>I16*1.16</f>
        <v>0</v>
      </c>
      <c r="L16" s="42">
        <f>I16</f>
        <v>0</v>
      </c>
      <c r="M16" s="42">
        <v>0</v>
      </c>
      <c r="N16" s="42">
        <v>0</v>
      </c>
      <c r="O16" s="42">
        <v>0</v>
      </c>
      <c r="P16" s="42">
        <v>0</v>
      </c>
      <c r="Q16" s="42">
        <v>0</v>
      </c>
      <c r="R16" s="42"/>
      <c r="S16" s="42">
        <v>0</v>
      </c>
      <c r="T16" s="42">
        <v>0</v>
      </c>
      <c r="U16" s="42">
        <v>0</v>
      </c>
      <c r="V16" s="42">
        <v>0</v>
      </c>
      <c r="W16" s="42">
        <v>0</v>
      </c>
      <c r="X16" s="42">
        <v>0</v>
      </c>
      <c r="Y16" s="42">
        <v>0</v>
      </c>
    </row>
    <row r="17" spans="1:25" ht="20.149999999999999" customHeight="1" x14ac:dyDescent="0.35">
      <c r="A17" s="37"/>
      <c r="B17" s="45" t="s">
        <v>113</v>
      </c>
      <c r="C17" s="45" t="s">
        <v>434</v>
      </c>
      <c r="D17" s="45"/>
      <c r="E17" s="41">
        <v>0</v>
      </c>
      <c r="F17" s="42">
        <v>2000</v>
      </c>
      <c r="G17" s="42">
        <f>E17*F17</f>
        <v>0</v>
      </c>
      <c r="H17" s="42">
        <f>F17*$C$44</f>
        <v>36140</v>
      </c>
      <c r="I17" s="42">
        <f t="shared" si="0"/>
        <v>0</v>
      </c>
      <c r="J17" s="42">
        <f>I17*1.16</f>
        <v>0</v>
      </c>
      <c r="L17" s="42">
        <v>0</v>
      </c>
      <c r="M17" s="42">
        <v>0</v>
      </c>
      <c r="N17" s="42">
        <f>I17</f>
        <v>0</v>
      </c>
      <c r="O17" s="42">
        <v>0</v>
      </c>
      <c r="P17" s="42">
        <v>0</v>
      </c>
      <c r="Q17" s="42">
        <v>0</v>
      </c>
      <c r="R17" s="42">
        <v>0</v>
      </c>
      <c r="S17" s="42">
        <v>0</v>
      </c>
      <c r="T17" s="42">
        <v>0</v>
      </c>
      <c r="U17" s="42">
        <v>0</v>
      </c>
      <c r="V17" s="42">
        <v>0</v>
      </c>
      <c r="W17" s="42">
        <v>0</v>
      </c>
      <c r="X17" s="42">
        <v>0</v>
      </c>
      <c r="Y17" s="42">
        <v>0</v>
      </c>
    </row>
    <row r="18" spans="1:25" ht="20.149999999999999" customHeight="1" x14ac:dyDescent="0.35">
      <c r="A18" s="37"/>
      <c r="L18" s="51">
        <f t="shared" ref="L18:Y18" si="2">SUM(L14:L17)</f>
        <v>0</v>
      </c>
      <c r="M18" s="51">
        <f t="shared" si="2"/>
        <v>0</v>
      </c>
      <c r="N18" s="51">
        <f t="shared" si="2"/>
        <v>0</v>
      </c>
      <c r="O18" s="51">
        <f t="shared" si="2"/>
        <v>0</v>
      </c>
      <c r="P18" s="51">
        <f t="shared" si="2"/>
        <v>0</v>
      </c>
      <c r="Q18" s="51">
        <f t="shared" si="2"/>
        <v>0</v>
      </c>
      <c r="R18" s="51">
        <f t="shared" si="2"/>
        <v>0</v>
      </c>
      <c r="S18" s="51">
        <f t="shared" si="2"/>
        <v>0</v>
      </c>
      <c r="T18" s="51">
        <f t="shared" si="2"/>
        <v>0</v>
      </c>
      <c r="U18" s="51">
        <f t="shared" si="2"/>
        <v>0</v>
      </c>
      <c r="V18" s="51">
        <f t="shared" si="2"/>
        <v>0</v>
      </c>
      <c r="W18" s="51">
        <f t="shared" si="2"/>
        <v>0</v>
      </c>
      <c r="X18" s="51">
        <f t="shared" si="2"/>
        <v>0</v>
      </c>
      <c r="Y18" s="51">
        <f t="shared" si="2"/>
        <v>0</v>
      </c>
    </row>
    <row r="19" spans="1:25" ht="20.149999999999999" customHeight="1" x14ac:dyDescent="0.35">
      <c r="A19" s="37"/>
      <c r="B19" s="237"/>
      <c r="F19" s="18"/>
      <c r="G19" s="18"/>
    </row>
    <row r="20" spans="1:25" ht="20.149999999999999" customHeight="1" x14ac:dyDescent="0.35">
      <c r="A20" s="37"/>
      <c r="B20" s="45" t="s">
        <v>411</v>
      </c>
      <c r="C20" s="45"/>
      <c r="D20" s="45"/>
      <c r="E20" s="41">
        <v>0</v>
      </c>
      <c r="F20" s="42">
        <v>176089.03</v>
      </c>
      <c r="G20" s="42">
        <f>E20*F20</f>
        <v>0</v>
      </c>
      <c r="H20" s="42">
        <f t="shared" ref="H20:H27" si="3">F20*$C$44</f>
        <v>3181928.7721000002</v>
      </c>
      <c r="I20" s="42">
        <f t="shared" si="0"/>
        <v>0</v>
      </c>
      <c r="J20" s="42">
        <f>I20*1.16</f>
        <v>0</v>
      </c>
      <c r="L20" s="42">
        <f>I20</f>
        <v>0</v>
      </c>
      <c r="M20" s="42">
        <v>0</v>
      </c>
      <c r="N20" s="42">
        <v>0</v>
      </c>
      <c r="O20" s="42">
        <v>0</v>
      </c>
      <c r="P20" s="42">
        <v>0</v>
      </c>
      <c r="Q20" s="42">
        <v>0</v>
      </c>
      <c r="R20" s="42">
        <v>0</v>
      </c>
      <c r="S20" s="42">
        <v>0</v>
      </c>
      <c r="T20" s="42">
        <v>0</v>
      </c>
      <c r="U20" s="42">
        <v>0</v>
      </c>
      <c r="V20" s="42">
        <v>0</v>
      </c>
      <c r="W20" s="42">
        <v>0</v>
      </c>
      <c r="X20" s="42">
        <v>0</v>
      </c>
      <c r="Y20" s="42">
        <v>0</v>
      </c>
    </row>
    <row r="21" spans="1:25" ht="20.149999999999999" customHeight="1" x14ac:dyDescent="0.35">
      <c r="A21" s="37"/>
      <c r="B21" s="45" t="s">
        <v>412</v>
      </c>
      <c r="C21" s="45"/>
      <c r="D21" s="45"/>
      <c r="E21" s="41">
        <v>0</v>
      </c>
      <c r="F21" s="42">
        <v>79961.3</v>
      </c>
      <c r="G21" s="42">
        <f t="shared" ref="G21:G27" si="4">E21*F21</f>
        <v>0</v>
      </c>
      <c r="H21" s="42">
        <f t="shared" si="3"/>
        <v>1444900.6910000001</v>
      </c>
      <c r="I21" s="42">
        <f t="shared" si="0"/>
        <v>0</v>
      </c>
      <c r="J21" s="42">
        <f t="shared" ref="J21:J27" si="5">I21*1.16</f>
        <v>0</v>
      </c>
      <c r="L21" s="42">
        <f>I21</f>
        <v>0</v>
      </c>
      <c r="M21" s="42">
        <v>0</v>
      </c>
      <c r="N21" s="42">
        <v>0</v>
      </c>
      <c r="O21" s="42">
        <v>0</v>
      </c>
      <c r="P21" s="42">
        <v>0</v>
      </c>
      <c r="Q21" s="42">
        <v>0</v>
      </c>
      <c r="R21" s="42">
        <v>0</v>
      </c>
      <c r="S21" s="42">
        <v>0</v>
      </c>
      <c r="T21" s="42">
        <v>0</v>
      </c>
      <c r="U21" s="42">
        <v>0</v>
      </c>
      <c r="V21" s="42">
        <v>0</v>
      </c>
      <c r="W21" s="42">
        <v>0</v>
      </c>
      <c r="X21" s="42">
        <v>0</v>
      </c>
      <c r="Y21" s="42">
        <v>0</v>
      </c>
    </row>
    <row r="22" spans="1:25" ht="20.149999999999999" customHeight="1" x14ac:dyDescent="0.35">
      <c r="A22" s="37"/>
      <c r="B22" s="45" t="s">
        <v>413</v>
      </c>
      <c r="C22" s="45"/>
      <c r="D22" s="45"/>
      <c r="E22" s="41">
        <v>0</v>
      </c>
      <c r="F22" s="42">
        <v>513000</v>
      </c>
      <c r="G22" s="42">
        <f t="shared" si="4"/>
        <v>0</v>
      </c>
      <c r="H22" s="42">
        <f t="shared" si="3"/>
        <v>9269910</v>
      </c>
      <c r="I22" s="42">
        <f t="shared" si="0"/>
        <v>0</v>
      </c>
      <c r="J22" s="42">
        <f t="shared" si="5"/>
        <v>0</v>
      </c>
      <c r="L22" s="42">
        <f>I22</f>
        <v>0</v>
      </c>
      <c r="M22" s="42">
        <v>0</v>
      </c>
      <c r="N22" s="42">
        <v>0</v>
      </c>
      <c r="O22" s="42">
        <v>0</v>
      </c>
      <c r="P22" s="42">
        <v>0</v>
      </c>
      <c r="Q22" s="42">
        <v>0</v>
      </c>
      <c r="R22" s="42"/>
      <c r="S22" s="42">
        <v>0</v>
      </c>
      <c r="T22" s="42">
        <v>0</v>
      </c>
      <c r="U22" s="42">
        <v>0</v>
      </c>
      <c r="V22" s="42">
        <v>0</v>
      </c>
      <c r="W22" s="42">
        <v>0</v>
      </c>
      <c r="X22" s="42">
        <v>0</v>
      </c>
      <c r="Y22" s="42">
        <v>0</v>
      </c>
    </row>
    <row r="23" spans="1:25" ht="20.149999999999999" customHeight="1" x14ac:dyDescent="0.35">
      <c r="A23" s="37"/>
      <c r="B23" s="45" t="s">
        <v>414</v>
      </c>
      <c r="C23" s="45"/>
      <c r="D23" s="45"/>
      <c r="E23" s="41">
        <v>0</v>
      </c>
      <c r="F23" s="42">
        <v>49960</v>
      </c>
      <c r="G23" s="42">
        <f t="shared" si="4"/>
        <v>0</v>
      </c>
      <c r="H23" s="42">
        <f t="shared" si="3"/>
        <v>902777.20000000007</v>
      </c>
      <c r="I23" s="42">
        <f t="shared" si="0"/>
        <v>0</v>
      </c>
      <c r="J23" s="42">
        <f t="shared" si="5"/>
        <v>0</v>
      </c>
      <c r="L23" s="42">
        <v>0</v>
      </c>
      <c r="M23" s="42">
        <f>I23</f>
        <v>0</v>
      </c>
      <c r="N23" s="42">
        <v>0</v>
      </c>
      <c r="O23" s="42">
        <v>0</v>
      </c>
      <c r="P23" s="42">
        <v>0</v>
      </c>
      <c r="Q23" s="42">
        <v>0</v>
      </c>
      <c r="R23" s="42">
        <v>0</v>
      </c>
      <c r="S23" s="42">
        <v>0</v>
      </c>
      <c r="T23" s="42">
        <v>0</v>
      </c>
      <c r="U23" s="42">
        <v>0</v>
      </c>
      <c r="V23" s="42">
        <v>0</v>
      </c>
      <c r="W23" s="42">
        <v>0</v>
      </c>
      <c r="X23" s="42">
        <v>0</v>
      </c>
      <c r="Y23" s="42">
        <v>0</v>
      </c>
    </row>
    <row r="24" spans="1:25" ht="20.149999999999999" customHeight="1" x14ac:dyDescent="0.35">
      <c r="A24" s="37"/>
      <c r="B24" s="45" t="s">
        <v>415</v>
      </c>
      <c r="C24" s="45"/>
      <c r="D24" s="45"/>
      <c r="E24" s="41">
        <v>0</v>
      </c>
      <c r="F24" s="42">
        <v>50000</v>
      </c>
      <c r="G24" s="42">
        <f t="shared" si="4"/>
        <v>0</v>
      </c>
      <c r="H24" s="42">
        <f t="shared" si="3"/>
        <v>903500</v>
      </c>
      <c r="I24" s="42">
        <f t="shared" si="0"/>
        <v>0</v>
      </c>
      <c r="J24" s="42">
        <f t="shared" si="5"/>
        <v>0</v>
      </c>
      <c r="L24" s="42">
        <v>0</v>
      </c>
      <c r="M24" s="42">
        <f>I24</f>
        <v>0</v>
      </c>
      <c r="N24" s="42">
        <v>0</v>
      </c>
      <c r="O24" s="42">
        <v>0</v>
      </c>
      <c r="P24" s="42">
        <v>0</v>
      </c>
      <c r="Q24" s="42">
        <v>0</v>
      </c>
      <c r="R24" s="42">
        <v>0</v>
      </c>
      <c r="S24" s="42">
        <v>0</v>
      </c>
      <c r="T24" s="42">
        <v>0</v>
      </c>
      <c r="U24" s="42">
        <v>0</v>
      </c>
      <c r="V24" s="42">
        <v>0</v>
      </c>
      <c r="W24" s="42">
        <v>0</v>
      </c>
      <c r="X24" s="42">
        <v>0</v>
      </c>
      <c r="Y24" s="42">
        <v>0</v>
      </c>
    </row>
    <row r="25" spans="1:25" ht="20.149999999999999" customHeight="1" x14ac:dyDescent="0.35">
      <c r="A25" s="37"/>
      <c r="B25" s="45" t="s">
        <v>416</v>
      </c>
      <c r="C25" s="45"/>
      <c r="D25" s="45"/>
      <c r="E25" s="41">
        <v>0</v>
      </c>
      <c r="F25" s="42">
        <v>160486.99501936912</v>
      </c>
      <c r="G25" s="42">
        <f t="shared" si="4"/>
        <v>0</v>
      </c>
      <c r="H25" s="42">
        <f t="shared" si="3"/>
        <v>2900000</v>
      </c>
      <c r="I25" s="42">
        <f t="shared" si="0"/>
        <v>0</v>
      </c>
      <c r="J25" s="42">
        <f t="shared" si="5"/>
        <v>0</v>
      </c>
      <c r="L25" s="42">
        <f>I25*0.5</f>
        <v>0</v>
      </c>
      <c r="M25" s="42">
        <f>L25</f>
        <v>0</v>
      </c>
      <c r="N25" s="42">
        <v>0</v>
      </c>
      <c r="O25" s="42">
        <v>0</v>
      </c>
      <c r="P25" s="42">
        <v>0</v>
      </c>
      <c r="Q25" s="42">
        <v>0</v>
      </c>
      <c r="R25" s="42">
        <v>0</v>
      </c>
      <c r="S25" s="42">
        <v>0</v>
      </c>
      <c r="T25" s="42">
        <v>0</v>
      </c>
      <c r="U25" s="42">
        <v>0</v>
      </c>
      <c r="V25" s="42">
        <v>0</v>
      </c>
      <c r="W25" s="42">
        <v>0</v>
      </c>
      <c r="X25" s="42">
        <v>0</v>
      </c>
      <c r="Y25" s="42">
        <v>0</v>
      </c>
    </row>
    <row r="26" spans="1:25" ht="20.149999999999999" customHeight="1" x14ac:dyDescent="0.35">
      <c r="A26" s="37"/>
      <c r="B26" s="45" t="s">
        <v>417</v>
      </c>
      <c r="C26" s="45" t="s">
        <v>486</v>
      </c>
      <c r="D26" s="45" t="s">
        <v>456</v>
      </c>
      <c r="E26" s="41">
        <v>0</v>
      </c>
      <c r="F26" s="42">
        <v>49255.23</v>
      </c>
      <c r="G26" s="42">
        <f t="shared" si="4"/>
        <v>0</v>
      </c>
      <c r="H26" s="42">
        <f t="shared" si="3"/>
        <v>890042.00610000012</v>
      </c>
      <c r="I26" s="42">
        <f t="shared" si="0"/>
        <v>0</v>
      </c>
      <c r="J26" s="42">
        <f t="shared" si="5"/>
        <v>0</v>
      </c>
      <c r="L26" s="42">
        <f>I26</f>
        <v>0</v>
      </c>
      <c r="M26" s="42">
        <v>0</v>
      </c>
      <c r="N26" s="42">
        <v>0</v>
      </c>
      <c r="O26" s="42">
        <v>0</v>
      </c>
      <c r="P26" s="42">
        <v>0</v>
      </c>
      <c r="Q26" s="42">
        <v>0</v>
      </c>
      <c r="R26" s="42">
        <v>0</v>
      </c>
      <c r="S26" s="42">
        <v>0</v>
      </c>
      <c r="T26" s="42">
        <v>0</v>
      </c>
      <c r="U26" s="42">
        <v>0</v>
      </c>
      <c r="V26" s="42">
        <v>0</v>
      </c>
      <c r="W26" s="42">
        <v>0</v>
      </c>
      <c r="X26" s="42">
        <v>0</v>
      </c>
      <c r="Y26" s="42">
        <v>0</v>
      </c>
    </row>
    <row r="27" spans="1:25" ht="20.149999999999999" customHeight="1" x14ac:dyDescent="0.35">
      <c r="A27" s="37"/>
      <c r="B27" s="45" t="s">
        <v>453</v>
      </c>
      <c r="C27" s="45" t="s">
        <v>487</v>
      </c>
      <c r="D27" s="45" t="s">
        <v>456</v>
      </c>
      <c r="E27" s="41">
        <v>0</v>
      </c>
      <c r="F27" s="42">
        <v>26563.360000000001</v>
      </c>
      <c r="G27" s="42">
        <f t="shared" si="4"/>
        <v>0</v>
      </c>
      <c r="H27" s="42">
        <f t="shared" si="3"/>
        <v>479999.91520000005</v>
      </c>
      <c r="I27" s="42">
        <f t="shared" si="0"/>
        <v>0</v>
      </c>
      <c r="J27" s="42">
        <f t="shared" si="5"/>
        <v>0</v>
      </c>
      <c r="L27" s="42">
        <f>I27</f>
        <v>0</v>
      </c>
      <c r="M27" s="42">
        <v>0</v>
      </c>
      <c r="N27" s="42">
        <v>0</v>
      </c>
      <c r="O27" s="42">
        <v>0</v>
      </c>
      <c r="P27" s="42">
        <v>0</v>
      </c>
      <c r="Q27" s="42">
        <v>0</v>
      </c>
      <c r="R27" s="42">
        <v>0</v>
      </c>
      <c r="S27" s="42">
        <v>0</v>
      </c>
      <c r="T27" s="42">
        <v>0</v>
      </c>
      <c r="U27" s="42">
        <v>0</v>
      </c>
      <c r="V27" s="42">
        <v>0</v>
      </c>
      <c r="W27" s="42">
        <v>0</v>
      </c>
      <c r="X27" s="42">
        <v>0</v>
      </c>
      <c r="Y27" s="42">
        <v>0</v>
      </c>
    </row>
    <row r="28" spans="1:25" ht="20.149999999999999" customHeight="1" x14ac:dyDescent="0.35">
      <c r="A28" s="37"/>
      <c r="B28" s="238"/>
      <c r="E28" s="238"/>
      <c r="F28" s="14"/>
      <c r="G28" s="14"/>
      <c r="L28" s="51">
        <f t="shared" ref="L28:Y28" si="6">SUM(L20:L27)</f>
        <v>0</v>
      </c>
      <c r="M28" s="51">
        <f t="shared" si="6"/>
        <v>0</v>
      </c>
      <c r="N28" s="51">
        <f t="shared" si="6"/>
        <v>0</v>
      </c>
      <c r="O28" s="51">
        <f t="shared" si="6"/>
        <v>0</v>
      </c>
      <c r="P28" s="51">
        <f t="shared" si="6"/>
        <v>0</v>
      </c>
      <c r="Q28" s="51">
        <f t="shared" si="6"/>
        <v>0</v>
      </c>
      <c r="R28" s="51">
        <f t="shared" si="6"/>
        <v>0</v>
      </c>
      <c r="S28" s="51">
        <f t="shared" si="6"/>
        <v>0</v>
      </c>
      <c r="T28" s="51">
        <f t="shared" si="6"/>
        <v>0</v>
      </c>
      <c r="U28" s="51">
        <f t="shared" si="6"/>
        <v>0</v>
      </c>
      <c r="V28" s="51">
        <f t="shared" si="6"/>
        <v>0</v>
      </c>
      <c r="W28" s="51">
        <f t="shared" si="6"/>
        <v>0</v>
      </c>
      <c r="X28" s="51">
        <f t="shared" si="6"/>
        <v>0</v>
      </c>
      <c r="Y28" s="51">
        <f t="shared" si="6"/>
        <v>0</v>
      </c>
    </row>
    <row r="29" spans="1:25" ht="20.149999999999999" customHeight="1" x14ac:dyDescent="0.35">
      <c r="A29" s="37"/>
      <c r="B29" s="237"/>
    </row>
    <row r="30" spans="1:25" ht="20.149999999999999" customHeight="1" x14ac:dyDescent="0.35">
      <c r="A30" s="37"/>
      <c r="B30" s="45" t="s">
        <v>115</v>
      </c>
      <c r="C30" s="45" t="s">
        <v>464</v>
      </c>
      <c r="D30" s="45" t="s">
        <v>478</v>
      </c>
      <c r="E30" s="41">
        <v>1</v>
      </c>
      <c r="F30" s="42">
        <v>130261.96430226286</v>
      </c>
      <c r="G30" s="42">
        <f>E30*F30</f>
        <v>130261.96430226286</v>
      </c>
      <c r="H30" s="42">
        <f>F30*$C$44</f>
        <v>2353833.69494189</v>
      </c>
      <c r="I30" s="42">
        <f t="shared" si="0"/>
        <v>2353833.69494189</v>
      </c>
      <c r="J30" s="42">
        <f>I30*1.16</f>
        <v>2730447.0861325921</v>
      </c>
      <c r="L30" s="42">
        <f>I30</f>
        <v>2353833.69494189</v>
      </c>
      <c r="M30" s="42">
        <v>0</v>
      </c>
      <c r="N30" s="42">
        <v>0</v>
      </c>
      <c r="O30" s="42">
        <v>0</v>
      </c>
      <c r="P30" s="42">
        <v>0</v>
      </c>
      <c r="Q30" s="42">
        <v>0</v>
      </c>
      <c r="R30" s="42">
        <v>0</v>
      </c>
      <c r="S30" s="42">
        <v>0</v>
      </c>
      <c r="T30" s="42">
        <v>0</v>
      </c>
      <c r="U30" s="42">
        <v>0</v>
      </c>
      <c r="V30" s="42">
        <v>0</v>
      </c>
      <c r="W30" s="42">
        <v>0</v>
      </c>
      <c r="X30" s="42">
        <v>0</v>
      </c>
      <c r="Y30" s="42">
        <v>0</v>
      </c>
    </row>
    <row r="31" spans="1:25" ht="20.149999999999999" customHeight="1" x14ac:dyDescent="0.35">
      <c r="A31" s="37"/>
      <c r="B31" s="45" t="s">
        <v>115</v>
      </c>
      <c r="C31" s="45" t="s">
        <v>492</v>
      </c>
      <c r="D31" s="45" t="s">
        <v>478</v>
      </c>
      <c r="E31" s="41">
        <v>1</v>
      </c>
      <c r="F31" s="42">
        <v>214720.53126729385</v>
      </c>
      <c r="G31" s="42">
        <f>E31*F31</f>
        <v>214720.53126729385</v>
      </c>
      <c r="H31" s="42">
        <f>F31*$C$44</f>
        <v>3880000</v>
      </c>
      <c r="I31" s="42">
        <f t="shared" si="0"/>
        <v>3880000</v>
      </c>
      <c r="J31" s="42">
        <f>I31*1.16</f>
        <v>4500800</v>
      </c>
      <c r="L31" s="42">
        <f>I31</f>
        <v>3880000</v>
      </c>
      <c r="M31" s="42">
        <v>0</v>
      </c>
      <c r="N31" s="42">
        <v>0</v>
      </c>
      <c r="O31" s="42">
        <v>0</v>
      </c>
      <c r="P31" s="42">
        <v>0</v>
      </c>
      <c r="Q31" s="42">
        <v>0</v>
      </c>
      <c r="R31" s="42">
        <v>0</v>
      </c>
      <c r="S31" s="42">
        <v>0</v>
      </c>
      <c r="T31" s="42">
        <v>0</v>
      </c>
      <c r="U31" s="42">
        <v>0</v>
      </c>
      <c r="V31" s="42">
        <v>0</v>
      </c>
      <c r="W31" s="42">
        <v>0</v>
      </c>
      <c r="X31" s="42">
        <v>0</v>
      </c>
      <c r="Y31" s="42">
        <v>0</v>
      </c>
    </row>
    <row r="32" spans="1:25" ht="20.149999999999999" customHeight="1" x14ac:dyDescent="0.35">
      <c r="A32" s="37"/>
      <c r="B32" s="45" t="s">
        <v>115</v>
      </c>
      <c r="C32" s="45" t="s">
        <v>486</v>
      </c>
      <c r="D32" s="45" t="s">
        <v>478</v>
      </c>
      <c r="E32" s="41">
        <v>0</v>
      </c>
      <c r="F32" s="42">
        <v>88695.55</v>
      </c>
      <c r="G32" s="42">
        <f>E32*F32</f>
        <v>0</v>
      </c>
      <c r="H32" s="42">
        <f>F32*$C$44</f>
        <v>1602728.5885000001</v>
      </c>
      <c r="I32" s="42">
        <f t="shared" si="0"/>
        <v>0</v>
      </c>
      <c r="J32" s="42">
        <f>I32*1.16</f>
        <v>0</v>
      </c>
      <c r="L32" s="42">
        <f>I32</f>
        <v>0</v>
      </c>
      <c r="M32" s="42">
        <v>0</v>
      </c>
      <c r="N32" s="42">
        <v>0</v>
      </c>
      <c r="O32" s="42">
        <v>0</v>
      </c>
      <c r="P32" s="42">
        <v>0</v>
      </c>
      <c r="Q32" s="42">
        <v>0</v>
      </c>
      <c r="R32" s="42">
        <v>0</v>
      </c>
      <c r="S32" s="42">
        <v>0</v>
      </c>
      <c r="T32" s="42">
        <v>0</v>
      </c>
      <c r="U32" s="42">
        <v>0</v>
      </c>
      <c r="V32" s="42">
        <v>0</v>
      </c>
      <c r="W32" s="42">
        <v>0</v>
      </c>
      <c r="X32" s="42">
        <v>0</v>
      </c>
      <c r="Y32" s="42">
        <v>0</v>
      </c>
    </row>
    <row r="33" spans="1:25" ht="20.149999999999999" customHeight="1" x14ac:dyDescent="0.35">
      <c r="A33" s="37"/>
      <c r="B33" s="45" t="s">
        <v>115</v>
      </c>
      <c r="C33" s="397" t="s">
        <v>500</v>
      </c>
      <c r="D33" s="45" t="s">
        <v>478</v>
      </c>
      <c r="E33" s="398">
        <v>1</v>
      </c>
      <c r="F33" s="42">
        <v>579998</v>
      </c>
      <c r="G33" s="42">
        <f>E33*F33</f>
        <v>579998</v>
      </c>
      <c r="H33" s="42">
        <f>F33*$C$44</f>
        <v>10480563.859999999</v>
      </c>
      <c r="I33" s="42">
        <f>E33*H33</f>
        <v>10480563.859999999</v>
      </c>
      <c r="J33" s="42">
        <f>I33*1.16</f>
        <v>12157454.077599999</v>
      </c>
      <c r="L33" s="42">
        <f>I33</f>
        <v>10480563.859999999</v>
      </c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</row>
    <row r="34" spans="1:25" ht="20.149999999999999" customHeight="1" x14ac:dyDescent="0.35">
      <c r="A34" s="37"/>
      <c r="B34" s="45" t="s">
        <v>115</v>
      </c>
      <c r="C34" s="45" t="s">
        <v>501</v>
      </c>
      <c r="D34" s="45" t="s">
        <v>478</v>
      </c>
      <c r="E34" s="41">
        <v>0</v>
      </c>
      <c r="F34" s="42">
        <v>87242.9</v>
      </c>
      <c r="G34" s="42">
        <f>E34*F34</f>
        <v>0</v>
      </c>
      <c r="H34" s="42">
        <f>F34*$C$44</f>
        <v>1576479.203</v>
      </c>
      <c r="I34" s="42">
        <f t="shared" si="0"/>
        <v>0</v>
      </c>
      <c r="J34" s="42">
        <f>I34*1.16</f>
        <v>0</v>
      </c>
      <c r="L34" s="42">
        <f>I34</f>
        <v>0</v>
      </c>
      <c r="M34" s="42">
        <v>0</v>
      </c>
      <c r="N34" s="42">
        <v>0</v>
      </c>
      <c r="O34" s="42">
        <v>0</v>
      </c>
      <c r="P34" s="42">
        <v>0</v>
      </c>
      <c r="Q34" s="42">
        <v>0</v>
      </c>
      <c r="R34" s="42">
        <v>0</v>
      </c>
      <c r="S34" s="42">
        <v>0</v>
      </c>
      <c r="T34" s="42">
        <v>0</v>
      </c>
      <c r="U34" s="42">
        <v>0</v>
      </c>
      <c r="V34" s="42">
        <v>0</v>
      </c>
      <c r="W34" s="42">
        <v>0</v>
      </c>
      <c r="X34" s="42">
        <v>0</v>
      </c>
      <c r="Y34" s="42">
        <v>0</v>
      </c>
    </row>
    <row r="35" spans="1:25" ht="20.149999999999999" customHeight="1" x14ac:dyDescent="0.35">
      <c r="A35" s="37"/>
      <c r="L35" s="51">
        <f t="shared" ref="L35:Y35" si="7">SUM(L30:L34)</f>
        <v>16714397.554941889</v>
      </c>
      <c r="M35" s="51">
        <f t="shared" si="7"/>
        <v>0</v>
      </c>
      <c r="N35" s="51">
        <f t="shared" si="7"/>
        <v>0</v>
      </c>
      <c r="O35" s="51">
        <f t="shared" si="7"/>
        <v>0</v>
      </c>
      <c r="P35" s="51">
        <f t="shared" si="7"/>
        <v>0</v>
      </c>
      <c r="Q35" s="51">
        <f t="shared" si="7"/>
        <v>0</v>
      </c>
      <c r="R35" s="51">
        <f t="shared" si="7"/>
        <v>0</v>
      </c>
      <c r="S35" s="51">
        <f>SUM(S30:S34)</f>
        <v>0</v>
      </c>
      <c r="T35" s="51">
        <f t="shared" si="7"/>
        <v>0</v>
      </c>
      <c r="U35" s="51">
        <f t="shared" si="7"/>
        <v>0</v>
      </c>
      <c r="V35" s="51">
        <f t="shared" si="7"/>
        <v>0</v>
      </c>
      <c r="W35" s="51">
        <f t="shared" si="7"/>
        <v>0</v>
      </c>
      <c r="X35" s="51">
        <f t="shared" si="7"/>
        <v>0</v>
      </c>
      <c r="Y35" s="51">
        <f t="shared" si="7"/>
        <v>0</v>
      </c>
    </row>
    <row r="36" spans="1:25" ht="20.149999999999999" customHeight="1" x14ac:dyDescent="0.35">
      <c r="A36" s="37"/>
    </row>
    <row r="37" spans="1:25" ht="20.149999999999999" customHeight="1" x14ac:dyDescent="0.35">
      <c r="A37" s="37"/>
      <c r="B37" s="45" t="s">
        <v>116</v>
      </c>
      <c r="C37" s="45"/>
      <c r="D37" s="45"/>
      <c r="E37" s="41">
        <v>0</v>
      </c>
      <c r="F37" s="42">
        <v>0</v>
      </c>
      <c r="G37" s="42">
        <f>E37*F37</f>
        <v>0</v>
      </c>
      <c r="H37" s="42">
        <f>F37*$C$44</f>
        <v>0</v>
      </c>
      <c r="I37" s="42">
        <f t="shared" si="0"/>
        <v>0</v>
      </c>
      <c r="J37" s="42">
        <f>I37*1.16</f>
        <v>0</v>
      </c>
      <c r="L37" s="42">
        <v>0</v>
      </c>
      <c r="M37" s="42">
        <v>0</v>
      </c>
      <c r="N37" s="42">
        <v>0</v>
      </c>
      <c r="O37" s="42">
        <v>0</v>
      </c>
      <c r="P37" s="42">
        <v>0</v>
      </c>
      <c r="Q37" s="42">
        <v>0</v>
      </c>
      <c r="R37" s="42">
        <v>0</v>
      </c>
      <c r="S37" s="42">
        <v>0</v>
      </c>
      <c r="T37" s="42">
        <v>0</v>
      </c>
      <c r="U37" s="42">
        <v>0</v>
      </c>
      <c r="V37" s="42">
        <v>0</v>
      </c>
      <c r="W37" s="42">
        <v>0</v>
      </c>
      <c r="X37" s="42">
        <v>0</v>
      </c>
      <c r="Y37" s="42">
        <v>0</v>
      </c>
    </row>
    <row r="38" spans="1:25" ht="20.149999999999999" customHeight="1" x14ac:dyDescent="0.35">
      <c r="A38" s="37"/>
      <c r="B38" s="45" t="s">
        <v>116</v>
      </c>
      <c r="C38" s="45"/>
      <c r="D38" s="45"/>
      <c r="E38" s="41">
        <v>0</v>
      </c>
      <c r="F38" s="42">
        <v>0</v>
      </c>
      <c r="G38" s="42">
        <f>E38*F38</f>
        <v>0</v>
      </c>
      <c r="H38" s="42">
        <f>F38*$C$44</f>
        <v>0</v>
      </c>
      <c r="I38" s="42">
        <f t="shared" si="0"/>
        <v>0</v>
      </c>
      <c r="J38" s="42">
        <f>I38*1.16</f>
        <v>0</v>
      </c>
      <c r="L38" s="42">
        <v>0</v>
      </c>
      <c r="M38" s="42">
        <v>0</v>
      </c>
      <c r="N38" s="42">
        <v>0</v>
      </c>
      <c r="O38" s="42">
        <v>0</v>
      </c>
      <c r="P38" s="42">
        <v>0</v>
      </c>
      <c r="Q38" s="42">
        <v>0</v>
      </c>
      <c r="R38" s="42">
        <v>0</v>
      </c>
      <c r="S38" s="42">
        <v>0</v>
      </c>
      <c r="T38" s="42">
        <v>0</v>
      </c>
      <c r="U38" s="42">
        <v>0</v>
      </c>
      <c r="V38" s="42">
        <v>0</v>
      </c>
      <c r="W38" s="42">
        <v>0</v>
      </c>
      <c r="X38" s="42">
        <v>0</v>
      </c>
      <c r="Y38" s="42">
        <v>0</v>
      </c>
    </row>
    <row r="39" spans="1:25" ht="20.149999999999999" customHeight="1" x14ac:dyDescent="0.35">
      <c r="A39" s="37"/>
      <c r="B39" s="45" t="s">
        <v>116</v>
      </c>
      <c r="C39" s="45"/>
      <c r="D39" s="45"/>
      <c r="E39" s="41">
        <v>0</v>
      </c>
      <c r="F39" s="42">
        <v>0</v>
      </c>
      <c r="G39" s="42">
        <f>E39*F39</f>
        <v>0</v>
      </c>
      <c r="H39" s="42">
        <f>F39*$C$44</f>
        <v>0</v>
      </c>
      <c r="I39" s="42">
        <f t="shared" si="0"/>
        <v>0</v>
      </c>
      <c r="J39" s="42">
        <f>I39*1.16</f>
        <v>0</v>
      </c>
      <c r="L39" s="42">
        <v>0</v>
      </c>
      <c r="M39" s="42">
        <v>0</v>
      </c>
      <c r="N39" s="42">
        <v>0</v>
      </c>
      <c r="O39" s="42">
        <v>0</v>
      </c>
      <c r="P39" s="42">
        <v>0</v>
      </c>
      <c r="Q39" s="42">
        <v>0</v>
      </c>
      <c r="R39" s="42">
        <v>0</v>
      </c>
      <c r="S39" s="42">
        <v>0</v>
      </c>
      <c r="T39" s="42">
        <v>0</v>
      </c>
      <c r="U39" s="42">
        <v>0</v>
      </c>
      <c r="V39" s="42">
        <v>0</v>
      </c>
      <c r="W39" s="42">
        <v>0</v>
      </c>
      <c r="X39" s="42">
        <v>0</v>
      </c>
      <c r="Y39" s="42">
        <v>0</v>
      </c>
    </row>
    <row r="40" spans="1:25" ht="20.149999999999999" customHeight="1" x14ac:dyDescent="0.35">
      <c r="A40" s="37"/>
      <c r="B40" s="45" t="s">
        <v>116</v>
      </c>
      <c r="C40" s="45"/>
      <c r="D40" s="45"/>
      <c r="E40" s="41">
        <v>0</v>
      </c>
      <c r="F40" s="42">
        <v>0</v>
      </c>
      <c r="G40" s="42">
        <f>E40*F40</f>
        <v>0</v>
      </c>
      <c r="H40" s="42">
        <f>F40*$C$44</f>
        <v>0</v>
      </c>
      <c r="I40" s="42">
        <f t="shared" si="0"/>
        <v>0</v>
      </c>
      <c r="J40" s="42">
        <f>I40*1.16</f>
        <v>0</v>
      </c>
      <c r="L40" s="42">
        <v>0</v>
      </c>
      <c r="M40" s="42">
        <v>0</v>
      </c>
      <c r="N40" s="42">
        <v>0</v>
      </c>
      <c r="O40" s="42">
        <v>0</v>
      </c>
      <c r="P40" s="42">
        <v>0</v>
      </c>
      <c r="Q40" s="42">
        <v>0</v>
      </c>
      <c r="R40" s="42">
        <v>0</v>
      </c>
      <c r="S40" s="42">
        <v>0</v>
      </c>
      <c r="T40" s="42">
        <v>0</v>
      </c>
      <c r="U40" s="42">
        <v>0</v>
      </c>
      <c r="V40" s="42">
        <v>0</v>
      </c>
      <c r="W40" s="42">
        <v>0</v>
      </c>
      <c r="X40" s="42">
        <v>0</v>
      </c>
      <c r="Y40" s="42">
        <v>0</v>
      </c>
    </row>
    <row r="41" spans="1:25" ht="20.149999999999999" customHeight="1" x14ac:dyDescent="0.35">
      <c r="A41" s="37"/>
      <c r="L41" s="51">
        <f t="shared" ref="L41:Y41" si="8">SUM(L37:L40)</f>
        <v>0</v>
      </c>
      <c r="M41" s="51">
        <f t="shared" si="8"/>
        <v>0</v>
      </c>
      <c r="N41" s="51">
        <f t="shared" si="8"/>
        <v>0</v>
      </c>
      <c r="O41" s="51">
        <f t="shared" si="8"/>
        <v>0</v>
      </c>
      <c r="P41" s="51">
        <f t="shared" si="8"/>
        <v>0</v>
      </c>
      <c r="Q41" s="51">
        <f t="shared" si="8"/>
        <v>0</v>
      </c>
      <c r="R41" s="51">
        <f t="shared" si="8"/>
        <v>0</v>
      </c>
      <c r="S41" s="51">
        <f t="shared" si="8"/>
        <v>0</v>
      </c>
      <c r="T41" s="51">
        <f t="shared" si="8"/>
        <v>0</v>
      </c>
      <c r="U41" s="51">
        <f t="shared" si="8"/>
        <v>0</v>
      </c>
      <c r="V41" s="51">
        <f t="shared" si="8"/>
        <v>0</v>
      </c>
      <c r="W41" s="51">
        <f t="shared" si="8"/>
        <v>0</v>
      </c>
      <c r="X41" s="51">
        <f t="shared" si="8"/>
        <v>0</v>
      </c>
      <c r="Y41" s="51">
        <f t="shared" si="8"/>
        <v>0</v>
      </c>
    </row>
    <row r="43" spans="1:25" ht="20.149999999999999" customHeight="1" x14ac:dyDescent="0.35">
      <c r="B43" s="49" t="str">
        <f>'F08 INGRESOS'!B16</f>
        <v>Premisas</v>
      </c>
      <c r="C43" s="49"/>
      <c r="J43" s="50" t="s">
        <v>262</v>
      </c>
      <c r="L43" s="51">
        <f t="shared" ref="L43:Y43" si="9">L41+L35+L28+L18+L12</f>
        <v>16714397.554941889</v>
      </c>
      <c r="M43" s="51">
        <f t="shared" si="9"/>
        <v>0</v>
      </c>
      <c r="N43" s="51">
        <f t="shared" si="9"/>
        <v>0</v>
      </c>
      <c r="O43" s="51">
        <f t="shared" si="9"/>
        <v>0</v>
      </c>
      <c r="P43" s="51">
        <f t="shared" si="9"/>
        <v>0</v>
      </c>
      <c r="Q43" s="51">
        <f t="shared" si="9"/>
        <v>0</v>
      </c>
      <c r="R43" s="51">
        <f t="shared" si="9"/>
        <v>0</v>
      </c>
      <c r="S43" s="51">
        <f t="shared" si="9"/>
        <v>0</v>
      </c>
      <c r="T43" s="51">
        <f t="shared" si="9"/>
        <v>0</v>
      </c>
      <c r="U43" s="51">
        <f t="shared" si="9"/>
        <v>0</v>
      </c>
      <c r="V43" s="51">
        <f t="shared" si="9"/>
        <v>0</v>
      </c>
      <c r="W43" s="51">
        <f t="shared" si="9"/>
        <v>0</v>
      </c>
      <c r="X43" s="51">
        <f t="shared" si="9"/>
        <v>0</v>
      </c>
      <c r="Y43" s="51">
        <f t="shared" si="9"/>
        <v>0</v>
      </c>
    </row>
    <row r="44" spans="1:25" ht="20.149999999999999" customHeight="1" x14ac:dyDescent="0.35">
      <c r="B44" s="20" t="str">
        <f>'F08 INGRESOS'!B17</f>
        <v>Paridad</v>
      </c>
      <c r="C44" s="52">
        <f>'F08 INGRESOS'!C17</f>
        <v>18.07</v>
      </c>
      <c r="J44" s="53" t="s">
        <v>263</v>
      </c>
      <c r="L44" s="43">
        <f>L43/$C$44</f>
        <v>924980.4955695566</v>
      </c>
      <c r="M44" s="43">
        <f t="shared" ref="M44:Y44" si="10">M43/$C$44</f>
        <v>0</v>
      </c>
      <c r="N44" s="43">
        <f t="shared" si="10"/>
        <v>0</v>
      </c>
      <c r="O44" s="43">
        <f t="shared" si="10"/>
        <v>0</v>
      </c>
      <c r="P44" s="43">
        <f t="shared" si="10"/>
        <v>0</v>
      </c>
      <c r="Q44" s="43">
        <f t="shared" si="10"/>
        <v>0</v>
      </c>
      <c r="R44" s="43">
        <f t="shared" si="10"/>
        <v>0</v>
      </c>
      <c r="S44" s="43">
        <f t="shared" si="10"/>
        <v>0</v>
      </c>
      <c r="T44" s="43">
        <f t="shared" si="10"/>
        <v>0</v>
      </c>
      <c r="U44" s="43">
        <f t="shared" si="10"/>
        <v>0</v>
      </c>
      <c r="V44" s="43">
        <f t="shared" si="10"/>
        <v>0</v>
      </c>
      <c r="W44" s="43">
        <f t="shared" si="10"/>
        <v>0</v>
      </c>
      <c r="X44" s="43">
        <f t="shared" si="10"/>
        <v>0</v>
      </c>
      <c r="Y44" s="43">
        <f t="shared" si="10"/>
        <v>0</v>
      </c>
    </row>
    <row r="45" spans="1:25" ht="20.149999999999999" customHeight="1" x14ac:dyDescent="0.35">
      <c r="B45" s="22" t="str">
        <f>'F08 INGRESOS'!B18</f>
        <v xml:space="preserve">Mes </v>
      </c>
      <c r="C45" s="54">
        <f>'F08 INGRESOS'!C18</f>
        <v>30.4</v>
      </c>
      <c r="J45" s="50" t="s">
        <v>284</v>
      </c>
      <c r="L45" s="51">
        <f>SUM(L43:Y43)</f>
        <v>16714397.554941889</v>
      </c>
    </row>
    <row r="46" spans="1:25" ht="20.149999999999999" customHeight="1" x14ac:dyDescent="0.35">
      <c r="B46" s="24" t="str">
        <f>'F08 INGRESOS'!B19</f>
        <v>Periodo Pago (días)</v>
      </c>
      <c r="C46" s="55">
        <f>'F08 INGRESOS'!C19</f>
        <v>30</v>
      </c>
      <c r="J46" s="53" t="s">
        <v>261</v>
      </c>
      <c r="L46" s="57">
        <f>L45/$C$44</f>
        <v>924980.4955695566</v>
      </c>
    </row>
    <row r="47" spans="1:25" ht="20.149999999999999" customHeight="1" x14ac:dyDescent="0.35">
      <c r="B47" s="26" t="str">
        <f>'F08 INGRESOS'!B20</f>
        <v>Gas lp</v>
      </c>
      <c r="C47" s="58">
        <f>'F08 INGRESOS'!C20</f>
        <v>0</v>
      </c>
    </row>
    <row r="48" spans="1:25" ht="20.149999999999999" customHeight="1" x14ac:dyDescent="0.35">
      <c r="B48" s="28" t="str">
        <f>'F08 INGRESOS'!B21</f>
        <v>Gasolina Magna</v>
      </c>
      <c r="C48" s="59">
        <f>'F08 INGRESOS'!C21</f>
        <v>22</v>
      </c>
      <c r="X48" s="18"/>
      <c r="Y48" s="18"/>
    </row>
    <row r="49" spans="2:10" ht="20.149999999999999" customHeight="1" x14ac:dyDescent="0.35">
      <c r="B49" s="30" t="str">
        <f>'F08 INGRESOS'!B22</f>
        <v>Diesel</v>
      </c>
      <c r="C49" s="60">
        <f>'F08 INGRESOS'!C22</f>
        <v>23</v>
      </c>
    </row>
    <row r="51" spans="2:10" ht="15.5" x14ac:dyDescent="0.35">
      <c r="B51"/>
      <c r="C51"/>
      <c r="D51"/>
      <c r="E51"/>
      <c r="F51"/>
      <c r="G51"/>
      <c r="H51"/>
      <c r="I51"/>
      <c r="J51"/>
    </row>
    <row r="52" spans="2:10" ht="15.5" x14ac:dyDescent="0.35">
      <c r="B52"/>
      <c r="C52"/>
      <c r="D52"/>
      <c r="E52"/>
      <c r="F52"/>
      <c r="G52"/>
      <c r="H52"/>
      <c r="I52"/>
      <c r="J52"/>
    </row>
    <row r="53" spans="2:10" ht="15.5" x14ac:dyDescent="0.35">
      <c r="B53"/>
      <c r="C53"/>
      <c r="D53"/>
      <c r="E53"/>
      <c r="F53"/>
      <c r="G53"/>
      <c r="H53"/>
      <c r="I53"/>
      <c r="J53"/>
    </row>
    <row r="54" spans="2:10" ht="15.5" x14ac:dyDescent="0.35">
      <c r="B54"/>
      <c r="C54"/>
      <c r="D54"/>
      <c r="E54"/>
      <c r="F54"/>
      <c r="G54"/>
      <c r="H54"/>
      <c r="I54"/>
      <c r="J54"/>
    </row>
    <row r="55" spans="2:10" ht="15.5" x14ac:dyDescent="0.35">
      <c r="B55"/>
      <c r="C55"/>
      <c r="D55"/>
      <c r="E55"/>
      <c r="F55"/>
      <c r="G55"/>
      <c r="H55"/>
      <c r="I55"/>
      <c r="J55"/>
    </row>
    <row r="56" spans="2:10" ht="15.5" x14ac:dyDescent="0.35">
      <c r="B56"/>
      <c r="C56"/>
      <c r="D56"/>
      <c r="E56"/>
      <c r="F56"/>
      <c r="G56"/>
      <c r="H56"/>
      <c r="I56"/>
      <c r="J56"/>
    </row>
    <row r="57" spans="2:10" ht="15.5" x14ac:dyDescent="0.35">
      <c r="B57"/>
      <c r="C57"/>
      <c r="D57">
        <v>2353833.69494189</v>
      </c>
      <c r="E57">
        <f>D57/18.07</f>
        <v>130261.96430226286</v>
      </c>
      <c r="F57"/>
      <c r="G57"/>
      <c r="H57"/>
      <c r="I57"/>
      <c r="J57"/>
    </row>
    <row r="58" spans="2:10" ht="15.5" x14ac:dyDescent="0.35">
      <c r="B58"/>
      <c r="C58"/>
      <c r="D58">
        <v>3880000</v>
      </c>
      <c r="E58">
        <f>D58/18.07</f>
        <v>214720.53126729385</v>
      </c>
      <c r="F58"/>
      <c r="G58"/>
      <c r="H58"/>
      <c r="I58"/>
      <c r="J58"/>
    </row>
    <row r="59" spans="2:10" ht="18" customHeight="1" x14ac:dyDescent="0.35">
      <c r="B59"/>
      <c r="C59"/>
      <c r="D59"/>
      <c r="E59"/>
      <c r="F59"/>
      <c r="G59"/>
      <c r="H59"/>
      <c r="I59"/>
      <c r="J59"/>
    </row>
    <row r="60" spans="2:10" ht="18" customHeight="1" x14ac:dyDescent="0.35">
      <c r="B60"/>
      <c r="C60"/>
      <c r="D60"/>
      <c r="E60"/>
      <c r="F60"/>
      <c r="G60"/>
      <c r="H60"/>
      <c r="I60"/>
      <c r="J60"/>
    </row>
    <row r="61" spans="2:10" ht="18" customHeight="1" x14ac:dyDescent="0.35">
      <c r="B61"/>
      <c r="C61"/>
      <c r="D61"/>
      <c r="E61"/>
      <c r="F61"/>
      <c r="G61"/>
      <c r="H61"/>
      <c r="I61"/>
      <c r="J61"/>
    </row>
    <row r="62" spans="2:10" ht="18" customHeight="1" x14ac:dyDescent="0.35">
      <c r="B62"/>
      <c r="C62"/>
      <c r="D62"/>
      <c r="E62"/>
      <c r="F62"/>
      <c r="G62"/>
      <c r="H62"/>
      <c r="I62"/>
      <c r="J62"/>
    </row>
    <row r="63" spans="2:10" ht="20.149999999999999" customHeight="1" x14ac:dyDescent="0.35">
      <c r="B63"/>
      <c r="C63"/>
      <c r="D63"/>
      <c r="E63"/>
      <c r="F63"/>
      <c r="G63"/>
      <c r="H63"/>
      <c r="I63"/>
      <c r="J63"/>
    </row>
    <row r="64" spans="2:10" ht="20.149999999999999" customHeight="1" x14ac:dyDescent="0.35">
      <c r="B64"/>
      <c r="C64"/>
      <c r="D64"/>
      <c r="E64"/>
      <c r="F64"/>
      <c r="G64"/>
      <c r="H64"/>
      <c r="I64"/>
      <c r="J64"/>
    </row>
    <row r="65" spans="2:10" ht="46" customHeight="1" x14ac:dyDescent="0.35">
      <c r="B65"/>
      <c r="C65"/>
      <c r="D65"/>
      <c r="E65"/>
      <c r="F65"/>
      <c r="G65"/>
      <c r="H65"/>
      <c r="I65"/>
      <c r="J65"/>
    </row>
    <row r="66" spans="2:10" ht="20.149999999999999" customHeight="1" x14ac:dyDescent="0.35">
      <c r="B66"/>
      <c r="C66"/>
      <c r="D66"/>
      <c r="E66"/>
      <c r="F66"/>
      <c r="G66"/>
      <c r="H66"/>
      <c r="I66"/>
      <c r="J66"/>
    </row>
    <row r="67" spans="2:10" ht="20.149999999999999" customHeight="1" x14ac:dyDescent="0.35">
      <c r="B67"/>
      <c r="C67"/>
      <c r="D67"/>
      <c r="E67"/>
      <c r="F67"/>
      <c r="G67"/>
      <c r="H67"/>
      <c r="I67"/>
      <c r="J67"/>
    </row>
    <row r="68" spans="2:10" ht="20.149999999999999" customHeight="1" x14ac:dyDescent="0.35">
      <c r="B68"/>
      <c r="C68"/>
      <c r="D68"/>
      <c r="E68"/>
      <c r="F68"/>
      <c r="G68"/>
      <c r="H68"/>
      <c r="I68"/>
      <c r="J68"/>
    </row>
    <row r="69" spans="2:10" ht="20.149999999999999" customHeight="1" x14ac:dyDescent="0.35">
      <c r="B69"/>
      <c r="C69"/>
      <c r="D69"/>
      <c r="E69"/>
      <c r="F69"/>
      <c r="G69"/>
      <c r="H69"/>
      <c r="I69"/>
      <c r="J69"/>
    </row>
    <row r="70" spans="2:10" ht="20.149999999999999" customHeight="1" x14ac:dyDescent="0.35">
      <c r="B70"/>
      <c r="C70"/>
      <c r="D70"/>
      <c r="E70"/>
      <c r="F70"/>
      <c r="G70"/>
      <c r="H70"/>
      <c r="I70"/>
      <c r="J70"/>
    </row>
    <row r="71" spans="2:10" s="131" customFormat="1" ht="20.149999999999999" customHeight="1" x14ac:dyDescent="0.35">
      <c r="B71"/>
      <c r="C71"/>
      <c r="D71"/>
      <c r="E71"/>
      <c r="F71"/>
      <c r="G71"/>
      <c r="H71"/>
      <c r="I71"/>
      <c r="J71"/>
    </row>
    <row r="72" spans="2:10" s="131" customFormat="1" ht="40" customHeight="1" x14ac:dyDescent="0.35">
      <c r="B72"/>
      <c r="C72"/>
      <c r="D72"/>
      <c r="E72"/>
      <c r="F72"/>
      <c r="G72"/>
      <c r="H72"/>
      <c r="I72"/>
      <c r="J72"/>
    </row>
    <row r="73" spans="2:10" ht="20.149999999999999" customHeight="1" x14ac:dyDescent="0.35">
      <c r="B73"/>
      <c r="C73"/>
      <c r="D73"/>
      <c r="E73"/>
      <c r="F73"/>
      <c r="G73"/>
      <c r="H73"/>
      <c r="I73"/>
      <c r="J73"/>
    </row>
    <row r="74" spans="2:10" ht="20.149999999999999" customHeight="1" x14ac:dyDescent="0.35">
      <c r="B74"/>
      <c r="C74"/>
      <c r="D74"/>
      <c r="E74"/>
      <c r="F74"/>
      <c r="G74"/>
      <c r="H74"/>
      <c r="I74"/>
      <c r="J74"/>
    </row>
    <row r="75" spans="2:10" ht="20.149999999999999" customHeight="1" x14ac:dyDescent="0.35">
      <c r="B75"/>
      <c r="C75"/>
      <c r="D75"/>
      <c r="E75"/>
      <c r="F75"/>
      <c r="G75"/>
      <c r="H75"/>
      <c r="I75"/>
      <c r="J75"/>
    </row>
    <row r="76" spans="2:10" ht="20.149999999999999" customHeight="1" x14ac:dyDescent="0.35">
      <c r="B76"/>
      <c r="C76"/>
      <c r="D76"/>
      <c r="E76"/>
      <c r="F76"/>
      <c r="G76"/>
      <c r="H76"/>
      <c r="I76"/>
      <c r="J76"/>
    </row>
    <row r="77" spans="2:10" ht="20.149999999999999" customHeight="1" x14ac:dyDescent="0.35">
      <c r="B77"/>
      <c r="C77"/>
      <c r="D77"/>
      <c r="E77"/>
      <c r="F77"/>
      <c r="G77"/>
      <c r="H77"/>
      <c r="I77"/>
      <c r="J77"/>
    </row>
    <row r="78" spans="2:10" ht="20.149999999999999" customHeight="1" x14ac:dyDescent="0.35">
      <c r="B78"/>
      <c r="C78"/>
      <c r="D78"/>
      <c r="E78"/>
      <c r="F78"/>
      <c r="G78"/>
      <c r="H78"/>
      <c r="I78"/>
      <c r="J78"/>
    </row>
    <row r="79" spans="2:10" ht="20.149999999999999" customHeight="1" x14ac:dyDescent="0.35">
      <c r="B79"/>
      <c r="C79"/>
      <c r="D79"/>
      <c r="E79"/>
      <c r="F79"/>
      <c r="G79"/>
      <c r="H79"/>
      <c r="I79"/>
      <c r="J79"/>
    </row>
    <row r="80" spans="2:10" ht="20.149999999999999" customHeight="1" x14ac:dyDescent="0.35">
      <c r="B80"/>
      <c r="C80"/>
      <c r="D80"/>
      <c r="E80"/>
      <c r="F80"/>
      <c r="G80"/>
      <c r="H80"/>
      <c r="I80"/>
      <c r="J80"/>
    </row>
    <row r="81" spans="2:10" ht="20.149999999999999" customHeight="1" x14ac:dyDescent="0.35">
      <c r="B81"/>
      <c r="C81"/>
      <c r="D81"/>
      <c r="E81"/>
      <c r="F81"/>
      <c r="G81"/>
      <c r="H81"/>
      <c r="I81"/>
      <c r="J81"/>
    </row>
    <row r="82" spans="2:10" ht="20.149999999999999" customHeight="1" x14ac:dyDescent="0.35">
      <c r="B82"/>
      <c r="C82"/>
      <c r="D82"/>
      <c r="E82"/>
      <c r="F82"/>
      <c r="G82"/>
      <c r="H82"/>
      <c r="I82"/>
      <c r="J82"/>
    </row>
    <row r="83" spans="2:10" ht="20.149999999999999" customHeight="1" x14ac:dyDescent="0.35">
      <c r="B83"/>
      <c r="C83"/>
      <c r="D83"/>
      <c r="E83"/>
      <c r="F83"/>
      <c r="G83"/>
      <c r="H83"/>
      <c r="I83"/>
      <c r="J83"/>
    </row>
    <row r="84" spans="2:10" ht="20.149999999999999" customHeight="1" x14ac:dyDescent="0.35">
      <c r="B84"/>
      <c r="C84"/>
      <c r="D84"/>
      <c r="E84"/>
      <c r="F84"/>
      <c r="G84"/>
      <c r="H84"/>
      <c r="I84"/>
      <c r="J84"/>
    </row>
    <row r="85" spans="2:10" ht="20.149999999999999" customHeight="1" x14ac:dyDescent="0.35">
      <c r="B85"/>
      <c r="C85"/>
      <c r="D85"/>
      <c r="E85"/>
      <c r="F85"/>
      <c r="G85"/>
      <c r="H85"/>
      <c r="I85"/>
      <c r="J85"/>
    </row>
    <row r="86" spans="2:10" ht="20.149999999999999" customHeight="1" x14ac:dyDescent="0.35">
      <c r="B86"/>
      <c r="C86"/>
      <c r="D86"/>
      <c r="E86"/>
      <c r="F86"/>
      <c r="G86"/>
      <c r="H86"/>
      <c r="I86"/>
      <c r="J86"/>
    </row>
    <row r="87" spans="2:10" ht="20.149999999999999" customHeight="1" x14ac:dyDescent="0.35">
      <c r="B87" t="s">
        <v>387</v>
      </c>
      <c r="C87" s="239">
        <v>1265057.97</v>
      </c>
    </row>
    <row r="88" spans="2:10" ht="20.149999999999999" customHeight="1" x14ac:dyDescent="0.35">
      <c r="B88" t="s">
        <v>388</v>
      </c>
      <c r="C88" s="239">
        <v>1553586.78</v>
      </c>
    </row>
    <row r="89" spans="2:10" ht="20.149999999999999" customHeight="1" x14ac:dyDescent="0.35">
      <c r="B89"/>
      <c r="C89" s="278">
        <f>SUM(C87:C88)</f>
        <v>2818644.75</v>
      </c>
    </row>
    <row r="91" spans="2:10" ht="20.149999999999999" customHeight="1" x14ac:dyDescent="0.35">
      <c r="C91" s="18">
        <f>SUM(C85,C89)</f>
        <v>2818644.75</v>
      </c>
    </row>
  </sheetData>
  <mergeCells count="9">
    <mergeCell ref="J5:J6"/>
    <mergeCell ref="I5:I6"/>
    <mergeCell ref="E5:E7"/>
    <mergeCell ref="H5:H6"/>
    <mergeCell ref="B5:B7"/>
    <mergeCell ref="D5:D7"/>
    <mergeCell ref="C5:C7"/>
    <mergeCell ref="G5:G6"/>
    <mergeCell ref="F5:F6"/>
  </mergeCells>
  <phoneticPr fontId="8" type="noConversion"/>
  <printOptions horizontalCentered="1"/>
  <pageMargins left="0.25" right="0.25" top="0.75" bottom="0.75" header="0.3" footer="0.3"/>
  <pageSetup paperSize="3" scale="2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K35"/>
  <sheetViews>
    <sheetView zoomScale="92" zoomScaleNormal="80" workbookViewId="0">
      <pane xSplit="9" ySplit="7" topLeftCell="V8" activePane="bottomRight" state="frozen"/>
      <selection activeCell="D27" sqref="D27"/>
      <selection pane="topRight" activeCell="D27" sqref="D27"/>
      <selection pane="bottomLeft" activeCell="D27" sqref="D27"/>
      <selection pane="bottomRight" activeCell="F9" sqref="F9"/>
    </sheetView>
  </sheetViews>
  <sheetFormatPr baseColWidth="10" defaultColWidth="8.58203125" defaultRowHeight="20.149999999999999" customHeight="1" x14ac:dyDescent="0.35"/>
  <cols>
    <col min="1" max="1" width="8.58203125" style="2"/>
    <col min="2" max="2" width="24" style="2" bestFit="1" customWidth="1"/>
    <col min="3" max="3" width="16.58203125" style="2" customWidth="1"/>
    <col min="4" max="4" width="10.33203125" style="2" bestFit="1" customWidth="1"/>
    <col min="5" max="5" width="9" style="2" bestFit="1" customWidth="1"/>
    <col min="6" max="6" width="11.33203125" style="2" bestFit="1" customWidth="1"/>
    <col min="7" max="7" width="12.83203125" style="2" bestFit="1" customWidth="1"/>
    <col min="8" max="8" width="13.83203125" style="2" customWidth="1"/>
    <col min="9" max="9" width="19.33203125" style="2" bestFit="1" customWidth="1"/>
    <col min="10" max="10" width="1.5" style="2" customWidth="1"/>
    <col min="11" max="11" width="13" style="2" bestFit="1" customWidth="1"/>
    <col min="12" max="12" width="13.83203125" style="2" customWidth="1"/>
    <col min="13" max="14" width="14.33203125" style="2" customWidth="1"/>
    <col min="15" max="15" width="9.33203125" style="2" bestFit="1" customWidth="1"/>
    <col min="16" max="16" width="4.08203125" style="2" bestFit="1" customWidth="1"/>
    <col min="17" max="17" width="13.5" style="2" bestFit="1" customWidth="1"/>
    <col min="18" max="21" width="15.83203125" style="2" customWidth="1"/>
    <col min="22" max="22" width="20.33203125" style="2" bestFit="1" customWidth="1"/>
    <col min="23" max="23" width="1.5" style="2" customWidth="1"/>
    <col min="24" max="24" width="15.58203125" style="2" bestFit="1" customWidth="1"/>
    <col min="25" max="25" width="14.08203125" style="2" bestFit="1" customWidth="1"/>
    <col min="26" max="31" width="14.75" style="2" bestFit="1" customWidth="1"/>
    <col min="32" max="34" width="14" style="2" bestFit="1" customWidth="1"/>
    <col min="35" max="35" width="13.58203125" style="2" bestFit="1" customWidth="1"/>
    <col min="36" max="37" width="14" style="2" bestFit="1" customWidth="1"/>
    <col min="38" max="58" width="8.58203125" style="2"/>
    <col min="59" max="59" width="8.58203125" style="2" customWidth="1"/>
    <col min="60" max="16384" width="8.58203125" style="2"/>
  </cols>
  <sheetData>
    <row r="1" spans="1:115" ht="20.149999999999999" customHeight="1" x14ac:dyDescent="0.35">
      <c r="A1" s="32"/>
      <c r="B1" s="32"/>
      <c r="C1" s="33"/>
      <c r="D1" s="33"/>
      <c r="E1" s="33"/>
      <c r="F1" s="33"/>
      <c r="G1" s="33"/>
      <c r="H1" s="33"/>
      <c r="I1" s="33"/>
      <c r="J1" s="33"/>
      <c r="K1" s="33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</row>
    <row r="2" spans="1:115" ht="20.149999999999999" customHeight="1" x14ac:dyDescent="0.35">
      <c r="A2" s="32"/>
      <c r="B2" s="106" t="s">
        <v>303</v>
      </c>
      <c r="C2" s="33"/>
      <c r="D2" s="33"/>
      <c r="E2" s="33"/>
      <c r="F2" s="33"/>
      <c r="G2" s="33"/>
      <c r="H2" s="33"/>
      <c r="I2" s="33"/>
      <c r="J2" s="33"/>
      <c r="K2" s="33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</row>
    <row r="3" spans="1:115" ht="20.149999999999999" customHeight="1" x14ac:dyDescent="0.35">
      <c r="A3" s="32"/>
      <c r="B3" s="32"/>
      <c r="C3" s="33"/>
      <c r="D3" s="33"/>
      <c r="E3" s="33"/>
      <c r="F3" s="33"/>
      <c r="G3" s="33"/>
      <c r="H3" s="33"/>
      <c r="I3" s="33"/>
      <c r="J3" s="33"/>
      <c r="K3" s="33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</row>
    <row r="4" spans="1:115" ht="15.5" x14ac:dyDescent="0.35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</row>
    <row r="5" spans="1:115" ht="20.149999999999999" customHeight="1" x14ac:dyDescent="0.35">
      <c r="A5" s="37"/>
      <c r="B5" s="458" t="s">
        <v>285</v>
      </c>
      <c r="C5" s="465" t="s">
        <v>1</v>
      </c>
      <c r="D5" s="465" t="s">
        <v>23</v>
      </c>
      <c r="E5" s="458" t="s">
        <v>28</v>
      </c>
      <c r="F5" s="458" t="s">
        <v>2</v>
      </c>
      <c r="G5" s="464" t="s">
        <v>273</v>
      </c>
      <c r="H5" s="464" t="s">
        <v>294</v>
      </c>
      <c r="I5" s="464" t="s">
        <v>274</v>
      </c>
      <c r="K5" s="460" t="s">
        <v>268</v>
      </c>
      <c r="L5" s="461" t="s">
        <v>269</v>
      </c>
      <c r="M5" s="462" t="s">
        <v>271</v>
      </c>
      <c r="N5" s="466" t="s">
        <v>450</v>
      </c>
      <c r="O5" s="463" t="s">
        <v>451</v>
      </c>
      <c r="P5" s="463" t="s">
        <v>286</v>
      </c>
      <c r="Q5" s="463" t="s">
        <v>270</v>
      </c>
      <c r="R5" s="454" t="s">
        <v>430</v>
      </c>
      <c r="S5" s="454" t="s">
        <v>355</v>
      </c>
      <c r="T5" s="456" t="s">
        <v>335</v>
      </c>
      <c r="U5" s="456" t="s">
        <v>356</v>
      </c>
      <c r="V5" s="452" t="s">
        <v>265</v>
      </c>
      <c r="X5" s="390" t="s">
        <v>84</v>
      </c>
      <c r="Y5" s="390" t="s">
        <v>84</v>
      </c>
      <c r="Z5" s="391" t="s">
        <v>66</v>
      </c>
      <c r="AA5" s="390" t="s">
        <v>67</v>
      </c>
      <c r="AB5" s="390" t="s">
        <v>68</v>
      </c>
      <c r="AC5" s="390" t="s">
        <v>69</v>
      </c>
      <c r="AD5" s="390" t="s">
        <v>70</v>
      </c>
      <c r="AE5" s="390" t="s">
        <v>71</v>
      </c>
      <c r="AF5" s="390" t="s">
        <v>72</v>
      </c>
      <c r="AG5" s="390" t="s">
        <v>73</v>
      </c>
      <c r="AH5" s="390" t="s">
        <v>74</v>
      </c>
      <c r="AI5" s="390" t="s">
        <v>75</v>
      </c>
      <c r="AJ5" s="390" t="s">
        <v>76</v>
      </c>
      <c r="AK5" s="390" t="s">
        <v>77</v>
      </c>
    </row>
    <row r="6" spans="1:115" ht="15.5" x14ac:dyDescent="0.35">
      <c r="A6" s="37"/>
      <c r="B6" s="458"/>
      <c r="C6" s="465"/>
      <c r="D6" s="465"/>
      <c r="E6" s="458"/>
      <c r="F6" s="458"/>
      <c r="G6" s="464"/>
      <c r="H6" s="464"/>
      <c r="I6" s="464"/>
      <c r="K6" s="460"/>
      <c r="L6" s="461"/>
      <c r="M6" s="462"/>
      <c r="N6" s="467"/>
      <c r="O6" s="463"/>
      <c r="P6" s="463"/>
      <c r="Q6" s="463"/>
      <c r="R6" s="454"/>
      <c r="S6" s="454"/>
      <c r="T6" s="457"/>
      <c r="U6" s="457"/>
      <c r="V6" s="452"/>
      <c r="X6" s="392"/>
      <c r="Y6" s="392"/>
      <c r="Z6" s="392" t="s">
        <v>436</v>
      </c>
      <c r="AA6" s="392" t="s">
        <v>437</v>
      </c>
      <c r="AB6" s="392" t="s">
        <v>438</v>
      </c>
      <c r="AC6" s="392" t="s">
        <v>439</v>
      </c>
      <c r="AD6" s="392" t="s">
        <v>392</v>
      </c>
      <c r="AE6" s="392" t="s">
        <v>393</v>
      </c>
      <c r="AF6" s="392" t="s">
        <v>394</v>
      </c>
      <c r="AG6" s="392" t="s">
        <v>395</v>
      </c>
      <c r="AH6" s="392" t="s">
        <v>396</v>
      </c>
      <c r="AI6" s="392" t="s">
        <v>397</v>
      </c>
      <c r="AJ6" s="392" t="s">
        <v>398</v>
      </c>
      <c r="AK6" s="392" t="s">
        <v>399</v>
      </c>
    </row>
    <row r="7" spans="1:115" ht="15.5" x14ac:dyDescent="0.35">
      <c r="A7" s="37"/>
      <c r="B7" s="458"/>
      <c r="C7" s="465"/>
      <c r="D7" s="465"/>
      <c r="E7" s="458"/>
      <c r="F7" s="458"/>
      <c r="G7" s="464"/>
      <c r="H7" s="464"/>
      <c r="I7" s="464"/>
      <c r="K7" s="460"/>
      <c r="L7" s="461"/>
      <c r="M7" s="462"/>
      <c r="N7" s="468"/>
      <c r="O7" s="463"/>
      <c r="P7" s="463"/>
      <c r="Q7" s="463"/>
      <c r="R7" s="361" t="s">
        <v>259</v>
      </c>
      <c r="S7" s="361" t="s">
        <v>259</v>
      </c>
      <c r="T7" s="362" t="s">
        <v>260</v>
      </c>
      <c r="U7" s="363" t="s">
        <v>260</v>
      </c>
      <c r="V7" s="364" t="s">
        <v>260</v>
      </c>
      <c r="X7" s="393"/>
      <c r="Y7" s="393"/>
      <c r="Z7" s="393">
        <v>31</v>
      </c>
      <c r="AA7" s="393">
        <v>29</v>
      </c>
      <c r="AB7" s="393">
        <v>31</v>
      </c>
      <c r="AC7" s="393">
        <v>30</v>
      </c>
      <c r="AD7" s="393">
        <v>30</v>
      </c>
      <c r="AE7" s="393">
        <v>31</v>
      </c>
      <c r="AF7" s="393">
        <v>31</v>
      </c>
      <c r="AG7" s="393">
        <v>31</v>
      </c>
      <c r="AH7" s="393">
        <v>30</v>
      </c>
      <c r="AI7" s="393">
        <v>31</v>
      </c>
      <c r="AJ7" s="393">
        <v>30</v>
      </c>
      <c r="AK7" s="393">
        <v>31</v>
      </c>
    </row>
    <row r="8" spans="1:115" ht="20.149999999999999" customHeight="1" x14ac:dyDescent="0.35">
      <c r="A8" s="37"/>
      <c r="B8" s="45" t="s">
        <v>0</v>
      </c>
      <c r="C8" s="107"/>
      <c r="D8" s="404" t="s">
        <v>493</v>
      </c>
      <c r="E8" s="107"/>
      <c r="F8" s="39">
        <v>1</v>
      </c>
      <c r="G8" s="108">
        <v>24000</v>
      </c>
      <c r="H8" s="109">
        <v>1</v>
      </c>
      <c r="I8" s="110">
        <f t="shared" ref="I8:I18" si="0">G8*(1+H8)</f>
        <v>48000</v>
      </c>
      <c r="K8" s="111">
        <f t="shared" ref="K8:K18" si="1">G8</f>
        <v>24000</v>
      </c>
      <c r="L8" s="110">
        <f t="shared" ref="L8:L18" si="2">G8/4</f>
        <v>6000</v>
      </c>
      <c r="M8" s="110">
        <f t="shared" ref="M8:M18" si="3">G8/2</f>
        <v>12000</v>
      </c>
      <c r="N8" s="111">
        <v>0</v>
      </c>
      <c r="O8" s="111">
        <v>0</v>
      </c>
      <c r="P8" s="111"/>
      <c r="Q8" s="111">
        <f t="shared" ref="Q8:Q18" si="4">(G8/30.4)*6</f>
        <v>4736.8421052631584</v>
      </c>
      <c r="R8" s="14">
        <f>T8/$C$21</f>
        <v>2678.1813415664228</v>
      </c>
      <c r="S8" s="18">
        <f t="shared" ref="S8:S18" si="5">R8*F8</f>
        <v>2678.1813415664228</v>
      </c>
      <c r="T8" s="112">
        <f>I8+O8+(Q8/12)</f>
        <v>48394.73684210526</v>
      </c>
      <c r="U8" s="18">
        <f t="shared" ref="U8:U18" si="6">T8*F8</f>
        <v>48394.73684210526</v>
      </c>
      <c r="V8" s="18">
        <f>U8*1.16</f>
        <v>56137.8947368421</v>
      </c>
      <c r="X8" s="112">
        <f>$U$8</f>
        <v>48394.73684210526</v>
      </c>
      <c r="Y8" s="112">
        <f>$U$8</f>
        <v>48394.73684210526</v>
      </c>
      <c r="Z8" s="112">
        <v>0</v>
      </c>
      <c r="AA8" s="112">
        <v>0</v>
      </c>
      <c r="AB8" s="112">
        <v>0</v>
      </c>
      <c r="AC8" s="112">
        <v>0</v>
      </c>
      <c r="AD8" s="112">
        <v>0</v>
      </c>
      <c r="AE8" s="112">
        <v>0</v>
      </c>
      <c r="AF8" s="113">
        <v>0</v>
      </c>
      <c r="AG8" s="112">
        <v>0</v>
      </c>
      <c r="AH8" s="112">
        <v>0</v>
      </c>
      <c r="AI8" s="112">
        <v>0</v>
      </c>
      <c r="AJ8" s="112">
        <v>0</v>
      </c>
      <c r="AK8" s="365">
        <v>0</v>
      </c>
    </row>
    <row r="9" spans="1:115" ht="20.149999999999999" customHeight="1" x14ac:dyDescent="0.35">
      <c r="A9" s="37"/>
      <c r="B9" s="45" t="s">
        <v>0</v>
      </c>
      <c r="C9" s="107"/>
      <c r="D9" s="404" t="s">
        <v>465</v>
      </c>
      <c r="E9" s="107"/>
      <c r="F9" s="39">
        <v>1</v>
      </c>
      <c r="G9" s="108">
        <v>22000</v>
      </c>
      <c r="H9" s="109">
        <v>1</v>
      </c>
      <c r="I9" s="110">
        <f t="shared" si="0"/>
        <v>44000</v>
      </c>
      <c r="K9" s="111">
        <f t="shared" si="1"/>
        <v>22000</v>
      </c>
      <c r="L9" s="110">
        <f t="shared" si="2"/>
        <v>5500</v>
      </c>
      <c r="M9" s="110">
        <f t="shared" si="3"/>
        <v>11000</v>
      </c>
      <c r="N9" s="111">
        <v>0</v>
      </c>
      <c r="O9" s="111">
        <v>0</v>
      </c>
      <c r="P9" s="111"/>
      <c r="Q9" s="111">
        <f t="shared" si="4"/>
        <v>4342.105263157895</v>
      </c>
      <c r="R9" s="14">
        <f t="shared" ref="R9:R18" si="7">T9/$C$21</f>
        <v>2454.9995631025545</v>
      </c>
      <c r="S9" s="18">
        <f t="shared" si="5"/>
        <v>2454.9995631025545</v>
      </c>
      <c r="T9" s="112">
        <f t="shared" ref="T9:T18" si="8">I9+O9+(Q9/12)</f>
        <v>44361.84210526316</v>
      </c>
      <c r="U9" s="18">
        <f t="shared" si="6"/>
        <v>44361.84210526316</v>
      </c>
      <c r="V9" s="18">
        <f t="shared" ref="V9:V18" si="9">U9*1.16</f>
        <v>51459.73684210526</v>
      </c>
      <c r="X9" s="112">
        <f>$U$9</f>
        <v>44361.84210526316</v>
      </c>
      <c r="Y9" s="112">
        <f>$U$9</f>
        <v>44361.84210526316</v>
      </c>
      <c r="Z9" s="112">
        <v>0</v>
      </c>
      <c r="AA9" s="112">
        <v>0</v>
      </c>
      <c r="AB9" s="112">
        <v>0</v>
      </c>
      <c r="AC9" s="112">
        <v>0</v>
      </c>
      <c r="AD9" s="112">
        <v>0</v>
      </c>
      <c r="AE9" s="112">
        <v>0</v>
      </c>
      <c r="AF9" s="113">
        <v>0</v>
      </c>
      <c r="AG9" s="112">
        <v>0</v>
      </c>
      <c r="AH9" s="112">
        <v>0</v>
      </c>
      <c r="AI9" s="112">
        <v>0</v>
      </c>
      <c r="AJ9" s="112">
        <v>0</v>
      </c>
      <c r="AK9" s="365">
        <v>0</v>
      </c>
    </row>
    <row r="10" spans="1:115" ht="20.149999999999999" customHeight="1" x14ac:dyDescent="0.35">
      <c r="A10" s="37"/>
      <c r="B10" s="45" t="s">
        <v>0</v>
      </c>
      <c r="C10" s="107"/>
      <c r="D10" s="404" t="s">
        <v>466</v>
      </c>
      <c r="E10" s="107"/>
      <c r="F10" s="39">
        <v>2</v>
      </c>
      <c r="G10" s="108">
        <v>20000</v>
      </c>
      <c r="H10" s="109">
        <v>1</v>
      </c>
      <c r="I10" s="110">
        <f t="shared" si="0"/>
        <v>40000</v>
      </c>
      <c r="K10" s="111">
        <f t="shared" si="1"/>
        <v>20000</v>
      </c>
      <c r="L10" s="110">
        <f t="shared" si="2"/>
        <v>5000</v>
      </c>
      <c r="M10" s="110">
        <f t="shared" si="3"/>
        <v>10000</v>
      </c>
      <c r="N10" s="111">
        <v>0</v>
      </c>
      <c r="O10" s="111">
        <v>0</v>
      </c>
      <c r="P10" s="111"/>
      <c r="Q10" s="111">
        <f t="shared" si="4"/>
        <v>3947.3684210526317</v>
      </c>
      <c r="R10" s="14">
        <f t="shared" si="7"/>
        <v>2231.8177846386857</v>
      </c>
      <c r="S10" s="18">
        <f t="shared" si="5"/>
        <v>4463.6355692773714</v>
      </c>
      <c r="T10" s="112">
        <f t="shared" si="8"/>
        <v>40328.947368421053</v>
      </c>
      <c r="U10" s="18">
        <f t="shared" si="6"/>
        <v>80657.894736842107</v>
      </c>
      <c r="V10" s="18">
        <f t="shared" si="9"/>
        <v>93563.15789473684</v>
      </c>
      <c r="X10" s="112">
        <f>U10</f>
        <v>80657.894736842107</v>
      </c>
      <c r="Y10" s="112">
        <f>$U$10</f>
        <v>80657.894736842107</v>
      </c>
      <c r="Z10" s="112">
        <v>0</v>
      </c>
      <c r="AA10" s="112">
        <v>0</v>
      </c>
      <c r="AB10" s="112">
        <v>0</v>
      </c>
      <c r="AC10" s="112">
        <v>0</v>
      </c>
      <c r="AD10" s="112">
        <v>0</v>
      </c>
      <c r="AE10" s="112">
        <v>0</v>
      </c>
      <c r="AF10" s="113">
        <v>0</v>
      </c>
      <c r="AG10" s="112">
        <v>0</v>
      </c>
      <c r="AH10" s="112">
        <v>0</v>
      </c>
      <c r="AI10" s="112">
        <v>0</v>
      </c>
      <c r="AJ10" s="112">
        <v>0</v>
      </c>
      <c r="AK10" s="365">
        <v>0</v>
      </c>
    </row>
    <row r="11" spans="1:115" ht="20.149999999999999" customHeight="1" x14ac:dyDescent="0.35">
      <c r="A11" s="37"/>
      <c r="B11" s="45" t="s">
        <v>0</v>
      </c>
      <c r="C11" s="107"/>
      <c r="D11" s="404" t="s">
        <v>467</v>
      </c>
      <c r="E11" s="107"/>
      <c r="F11" s="39">
        <v>1</v>
      </c>
      <c r="G11" s="108">
        <v>20000</v>
      </c>
      <c r="H11" s="109">
        <v>1</v>
      </c>
      <c r="I11" s="110">
        <f t="shared" si="0"/>
        <v>40000</v>
      </c>
      <c r="K11" s="111">
        <f t="shared" si="1"/>
        <v>20000</v>
      </c>
      <c r="L11" s="110">
        <f t="shared" si="2"/>
        <v>5000</v>
      </c>
      <c r="M11" s="110">
        <f t="shared" si="3"/>
        <v>10000</v>
      </c>
      <c r="N11" s="111">
        <v>0</v>
      </c>
      <c r="O11" s="111">
        <v>0</v>
      </c>
      <c r="P11" s="111"/>
      <c r="Q11" s="111">
        <f t="shared" si="4"/>
        <v>3947.3684210526317</v>
      </c>
      <c r="R11" s="14">
        <f t="shared" si="7"/>
        <v>2231.8177846386857</v>
      </c>
      <c r="S11" s="18">
        <f>R11*F11</f>
        <v>2231.8177846386857</v>
      </c>
      <c r="T11" s="112">
        <f t="shared" si="8"/>
        <v>40328.947368421053</v>
      </c>
      <c r="U11" s="18">
        <f t="shared" si="6"/>
        <v>40328.947368421053</v>
      </c>
      <c r="V11" s="18">
        <f t="shared" si="9"/>
        <v>46781.57894736842</v>
      </c>
      <c r="X11" s="112">
        <f>$U$11</f>
        <v>40328.947368421053</v>
      </c>
      <c r="Y11" s="112">
        <f>$U$11</f>
        <v>40328.947368421053</v>
      </c>
      <c r="Z11" s="112">
        <v>0</v>
      </c>
      <c r="AA11" s="112">
        <v>0</v>
      </c>
      <c r="AB11" s="112">
        <v>0</v>
      </c>
      <c r="AC11" s="112">
        <v>0</v>
      </c>
      <c r="AD11" s="112">
        <v>0</v>
      </c>
      <c r="AE11" s="112">
        <v>0</v>
      </c>
      <c r="AF11" s="113">
        <v>0</v>
      </c>
      <c r="AG11" s="112">
        <v>0</v>
      </c>
      <c r="AH11" s="112">
        <v>0</v>
      </c>
      <c r="AI11" s="112">
        <v>0</v>
      </c>
      <c r="AJ11" s="112">
        <v>0</v>
      </c>
      <c r="AK11" s="365">
        <v>0</v>
      </c>
    </row>
    <row r="12" spans="1:115" ht="20.149999999999999" customHeight="1" x14ac:dyDescent="0.35">
      <c r="A12" s="37"/>
      <c r="B12" s="45" t="s">
        <v>0</v>
      </c>
      <c r="C12" s="107"/>
      <c r="D12" s="404" t="s">
        <v>494</v>
      </c>
      <c r="E12" s="107"/>
      <c r="F12" s="39">
        <v>1</v>
      </c>
      <c r="G12" s="108">
        <v>20000</v>
      </c>
      <c r="H12" s="109">
        <v>1</v>
      </c>
      <c r="I12" s="110">
        <f t="shared" si="0"/>
        <v>40000</v>
      </c>
      <c r="K12" s="111">
        <f t="shared" si="1"/>
        <v>20000</v>
      </c>
      <c r="L12" s="110">
        <f t="shared" si="2"/>
        <v>5000</v>
      </c>
      <c r="M12" s="110">
        <f t="shared" si="3"/>
        <v>10000</v>
      </c>
      <c r="N12" s="111">
        <v>0</v>
      </c>
      <c r="O12" s="111">
        <v>0</v>
      </c>
      <c r="P12" s="111"/>
      <c r="Q12" s="111">
        <f t="shared" si="4"/>
        <v>3947.3684210526317</v>
      </c>
      <c r="R12" s="14">
        <f t="shared" si="7"/>
        <v>2231.8177846386857</v>
      </c>
      <c r="S12" s="18">
        <f t="shared" si="5"/>
        <v>2231.8177846386857</v>
      </c>
      <c r="T12" s="112">
        <f t="shared" si="8"/>
        <v>40328.947368421053</v>
      </c>
      <c r="U12" s="18">
        <f t="shared" si="6"/>
        <v>40328.947368421053</v>
      </c>
      <c r="V12" s="18">
        <f t="shared" si="9"/>
        <v>46781.57894736842</v>
      </c>
      <c r="X12" s="112">
        <f>$U$12</f>
        <v>40328.947368421053</v>
      </c>
      <c r="Y12" s="112">
        <f>$U$12</f>
        <v>40328.947368421053</v>
      </c>
      <c r="Z12" s="112">
        <v>0</v>
      </c>
      <c r="AA12" s="112">
        <v>0</v>
      </c>
      <c r="AB12" s="112">
        <v>0</v>
      </c>
      <c r="AC12" s="112">
        <v>0</v>
      </c>
      <c r="AD12" s="112">
        <v>0</v>
      </c>
      <c r="AE12" s="112">
        <v>0</v>
      </c>
      <c r="AF12" s="113">
        <v>0</v>
      </c>
      <c r="AG12" s="112">
        <v>0</v>
      </c>
      <c r="AH12" s="112">
        <v>0</v>
      </c>
      <c r="AI12" s="112">
        <v>0</v>
      </c>
      <c r="AJ12" s="112">
        <v>0</v>
      </c>
      <c r="AK12" s="365">
        <v>0</v>
      </c>
    </row>
    <row r="13" spans="1:115" ht="20.149999999999999" customHeight="1" x14ac:dyDescent="0.35">
      <c r="A13" s="37"/>
      <c r="B13" s="45" t="s">
        <v>0</v>
      </c>
      <c r="C13" s="107"/>
      <c r="D13" s="404" t="s">
        <v>495</v>
      </c>
      <c r="E13" s="107"/>
      <c r="F13" s="39">
        <v>1</v>
      </c>
      <c r="G13" s="108">
        <v>20000</v>
      </c>
      <c r="H13" s="109">
        <v>1</v>
      </c>
      <c r="I13" s="110">
        <f t="shared" si="0"/>
        <v>40000</v>
      </c>
      <c r="K13" s="111">
        <f t="shared" si="1"/>
        <v>20000</v>
      </c>
      <c r="L13" s="110">
        <f t="shared" si="2"/>
        <v>5000</v>
      </c>
      <c r="M13" s="110">
        <f t="shared" si="3"/>
        <v>10000</v>
      </c>
      <c r="N13" s="111">
        <v>0</v>
      </c>
      <c r="O13" s="111">
        <v>0</v>
      </c>
      <c r="P13" s="111"/>
      <c r="Q13" s="111">
        <f t="shared" si="4"/>
        <v>3947.3684210526317</v>
      </c>
      <c r="R13" s="14">
        <f t="shared" si="7"/>
        <v>2231.8177846386857</v>
      </c>
      <c r="S13" s="18">
        <f t="shared" si="5"/>
        <v>2231.8177846386857</v>
      </c>
      <c r="T13" s="112">
        <f t="shared" si="8"/>
        <v>40328.947368421053</v>
      </c>
      <c r="U13" s="18">
        <f t="shared" si="6"/>
        <v>40328.947368421053</v>
      </c>
      <c r="V13" s="18">
        <f t="shared" si="9"/>
        <v>46781.57894736842</v>
      </c>
      <c r="X13" s="112">
        <f>$U$13</f>
        <v>40328.947368421053</v>
      </c>
      <c r="Y13" s="112">
        <f>$U$13</f>
        <v>40328.947368421053</v>
      </c>
      <c r="Z13" s="112">
        <v>0</v>
      </c>
      <c r="AA13" s="112">
        <v>0</v>
      </c>
      <c r="AB13" s="112">
        <v>0</v>
      </c>
      <c r="AC13" s="112">
        <v>0</v>
      </c>
      <c r="AD13" s="112">
        <v>0</v>
      </c>
      <c r="AE13" s="112">
        <v>0</v>
      </c>
      <c r="AF13" s="113">
        <v>0</v>
      </c>
      <c r="AG13" s="112">
        <v>0</v>
      </c>
      <c r="AH13" s="112">
        <v>0</v>
      </c>
      <c r="AI13" s="112">
        <v>0</v>
      </c>
      <c r="AJ13" s="112">
        <v>0</v>
      </c>
      <c r="AK13" s="365">
        <v>0</v>
      </c>
    </row>
    <row r="14" spans="1:115" ht="20.149999999999999" customHeight="1" x14ac:dyDescent="0.35">
      <c r="A14" s="37"/>
      <c r="B14" s="45" t="s">
        <v>0</v>
      </c>
      <c r="C14" s="107"/>
      <c r="D14" s="404" t="s">
        <v>496</v>
      </c>
      <c r="E14" s="107"/>
      <c r="F14" s="39">
        <v>1</v>
      </c>
      <c r="G14" s="108">
        <v>25000</v>
      </c>
      <c r="H14" s="109">
        <v>1</v>
      </c>
      <c r="I14" s="110">
        <f>G14*(1+H14)</f>
        <v>50000</v>
      </c>
      <c r="K14" s="111">
        <f t="shared" si="1"/>
        <v>25000</v>
      </c>
      <c r="L14" s="110">
        <f t="shared" si="2"/>
        <v>6250</v>
      </c>
      <c r="M14" s="110">
        <f t="shared" si="3"/>
        <v>12500</v>
      </c>
      <c r="N14" s="111">
        <v>0</v>
      </c>
      <c r="O14" s="111">
        <v>0</v>
      </c>
      <c r="P14" s="111"/>
      <c r="Q14" s="111">
        <f t="shared" si="4"/>
        <v>4934.2105263157891</v>
      </c>
      <c r="R14" s="14">
        <f t="shared" si="7"/>
        <v>2789.7722307983572</v>
      </c>
      <c r="S14" s="18">
        <f t="shared" si="5"/>
        <v>2789.7722307983572</v>
      </c>
      <c r="T14" s="112">
        <f t="shared" si="8"/>
        <v>50411.184210526313</v>
      </c>
      <c r="U14" s="18">
        <f t="shared" si="6"/>
        <v>50411.184210526313</v>
      </c>
      <c r="V14" s="18">
        <f t="shared" si="9"/>
        <v>58476.973684210519</v>
      </c>
      <c r="X14" s="112">
        <f>$U$14</f>
        <v>50411.184210526313</v>
      </c>
      <c r="Y14" s="112">
        <f>$U$14</f>
        <v>50411.184210526313</v>
      </c>
      <c r="Z14" s="112">
        <v>0</v>
      </c>
      <c r="AA14" s="112">
        <v>0</v>
      </c>
      <c r="AB14" s="112">
        <v>0</v>
      </c>
      <c r="AC14" s="112">
        <v>0</v>
      </c>
      <c r="AD14" s="112">
        <v>0</v>
      </c>
      <c r="AE14" s="112">
        <v>0</v>
      </c>
      <c r="AF14" s="113">
        <v>0</v>
      </c>
      <c r="AG14" s="112">
        <v>0</v>
      </c>
      <c r="AH14" s="112">
        <v>0</v>
      </c>
      <c r="AI14" s="112">
        <v>0</v>
      </c>
      <c r="AJ14" s="112">
        <v>0</v>
      </c>
      <c r="AK14" s="365">
        <v>0</v>
      </c>
    </row>
    <row r="15" spans="1:115" ht="20.149999999999999" customHeight="1" x14ac:dyDescent="0.35">
      <c r="A15" s="37"/>
      <c r="B15" s="45" t="s">
        <v>0</v>
      </c>
      <c r="C15" s="107"/>
      <c r="D15" s="404" t="s">
        <v>497</v>
      </c>
      <c r="E15" s="107"/>
      <c r="F15" s="39">
        <v>1</v>
      </c>
      <c r="G15" s="108">
        <v>18000</v>
      </c>
      <c r="H15" s="109">
        <v>1</v>
      </c>
      <c r="I15" s="110">
        <f t="shared" si="0"/>
        <v>36000</v>
      </c>
      <c r="K15" s="111">
        <f t="shared" si="1"/>
        <v>18000</v>
      </c>
      <c r="L15" s="110">
        <f t="shared" si="2"/>
        <v>4500</v>
      </c>
      <c r="M15" s="110">
        <f t="shared" si="3"/>
        <v>9000</v>
      </c>
      <c r="N15" s="111">
        <v>0</v>
      </c>
      <c r="O15" s="111">
        <v>0</v>
      </c>
      <c r="P15" s="111"/>
      <c r="Q15" s="111">
        <f t="shared" si="4"/>
        <v>3552.6315789473688</v>
      </c>
      <c r="R15" s="14">
        <f t="shared" si="7"/>
        <v>2008.6360061748171</v>
      </c>
      <c r="S15" s="18">
        <f t="shared" si="5"/>
        <v>2008.6360061748171</v>
      </c>
      <c r="T15" s="112">
        <f t="shared" si="8"/>
        <v>36296.052631578947</v>
      </c>
      <c r="U15" s="18">
        <f t="shared" si="6"/>
        <v>36296.052631578947</v>
      </c>
      <c r="V15" s="18">
        <f t="shared" si="9"/>
        <v>42103.421052631573</v>
      </c>
      <c r="X15" s="112">
        <f>U15</f>
        <v>36296.052631578947</v>
      </c>
      <c r="Y15" s="112">
        <f>$U$15</f>
        <v>36296.052631578947</v>
      </c>
      <c r="Z15" s="112">
        <v>0</v>
      </c>
      <c r="AA15" s="112">
        <v>0</v>
      </c>
      <c r="AB15" s="112">
        <v>0</v>
      </c>
      <c r="AC15" s="112">
        <v>0</v>
      </c>
      <c r="AD15" s="112">
        <v>0</v>
      </c>
      <c r="AE15" s="112">
        <v>0</v>
      </c>
      <c r="AF15" s="113">
        <v>0</v>
      </c>
      <c r="AG15" s="112">
        <v>0</v>
      </c>
      <c r="AH15" s="112">
        <v>0</v>
      </c>
      <c r="AI15" s="112">
        <v>0</v>
      </c>
      <c r="AJ15" s="112">
        <v>0</v>
      </c>
      <c r="AK15" s="365">
        <v>0</v>
      </c>
    </row>
    <row r="16" spans="1:115" ht="20.149999999999999" customHeight="1" x14ac:dyDescent="0.35">
      <c r="A16" s="37"/>
      <c r="B16" s="45" t="s">
        <v>0</v>
      </c>
      <c r="C16" s="107"/>
      <c r="D16" s="404" t="s">
        <v>498</v>
      </c>
      <c r="E16" s="107"/>
      <c r="F16" s="39">
        <v>1</v>
      </c>
      <c r="G16" s="108">
        <v>18000</v>
      </c>
      <c r="H16" s="109">
        <v>1</v>
      </c>
      <c r="I16" s="110">
        <f t="shared" si="0"/>
        <v>36000</v>
      </c>
      <c r="K16" s="111">
        <f t="shared" si="1"/>
        <v>18000</v>
      </c>
      <c r="L16" s="110">
        <f t="shared" si="2"/>
        <v>4500</v>
      </c>
      <c r="M16" s="110">
        <f t="shared" si="3"/>
        <v>9000</v>
      </c>
      <c r="N16" s="111">
        <v>0</v>
      </c>
      <c r="O16" s="111">
        <v>0</v>
      </c>
      <c r="P16" s="111"/>
      <c r="Q16" s="111">
        <f t="shared" si="4"/>
        <v>3552.6315789473688</v>
      </c>
      <c r="R16" s="14">
        <f t="shared" si="7"/>
        <v>2008.6360061748171</v>
      </c>
      <c r="S16" s="18">
        <f t="shared" si="5"/>
        <v>2008.6360061748171</v>
      </c>
      <c r="T16" s="112">
        <f t="shared" si="8"/>
        <v>36296.052631578947</v>
      </c>
      <c r="U16" s="18">
        <f t="shared" si="6"/>
        <v>36296.052631578947</v>
      </c>
      <c r="V16" s="18">
        <f t="shared" si="9"/>
        <v>42103.421052631573</v>
      </c>
      <c r="X16" s="112">
        <f>$U$16</f>
        <v>36296.052631578947</v>
      </c>
      <c r="Y16" s="112">
        <f>$U$16</f>
        <v>36296.052631578947</v>
      </c>
      <c r="Z16" s="112">
        <v>0</v>
      </c>
      <c r="AA16" s="112">
        <v>0</v>
      </c>
      <c r="AB16" s="112">
        <v>0</v>
      </c>
      <c r="AC16" s="112">
        <v>0</v>
      </c>
      <c r="AD16" s="112">
        <v>0</v>
      </c>
      <c r="AE16" s="112">
        <v>0</v>
      </c>
      <c r="AF16" s="113">
        <v>0</v>
      </c>
      <c r="AG16" s="112">
        <v>0</v>
      </c>
      <c r="AH16" s="112">
        <v>0</v>
      </c>
      <c r="AI16" s="112">
        <v>0</v>
      </c>
      <c r="AJ16" s="112">
        <v>0</v>
      </c>
      <c r="AK16" s="365">
        <v>0</v>
      </c>
    </row>
    <row r="17" spans="1:37" ht="20.149999999999999" customHeight="1" x14ac:dyDescent="0.35">
      <c r="A17" s="37"/>
      <c r="B17" s="45" t="s">
        <v>0</v>
      </c>
      <c r="C17" s="107"/>
      <c r="D17" s="404" t="s">
        <v>499</v>
      </c>
      <c r="E17" s="107"/>
      <c r="F17" s="39">
        <v>1</v>
      </c>
      <c r="G17" s="108">
        <v>129500</v>
      </c>
      <c r="H17" s="109">
        <v>1</v>
      </c>
      <c r="I17" s="110">
        <f t="shared" si="0"/>
        <v>259000</v>
      </c>
      <c r="K17" s="111">
        <f t="shared" si="1"/>
        <v>129500</v>
      </c>
      <c r="L17" s="110">
        <f t="shared" si="2"/>
        <v>32375</v>
      </c>
      <c r="M17" s="110">
        <f t="shared" si="3"/>
        <v>64750</v>
      </c>
      <c r="N17" s="111">
        <v>0</v>
      </c>
      <c r="O17" s="111">
        <v>0</v>
      </c>
      <c r="P17" s="111"/>
      <c r="Q17" s="111">
        <f t="shared" si="4"/>
        <v>25559.21052631579</v>
      </c>
      <c r="R17" s="14">
        <f t="shared" si="7"/>
        <v>14451.020155535491</v>
      </c>
      <c r="S17" s="18">
        <f t="shared" si="5"/>
        <v>14451.020155535491</v>
      </c>
      <c r="T17" s="112">
        <f t="shared" si="8"/>
        <v>261129.93421052632</v>
      </c>
      <c r="U17" s="18">
        <f t="shared" si="6"/>
        <v>261129.93421052632</v>
      </c>
      <c r="V17" s="18">
        <f t="shared" si="9"/>
        <v>302910.7236842105</v>
      </c>
      <c r="X17" s="112">
        <v>0</v>
      </c>
      <c r="Y17" s="112">
        <f>U17</f>
        <v>261129.93421052632</v>
      </c>
      <c r="Z17" s="112">
        <v>0</v>
      </c>
      <c r="AA17" s="112">
        <v>0</v>
      </c>
      <c r="AB17" s="112">
        <v>0</v>
      </c>
      <c r="AC17" s="112">
        <v>0</v>
      </c>
      <c r="AD17" s="112">
        <v>0</v>
      </c>
      <c r="AE17" s="112">
        <v>0</v>
      </c>
      <c r="AF17" s="113">
        <v>0</v>
      </c>
      <c r="AG17" s="112">
        <v>0</v>
      </c>
      <c r="AH17" s="112">
        <v>0</v>
      </c>
      <c r="AI17" s="112">
        <v>0</v>
      </c>
      <c r="AJ17" s="112">
        <v>0</v>
      </c>
      <c r="AK17" s="365">
        <v>0</v>
      </c>
    </row>
    <row r="18" spans="1:37" ht="20.149999999999999" customHeight="1" x14ac:dyDescent="0.35">
      <c r="A18" s="37"/>
      <c r="B18" s="45" t="s">
        <v>0</v>
      </c>
      <c r="C18" s="107"/>
      <c r="D18" s="107"/>
      <c r="E18" s="107"/>
      <c r="F18" s="39"/>
      <c r="G18" s="108">
        <v>0</v>
      </c>
      <c r="H18" s="109">
        <v>1</v>
      </c>
      <c r="I18" s="110">
        <f t="shared" si="0"/>
        <v>0</v>
      </c>
      <c r="K18" s="111">
        <f t="shared" si="1"/>
        <v>0</v>
      </c>
      <c r="L18" s="110">
        <f t="shared" si="2"/>
        <v>0</v>
      </c>
      <c r="M18" s="110">
        <f t="shared" si="3"/>
        <v>0</v>
      </c>
      <c r="N18" s="111">
        <v>0</v>
      </c>
      <c r="O18" s="111">
        <v>0</v>
      </c>
      <c r="P18" s="111"/>
      <c r="Q18" s="111">
        <f t="shared" si="4"/>
        <v>0</v>
      </c>
      <c r="R18" s="14">
        <f t="shared" si="7"/>
        <v>0</v>
      </c>
      <c r="S18" s="18">
        <f t="shared" si="5"/>
        <v>0</v>
      </c>
      <c r="T18" s="112">
        <f t="shared" si="8"/>
        <v>0</v>
      </c>
      <c r="U18" s="18">
        <f t="shared" si="6"/>
        <v>0</v>
      </c>
      <c r="V18" s="18">
        <f t="shared" si="9"/>
        <v>0</v>
      </c>
      <c r="X18" s="112">
        <f t="shared" ref="X18" si="10">U18</f>
        <v>0</v>
      </c>
      <c r="Y18" s="112">
        <v>0</v>
      </c>
      <c r="Z18" s="112">
        <v>0</v>
      </c>
      <c r="AA18" s="112">
        <v>0</v>
      </c>
      <c r="AB18" s="112">
        <v>0</v>
      </c>
      <c r="AC18" s="112">
        <v>0</v>
      </c>
      <c r="AD18" s="112">
        <v>0</v>
      </c>
      <c r="AE18" s="112">
        <v>0</v>
      </c>
      <c r="AF18" s="113">
        <v>0</v>
      </c>
      <c r="AG18" s="112">
        <v>0</v>
      </c>
      <c r="AH18" s="112">
        <v>0</v>
      </c>
      <c r="AI18" s="112">
        <v>0</v>
      </c>
      <c r="AJ18" s="112">
        <v>0</v>
      </c>
      <c r="AK18" s="365">
        <v>0</v>
      </c>
    </row>
    <row r="20" spans="1:37" ht="20.149999999999999" customHeight="1" x14ac:dyDescent="0.35">
      <c r="B20" s="49" t="str">
        <f>'F00 INVERSIÓN'!B43</f>
        <v>Premisas</v>
      </c>
      <c r="C20" s="49"/>
      <c r="V20" s="50" t="s">
        <v>262</v>
      </c>
      <c r="X20" s="51">
        <f>SUM(X8:X18)</f>
        <v>417404.60526315786</v>
      </c>
      <c r="Y20" s="51">
        <f>SUM(Y8:Y18)</f>
        <v>678534.53947368416</v>
      </c>
      <c r="Z20" s="51">
        <f>SUM(Z8:Z18)</f>
        <v>0</v>
      </c>
      <c r="AA20" s="51">
        <f>SUM(AA8:AA18)</f>
        <v>0</v>
      </c>
      <c r="AB20" s="51">
        <f t="shared" ref="AB20:AK20" si="11">SUM(AB8:AB18)</f>
        <v>0</v>
      </c>
      <c r="AC20" s="51">
        <f t="shared" si="11"/>
        <v>0</v>
      </c>
      <c r="AD20" s="51">
        <f t="shared" si="11"/>
        <v>0</v>
      </c>
      <c r="AE20" s="51">
        <f t="shared" si="11"/>
        <v>0</v>
      </c>
      <c r="AF20" s="51">
        <f t="shared" si="11"/>
        <v>0</v>
      </c>
      <c r="AG20" s="51">
        <f t="shared" si="11"/>
        <v>0</v>
      </c>
      <c r="AH20" s="51">
        <f t="shared" si="11"/>
        <v>0</v>
      </c>
      <c r="AI20" s="51">
        <f t="shared" si="11"/>
        <v>0</v>
      </c>
      <c r="AJ20" s="51">
        <f t="shared" si="11"/>
        <v>0</v>
      </c>
      <c r="AK20" s="51">
        <f t="shared" si="11"/>
        <v>0</v>
      </c>
    </row>
    <row r="21" spans="1:37" ht="20.149999999999999" customHeight="1" x14ac:dyDescent="0.35">
      <c r="B21" s="20" t="str">
        <f>'F00 INVERSIÓN'!B44</f>
        <v>Paridad</v>
      </c>
      <c r="C21" s="52">
        <f>'F00 INVERSIÓN'!C44</f>
        <v>18.07</v>
      </c>
      <c r="V21" s="53" t="s">
        <v>263</v>
      </c>
      <c r="X21" s="43">
        <f t="shared" ref="X21:AI21" si="12">X20/$C$21</f>
        <v>23099.314071010394</v>
      </c>
      <c r="Y21" s="43">
        <f t="shared" si="12"/>
        <v>37550.334226545885</v>
      </c>
      <c r="Z21" s="43">
        <f t="shared" si="12"/>
        <v>0</v>
      </c>
      <c r="AA21" s="43">
        <f t="shared" si="12"/>
        <v>0</v>
      </c>
      <c r="AB21" s="43">
        <f t="shared" si="12"/>
        <v>0</v>
      </c>
      <c r="AC21" s="43">
        <f t="shared" si="12"/>
        <v>0</v>
      </c>
      <c r="AD21" s="43">
        <f t="shared" si="12"/>
        <v>0</v>
      </c>
      <c r="AE21" s="43">
        <f t="shared" si="12"/>
        <v>0</v>
      </c>
      <c r="AF21" s="43">
        <f t="shared" si="12"/>
        <v>0</v>
      </c>
      <c r="AG21" s="43">
        <f>AG20/$C$21</f>
        <v>0</v>
      </c>
      <c r="AH21" s="43">
        <f t="shared" si="12"/>
        <v>0</v>
      </c>
      <c r="AI21" s="43">
        <f t="shared" si="12"/>
        <v>0</v>
      </c>
      <c r="AJ21" s="43">
        <f>AJ20/$C$21</f>
        <v>0</v>
      </c>
      <c r="AK21" s="43">
        <f>AK20/$C$21</f>
        <v>0</v>
      </c>
    </row>
    <row r="22" spans="1:37" ht="20.149999999999999" customHeight="1" x14ac:dyDescent="0.35">
      <c r="B22" s="22" t="str">
        <f>'F00 INVERSIÓN'!B45</f>
        <v xml:space="preserve">Mes </v>
      </c>
      <c r="C22" s="54">
        <f>'F00 INVERSIÓN'!C45</f>
        <v>30.4</v>
      </c>
      <c r="V22" s="50" t="s">
        <v>284</v>
      </c>
      <c r="X22" s="51">
        <f>SUM(X20:AK20)</f>
        <v>1095939.144736842</v>
      </c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</row>
    <row r="23" spans="1:37" ht="20.149999999999999" customHeight="1" x14ac:dyDescent="0.35">
      <c r="B23" s="24" t="str">
        <f>'F00 INVERSIÓN'!B46</f>
        <v>Periodo Pago (días)</v>
      </c>
      <c r="C23" s="55">
        <f>'F00 INVERSIÓN'!C46</f>
        <v>30</v>
      </c>
      <c r="V23" s="53" t="s">
        <v>261</v>
      </c>
      <c r="X23" s="57">
        <f>X22/C21</f>
        <v>60649.648297556283</v>
      </c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</row>
    <row r="24" spans="1:37" ht="20.149999999999999" customHeight="1" x14ac:dyDescent="0.35">
      <c r="B24" s="26" t="str">
        <f>'F00 INVERSIÓN'!B47</f>
        <v>Gas lp</v>
      </c>
      <c r="C24" s="58">
        <f>'F00 INVERSIÓN'!C47</f>
        <v>0</v>
      </c>
    </row>
    <row r="25" spans="1:37" ht="20.149999999999999" customHeight="1" x14ac:dyDescent="0.35">
      <c r="B25" s="28" t="str">
        <f>'F00 INVERSIÓN'!B48</f>
        <v>Gasolina Magna</v>
      </c>
      <c r="C25" s="59">
        <f>'F00 INVERSIÓN'!C48</f>
        <v>22</v>
      </c>
    </row>
    <row r="26" spans="1:37" ht="20.149999999999999" customHeight="1" x14ac:dyDescent="0.35">
      <c r="B26" s="30" t="str">
        <f>'F00 INVERSIÓN'!B49</f>
        <v>Diesel</v>
      </c>
      <c r="C26" s="60">
        <f>'F00 INVERSIÓN'!C49</f>
        <v>23</v>
      </c>
    </row>
    <row r="27" spans="1:37" ht="20.149999999999999" customHeight="1" x14ac:dyDescent="0.35">
      <c r="B27" s="242" t="s">
        <v>380</v>
      </c>
      <c r="C27" s="243">
        <v>0.8</v>
      </c>
    </row>
    <row r="29" spans="1:37" ht="20.149999999999999" customHeight="1" x14ac:dyDescent="0.35">
      <c r="B29" s="366" t="s">
        <v>431</v>
      </c>
    </row>
    <row r="30" spans="1:37" ht="20.149999999999999" customHeight="1" x14ac:dyDescent="0.35">
      <c r="B30" s="367" t="s">
        <v>54</v>
      </c>
      <c r="W30" s="18"/>
    </row>
    <row r="31" spans="1:37" ht="20.149999999999999" customHeight="1" x14ac:dyDescent="0.35">
      <c r="W31" s="18"/>
    </row>
    <row r="32" spans="1:37" ht="20.149999999999999" customHeight="1" x14ac:dyDescent="0.35">
      <c r="B32" s="459"/>
      <c r="C32" s="459"/>
    </row>
    <row r="33" spans="2:3" ht="20.149999999999999" customHeight="1" x14ac:dyDescent="0.35">
      <c r="B33" s="459"/>
      <c r="C33" s="459"/>
    </row>
    <row r="34" spans="2:3" ht="20.149999999999999" customHeight="1" x14ac:dyDescent="0.35">
      <c r="B34" s="459"/>
      <c r="C34" s="459"/>
    </row>
    <row r="35" spans="2:3" ht="20.149999999999999" customHeight="1" x14ac:dyDescent="0.35">
      <c r="B35" s="459"/>
      <c r="C35" s="459"/>
    </row>
  </sheetData>
  <mergeCells count="24">
    <mergeCell ref="U5:U6"/>
    <mergeCell ref="V5:V6"/>
    <mergeCell ref="P5:P7"/>
    <mergeCell ref="Q5:Q7"/>
    <mergeCell ref="R5:R6"/>
    <mergeCell ref="S5:S6"/>
    <mergeCell ref="T5:T6"/>
    <mergeCell ref="L5:L7"/>
    <mergeCell ref="M5:M7"/>
    <mergeCell ref="O5:O7"/>
    <mergeCell ref="B5:B7"/>
    <mergeCell ref="I5:I7"/>
    <mergeCell ref="H5:H7"/>
    <mergeCell ref="G5:G7"/>
    <mergeCell ref="F5:F7"/>
    <mergeCell ref="E5:E7"/>
    <mergeCell ref="D5:D7"/>
    <mergeCell ref="C5:C7"/>
    <mergeCell ref="N5:N7"/>
    <mergeCell ref="B35:C35"/>
    <mergeCell ref="B32:C32"/>
    <mergeCell ref="B33:C33"/>
    <mergeCell ref="B34:C34"/>
    <mergeCell ref="K5:K7"/>
  </mergeCells>
  <phoneticPr fontId="8" type="noConversion"/>
  <printOptions horizontalCentered="1"/>
  <pageMargins left="0.25" right="0.25" top="0.75" bottom="0.75" header="0.3" footer="0.3"/>
  <pageSetup paperSize="3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Z43"/>
  <sheetViews>
    <sheetView zoomScale="80" zoomScaleNormal="80" workbookViewId="0">
      <pane xSplit="12" ySplit="7" topLeftCell="M10" activePane="bottomRight" state="frozen"/>
      <selection pane="topRight" activeCell="L1" sqref="L1"/>
      <selection pane="bottomLeft" activeCell="A8" sqref="A8"/>
      <selection pane="bottomRight" activeCell="C8" sqref="C8:G17"/>
    </sheetView>
  </sheetViews>
  <sheetFormatPr baseColWidth="10" defaultColWidth="10.5" defaultRowHeight="20.149999999999999" customHeight="1" x14ac:dyDescent="0.35"/>
  <cols>
    <col min="1" max="1" width="3.08203125" style="2" customWidth="1"/>
    <col min="2" max="2" width="33.83203125" style="2" customWidth="1"/>
    <col min="3" max="3" width="8.83203125" style="2" customWidth="1"/>
    <col min="4" max="4" width="14" style="2" bestFit="1" customWidth="1"/>
    <col min="5" max="5" width="8.33203125" style="2" customWidth="1"/>
    <col min="6" max="6" width="10.58203125" style="2" customWidth="1"/>
    <col min="7" max="7" width="18.5" style="2" customWidth="1"/>
    <col min="8" max="10" width="11.33203125" style="2" customWidth="1"/>
    <col min="11" max="11" width="19.58203125" style="2" bestFit="1" customWidth="1"/>
    <col min="12" max="12" width="1.33203125" style="2" customWidth="1"/>
    <col min="13" max="13" width="13.5" style="2" bestFit="1" customWidth="1"/>
    <col min="14" max="14" width="11.33203125" style="2" bestFit="1" customWidth="1"/>
    <col min="15" max="16" width="12.08203125" style="2" bestFit="1" customWidth="1"/>
    <col min="17" max="26" width="11.5" style="2" bestFit="1" customWidth="1"/>
    <col min="27" max="16384" width="10.5" style="2"/>
  </cols>
  <sheetData>
    <row r="1" spans="1:26" s="11" customFormat="1" ht="20.149999999999999" customHeight="1" x14ac:dyDescent="0.35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</row>
    <row r="2" spans="1:26" s="11" customFormat="1" ht="20.149999999999999" customHeight="1" x14ac:dyDescent="0.35">
      <c r="A2" s="33"/>
      <c r="B2" s="106" t="s">
        <v>304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</row>
    <row r="3" spans="1:26" s="11" customFormat="1" ht="20.149999999999999" customHeight="1" x14ac:dyDescent="0.35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</row>
    <row r="4" spans="1:26" ht="20.149999999999999" customHeight="1" x14ac:dyDescent="0.35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 spans="1:26" ht="20.149999999999999" customHeight="1" x14ac:dyDescent="0.35">
      <c r="A5" s="37"/>
      <c r="B5" s="458" t="s">
        <v>285</v>
      </c>
      <c r="C5" s="465" t="s">
        <v>1</v>
      </c>
      <c r="D5" s="465" t="s">
        <v>23</v>
      </c>
      <c r="E5" s="465" t="s">
        <v>28</v>
      </c>
      <c r="F5" s="465" t="s">
        <v>264</v>
      </c>
      <c r="G5" s="454" t="s">
        <v>430</v>
      </c>
      <c r="H5" s="454" t="s">
        <v>355</v>
      </c>
      <c r="I5" s="456" t="s">
        <v>335</v>
      </c>
      <c r="J5" s="456" t="s">
        <v>356</v>
      </c>
      <c r="K5" s="452" t="s">
        <v>265</v>
      </c>
      <c r="M5" s="390" t="s">
        <v>84</v>
      </c>
      <c r="N5" s="390" t="s">
        <v>84</v>
      </c>
      <c r="O5" s="391" t="s">
        <v>66</v>
      </c>
      <c r="P5" s="390" t="s">
        <v>67</v>
      </c>
      <c r="Q5" s="390" t="s">
        <v>68</v>
      </c>
      <c r="R5" s="390" t="s">
        <v>69</v>
      </c>
      <c r="S5" s="390" t="s">
        <v>70</v>
      </c>
      <c r="T5" s="390" t="s">
        <v>71</v>
      </c>
      <c r="U5" s="390" t="s">
        <v>72</v>
      </c>
      <c r="V5" s="390" t="s">
        <v>73</v>
      </c>
      <c r="W5" s="390" t="s">
        <v>74</v>
      </c>
      <c r="X5" s="390" t="s">
        <v>75</v>
      </c>
      <c r="Y5" s="390" t="s">
        <v>76</v>
      </c>
      <c r="Z5" s="390" t="s">
        <v>77</v>
      </c>
    </row>
    <row r="6" spans="1:26" ht="20.149999999999999" customHeight="1" x14ac:dyDescent="0.35">
      <c r="A6" s="37"/>
      <c r="B6" s="458"/>
      <c r="C6" s="465"/>
      <c r="D6" s="465"/>
      <c r="E6" s="465"/>
      <c r="F6" s="465"/>
      <c r="G6" s="454"/>
      <c r="H6" s="454"/>
      <c r="I6" s="457"/>
      <c r="J6" s="457"/>
      <c r="K6" s="452"/>
      <c r="M6" s="392"/>
      <c r="N6" s="392"/>
      <c r="O6" s="392" t="s">
        <v>436</v>
      </c>
      <c r="P6" s="392" t="s">
        <v>437</v>
      </c>
      <c r="Q6" s="392" t="s">
        <v>438</v>
      </c>
      <c r="R6" s="392" t="s">
        <v>439</v>
      </c>
      <c r="S6" s="392" t="s">
        <v>392</v>
      </c>
      <c r="T6" s="392" t="s">
        <v>393</v>
      </c>
      <c r="U6" s="392" t="s">
        <v>394</v>
      </c>
      <c r="V6" s="392" t="s">
        <v>395</v>
      </c>
      <c r="W6" s="392" t="s">
        <v>396</v>
      </c>
      <c r="X6" s="392" t="s">
        <v>397</v>
      </c>
      <c r="Y6" s="392" t="s">
        <v>398</v>
      </c>
      <c r="Z6" s="392" t="s">
        <v>399</v>
      </c>
    </row>
    <row r="7" spans="1:26" ht="20.149999999999999" customHeight="1" x14ac:dyDescent="0.35">
      <c r="A7" s="37"/>
      <c r="B7" s="458"/>
      <c r="C7" s="465"/>
      <c r="D7" s="465"/>
      <c r="E7" s="465"/>
      <c r="F7" s="465"/>
      <c r="G7" s="361" t="s">
        <v>259</v>
      </c>
      <c r="H7" s="361" t="s">
        <v>259</v>
      </c>
      <c r="I7" s="362" t="s">
        <v>260</v>
      </c>
      <c r="J7" s="363" t="s">
        <v>260</v>
      </c>
      <c r="K7" s="364" t="s">
        <v>260</v>
      </c>
      <c r="M7" s="393"/>
      <c r="N7" s="393"/>
      <c r="O7" s="393">
        <v>31</v>
      </c>
      <c r="P7" s="393">
        <v>29</v>
      </c>
      <c r="Q7" s="393">
        <v>31</v>
      </c>
      <c r="R7" s="393">
        <v>30</v>
      </c>
      <c r="S7" s="393">
        <v>30</v>
      </c>
      <c r="T7" s="393">
        <v>31</v>
      </c>
      <c r="U7" s="393">
        <v>31</v>
      </c>
      <c r="V7" s="393">
        <v>31</v>
      </c>
      <c r="W7" s="393">
        <v>30</v>
      </c>
      <c r="X7" s="393">
        <v>31</v>
      </c>
      <c r="Y7" s="393">
        <v>30</v>
      </c>
      <c r="Z7" s="393">
        <v>31</v>
      </c>
    </row>
    <row r="8" spans="1:26" ht="20.149999999999999" customHeight="1" x14ac:dyDescent="0.35">
      <c r="A8" s="37"/>
      <c r="B8" s="114" t="s">
        <v>128</v>
      </c>
      <c r="C8" s="404" t="s">
        <v>493</v>
      </c>
      <c r="D8" s="107"/>
      <c r="E8" s="107"/>
      <c r="F8" s="39">
        <v>1</v>
      </c>
      <c r="G8" s="42">
        <v>862.55</v>
      </c>
      <c r="H8" s="42">
        <f>F8*G8</f>
        <v>862.55</v>
      </c>
      <c r="I8" s="42">
        <f t="shared" ref="I8:I17" si="0">G8*$C$20</f>
        <v>15586.278499999999</v>
      </c>
      <c r="J8" s="42">
        <f>F8*I8</f>
        <v>15586.278499999999</v>
      </c>
      <c r="K8" s="42">
        <f>J8*1.16</f>
        <v>18080.083059999997</v>
      </c>
      <c r="M8" s="112">
        <f>J8</f>
        <v>15586.278499999999</v>
      </c>
      <c r="N8" s="112">
        <v>0</v>
      </c>
      <c r="O8" s="112">
        <v>0</v>
      </c>
      <c r="P8" s="112">
        <v>0</v>
      </c>
      <c r="Q8" s="112">
        <v>0</v>
      </c>
      <c r="R8" s="112">
        <v>0</v>
      </c>
      <c r="S8" s="112">
        <v>0</v>
      </c>
      <c r="T8" s="112">
        <v>0</v>
      </c>
      <c r="U8" s="112">
        <v>0</v>
      </c>
      <c r="V8" s="112">
        <v>0</v>
      </c>
      <c r="W8" s="112">
        <v>0</v>
      </c>
      <c r="X8" s="112">
        <v>0</v>
      </c>
      <c r="Y8" s="112">
        <v>0</v>
      </c>
      <c r="Z8" s="112">
        <v>0</v>
      </c>
    </row>
    <row r="9" spans="1:26" ht="20.149999999999999" customHeight="1" x14ac:dyDescent="0.35">
      <c r="A9" s="37"/>
      <c r="B9" s="114" t="s">
        <v>128</v>
      </c>
      <c r="C9" s="404" t="s">
        <v>465</v>
      </c>
      <c r="D9" s="107"/>
      <c r="E9" s="107"/>
      <c r="F9" s="39">
        <v>1</v>
      </c>
      <c r="G9" s="42">
        <v>862.55</v>
      </c>
      <c r="H9" s="42">
        <f t="shared" ref="H9:H17" si="1">F9*G9</f>
        <v>862.55</v>
      </c>
      <c r="I9" s="42">
        <f t="shared" si="0"/>
        <v>15586.278499999999</v>
      </c>
      <c r="J9" s="42">
        <f t="shared" ref="J9:J17" si="2">F9*I9</f>
        <v>15586.278499999999</v>
      </c>
      <c r="K9" s="42">
        <f t="shared" ref="K9:K17" si="3">J9*1.16</f>
        <v>18080.083059999997</v>
      </c>
      <c r="M9" s="112">
        <f t="shared" ref="M9:M16" si="4">J9</f>
        <v>15586.278499999999</v>
      </c>
      <c r="N9" s="112">
        <v>0</v>
      </c>
      <c r="O9" s="112">
        <v>0</v>
      </c>
      <c r="P9" s="112">
        <v>0</v>
      </c>
      <c r="Q9" s="112">
        <v>0</v>
      </c>
      <c r="R9" s="112">
        <v>0</v>
      </c>
      <c r="S9" s="112">
        <v>0</v>
      </c>
      <c r="T9" s="112">
        <v>0</v>
      </c>
      <c r="U9" s="112">
        <v>0</v>
      </c>
      <c r="V9" s="112">
        <v>0</v>
      </c>
      <c r="W9" s="112">
        <v>0</v>
      </c>
      <c r="X9" s="112">
        <v>0</v>
      </c>
      <c r="Y9" s="112">
        <v>0</v>
      </c>
      <c r="Z9" s="112">
        <v>0</v>
      </c>
    </row>
    <row r="10" spans="1:26" ht="20.149999999999999" customHeight="1" x14ac:dyDescent="0.35">
      <c r="A10" s="37"/>
      <c r="B10" s="114" t="s">
        <v>128</v>
      </c>
      <c r="C10" s="404" t="s">
        <v>466</v>
      </c>
      <c r="D10" s="107"/>
      <c r="E10" s="107"/>
      <c r="F10" s="39">
        <v>1</v>
      </c>
      <c r="G10" s="42">
        <v>862.55</v>
      </c>
      <c r="H10" s="42">
        <f t="shared" si="1"/>
        <v>862.55</v>
      </c>
      <c r="I10" s="42">
        <f t="shared" si="0"/>
        <v>15586.278499999999</v>
      </c>
      <c r="J10" s="42">
        <f t="shared" si="2"/>
        <v>15586.278499999999</v>
      </c>
      <c r="K10" s="42">
        <f t="shared" si="3"/>
        <v>18080.083059999997</v>
      </c>
      <c r="M10" s="112">
        <f t="shared" si="4"/>
        <v>15586.278499999999</v>
      </c>
      <c r="N10" s="112">
        <v>0</v>
      </c>
      <c r="O10" s="112">
        <v>0</v>
      </c>
      <c r="P10" s="112">
        <v>0</v>
      </c>
      <c r="Q10" s="112">
        <v>0</v>
      </c>
      <c r="R10" s="112">
        <v>0</v>
      </c>
      <c r="S10" s="112">
        <v>0</v>
      </c>
      <c r="T10" s="112">
        <v>0</v>
      </c>
      <c r="U10" s="112">
        <v>0</v>
      </c>
      <c r="V10" s="112">
        <v>0</v>
      </c>
      <c r="W10" s="112">
        <v>0</v>
      </c>
      <c r="X10" s="112">
        <v>0</v>
      </c>
      <c r="Y10" s="112">
        <v>0</v>
      </c>
      <c r="Z10" s="112">
        <v>0</v>
      </c>
    </row>
    <row r="11" spans="1:26" ht="20.149999999999999" customHeight="1" x14ac:dyDescent="0.35">
      <c r="A11" s="37"/>
      <c r="B11" s="114" t="s">
        <v>128</v>
      </c>
      <c r="C11" s="404" t="s">
        <v>467</v>
      </c>
      <c r="D11" s="107"/>
      <c r="E11" s="107"/>
      <c r="F11" s="39">
        <v>1</v>
      </c>
      <c r="G11" s="42">
        <v>862.55</v>
      </c>
      <c r="H11" s="42">
        <f t="shared" si="1"/>
        <v>862.55</v>
      </c>
      <c r="I11" s="42">
        <f t="shared" si="0"/>
        <v>15586.278499999999</v>
      </c>
      <c r="J11" s="42">
        <f t="shared" si="2"/>
        <v>15586.278499999999</v>
      </c>
      <c r="K11" s="42">
        <f t="shared" si="3"/>
        <v>18080.083059999997</v>
      </c>
      <c r="M11" s="112">
        <f t="shared" si="4"/>
        <v>15586.278499999999</v>
      </c>
      <c r="N11" s="112">
        <v>0</v>
      </c>
      <c r="O11" s="112">
        <v>0</v>
      </c>
      <c r="P11" s="112">
        <v>0</v>
      </c>
      <c r="Q11" s="112">
        <v>0</v>
      </c>
      <c r="R11" s="112">
        <v>0</v>
      </c>
      <c r="S11" s="112">
        <v>0</v>
      </c>
      <c r="T11" s="112">
        <v>0</v>
      </c>
      <c r="U11" s="112">
        <v>0</v>
      </c>
      <c r="V11" s="112">
        <v>0</v>
      </c>
      <c r="W11" s="112">
        <v>0</v>
      </c>
      <c r="X11" s="112">
        <v>0</v>
      </c>
      <c r="Y11" s="112">
        <v>0</v>
      </c>
      <c r="Z11" s="112">
        <v>0</v>
      </c>
    </row>
    <row r="12" spans="1:26" ht="20.149999999999999" customHeight="1" x14ac:dyDescent="0.35">
      <c r="A12" s="37"/>
      <c r="B12" s="114" t="s">
        <v>128</v>
      </c>
      <c r="C12" s="404" t="s">
        <v>494</v>
      </c>
      <c r="D12" s="107"/>
      <c r="E12" s="107"/>
      <c r="F12" s="39">
        <v>1</v>
      </c>
      <c r="G12" s="42">
        <v>862.55</v>
      </c>
      <c r="H12" s="42">
        <f t="shared" si="1"/>
        <v>862.55</v>
      </c>
      <c r="I12" s="42">
        <f t="shared" si="0"/>
        <v>15586.278499999999</v>
      </c>
      <c r="J12" s="42">
        <f t="shared" si="2"/>
        <v>15586.278499999999</v>
      </c>
      <c r="K12" s="42">
        <f t="shared" si="3"/>
        <v>18080.083059999997</v>
      </c>
      <c r="M12" s="112">
        <f t="shared" si="4"/>
        <v>15586.278499999999</v>
      </c>
      <c r="N12" s="112">
        <v>0</v>
      </c>
      <c r="O12" s="112">
        <v>0</v>
      </c>
      <c r="P12" s="112">
        <v>0</v>
      </c>
      <c r="Q12" s="112">
        <v>0</v>
      </c>
      <c r="R12" s="112">
        <v>0</v>
      </c>
      <c r="S12" s="112">
        <v>0</v>
      </c>
      <c r="T12" s="112">
        <v>0</v>
      </c>
      <c r="U12" s="112">
        <v>0</v>
      </c>
      <c r="V12" s="112">
        <v>0</v>
      </c>
      <c r="W12" s="112">
        <v>0</v>
      </c>
      <c r="X12" s="112">
        <v>0</v>
      </c>
      <c r="Y12" s="112">
        <v>0</v>
      </c>
      <c r="Z12" s="112">
        <v>0</v>
      </c>
    </row>
    <row r="13" spans="1:26" ht="20.149999999999999" customHeight="1" x14ac:dyDescent="0.35">
      <c r="A13" s="37"/>
      <c r="B13" s="114" t="s">
        <v>128</v>
      </c>
      <c r="C13" s="404" t="s">
        <v>495</v>
      </c>
      <c r="D13" s="107"/>
      <c r="E13" s="107"/>
      <c r="F13" s="39">
        <v>1</v>
      </c>
      <c r="G13" s="42">
        <v>862.55</v>
      </c>
      <c r="H13" s="42">
        <f t="shared" si="1"/>
        <v>862.55</v>
      </c>
      <c r="I13" s="42">
        <f t="shared" si="0"/>
        <v>15586.278499999999</v>
      </c>
      <c r="J13" s="42">
        <f t="shared" si="2"/>
        <v>15586.278499999999</v>
      </c>
      <c r="K13" s="42">
        <f t="shared" si="3"/>
        <v>18080.083059999997</v>
      </c>
      <c r="M13" s="112">
        <f t="shared" si="4"/>
        <v>15586.278499999999</v>
      </c>
      <c r="N13" s="112">
        <v>0</v>
      </c>
      <c r="O13" s="112">
        <v>0</v>
      </c>
      <c r="P13" s="112">
        <v>0</v>
      </c>
      <c r="Q13" s="112">
        <v>0</v>
      </c>
      <c r="R13" s="112">
        <v>0</v>
      </c>
      <c r="S13" s="112">
        <v>0</v>
      </c>
      <c r="T13" s="112">
        <v>0</v>
      </c>
      <c r="U13" s="112">
        <v>0</v>
      </c>
      <c r="V13" s="112">
        <v>0</v>
      </c>
      <c r="W13" s="112">
        <v>0</v>
      </c>
      <c r="X13" s="112">
        <v>0</v>
      </c>
      <c r="Y13" s="112">
        <v>0</v>
      </c>
      <c r="Z13" s="112">
        <v>0</v>
      </c>
    </row>
    <row r="14" spans="1:26" ht="20.149999999999999" customHeight="1" x14ac:dyDescent="0.35">
      <c r="A14" s="37"/>
      <c r="B14" s="114" t="s">
        <v>128</v>
      </c>
      <c r="C14" s="404" t="s">
        <v>496</v>
      </c>
      <c r="D14" s="107"/>
      <c r="E14" s="107"/>
      <c r="F14" s="39">
        <v>1</v>
      </c>
      <c r="G14" s="42">
        <v>862.55</v>
      </c>
      <c r="H14" s="42">
        <f t="shared" si="1"/>
        <v>862.55</v>
      </c>
      <c r="I14" s="42">
        <f t="shared" si="0"/>
        <v>15586.278499999999</v>
      </c>
      <c r="J14" s="42">
        <f t="shared" si="2"/>
        <v>15586.278499999999</v>
      </c>
      <c r="K14" s="42">
        <f t="shared" si="3"/>
        <v>18080.083059999997</v>
      </c>
      <c r="M14" s="112">
        <f t="shared" si="4"/>
        <v>15586.278499999999</v>
      </c>
      <c r="N14" s="112">
        <v>0</v>
      </c>
      <c r="O14" s="112">
        <v>0</v>
      </c>
      <c r="P14" s="112">
        <v>0</v>
      </c>
      <c r="Q14" s="112">
        <v>0</v>
      </c>
      <c r="R14" s="112">
        <v>0</v>
      </c>
      <c r="S14" s="112">
        <v>0</v>
      </c>
      <c r="T14" s="112">
        <v>0</v>
      </c>
      <c r="U14" s="112">
        <v>0</v>
      </c>
      <c r="V14" s="112">
        <v>0</v>
      </c>
      <c r="W14" s="112">
        <v>0</v>
      </c>
      <c r="X14" s="112">
        <v>0</v>
      </c>
      <c r="Y14" s="112">
        <v>0</v>
      </c>
      <c r="Z14" s="112">
        <v>0</v>
      </c>
    </row>
    <row r="15" spans="1:26" ht="20.149999999999999" customHeight="1" x14ac:dyDescent="0.35">
      <c r="A15" s="37"/>
      <c r="B15" s="114" t="s">
        <v>128</v>
      </c>
      <c r="C15" s="404" t="s">
        <v>497</v>
      </c>
      <c r="D15" s="107"/>
      <c r="E15" s="107"/>
      <c r="F15" s="39">
        <v>1</v>
      </c>
      <c r="G15" s="42">
        <v>862.55</v>
      </c>
      <c r="H15" s="42">
        <f t="shared" si="1"/>
        <v>862.55</v>
      </c>
      <c r="I15" s="42">
        <f t="shared" si="0"/>
        <v>15586.278499999999</v>
      </c>
      <c r="J15" s="42">
        <f t="shared" si="2"/>
        <v>15586.278499999999</v>
      </c>
      <c r="K15" s="42">
        <f t="shared" si="3"/>
        <v>18080.083059999997</v>
      </c>
      <c r="M15" s="112">
        <f t="shared" si="4"/>
        <v>15586.278499999999</v>
      </c>
      <c r="N15" s="112">
        <v>0</v>
      </c>
      <c r="O15" s="112">
        <v>0</v>
      </c>
      <c r="P15" s="112">
        <v>0</v>
      </c>
      <c r="Q15" s="112">
        <v>0</v>
      </c>
      <c r="R15" s="112">
        <v>0</v>
      </c>
      <c r="S15" s="112">
        <v>0</v>
      </c>
      <c r="T15" s="112">
        <v>0</v>
      </c>
      <c r="U15" s="112">
        <v>0</v>
      </c>
      <c r="V15" s="112">
        <v>0</v>
      </c>
      <c r="W15" s="112">
        <v>0</v>
      </c>
      <c r="X15" s="112">
        <v>0</v>
      </c>
      <c r="Y15" s="112">
        <v>0</v>
      </c>
      <c r="Z15" s="112">
        <v>0</v>
      </c>
    </row>
    <row r="16" spans="1:26" ht="20.149999999999999" customHeight="1" x14ac:dyDescent="0.35">
      <c r="A16" s="37"/>
      <c r="B16" s="114" t="s">
        <v>128</v>
      </c>
      <c r="C16" s="404" t="s">
        <v>498</v>
      </c>
      <c r="D16" s="107"/>
      <c r="E16" s="107"/>
      <c r="F16" s="39">
        <v>1</v>
      </c>
      <c r="G16" s="42">
        <v>862.55</v>
      </c>
      <c r="H16" s="42">
        <f t="shared" si="1"/>
        <v>862.55</v>
      </c>
      <c r="I16" s="42">
        <f t="shared" si="0"/>
        <v>15586.278499999999</v>
      </c>
      <c r="J16" s="42">
        <f t="shared" si="2"/>
        <v>15586.278499999999</v>
      </c>
      <c r="K16" s="42">
        <f t="shared" si="3"/>
        <v>18080.083059999997</v>
      </c>
      <c r="M16" s="112">
        <f t="shared" si="4"/>
        <v>15586.278499999999</v>
      </c>
      <c r="N16" s="112">
        <v>0</v>
      </c>
      <c r="O16" s="112">
        <v>0</v>
      </c>
      <c r="P16" s="112">
        <v>0</v>
      </c>
      <c r="Q16" s="112">
        <v>0</v>
      </c>
      <c r="R16" s="112">
        <v>0</v>
      </c>
      <c r="S16" s="112">
        <v>0</v>
      </c>
      <c r="T16" s="112">
        <v>0</v>
      </c>
      <c r="U16" s="112">
        <v>0</v>
      </c>
      <c r="V16" s="112">
        <v>0</v>
      </c>
      <c r="W16" s="112">
        <v>0</v>
      </c>
      <c r="X16" s="112">
        <v>0</v>
      </c>
      <c r="Y16" s="112">
        <v>0</v>
      </c>
      <c r="Z16" s="112">
        <v>0</v>
      </c>
    </row>
    <row r="17" spans="1:26" ht="20.149999999999999" customHeight="1" x14ac:dyDescent="0.35">
      <c r="A17" s="37"/>
      <c r="B17" s="115" t="s">
        <v>128</v>
      </c>
      <c r="C17" s="107" t="s">
        <v>499</v>
      </c>
      <c r="D17" s="107"/>
      <c r="E17" s="107"/>
      <c r="F17" s="39">
        <v>6</v>
      </c>
      <c r="G17" s="42">
        <v>862.55</v>
      </c>
      <c r="H17" s="42">
        <f t="shared" si="1"/>
        <v>5175.2999999999993</v>
      </c>
      <c r="I17" s="42">
        <f t="shared" si="0"/>
        <v>15586.278499999999</v>
      </c>
      <c r="J17" s="42">
        <f t="shared" si="2"/>
        <v>93517.670999999988</v>
      </c>
      <c r="K17" s="42">
        <f t="shared" si="3"/>
        <v>108480.49835999998</v>
      </c>
      <c r="M17" s="112">
        <f>J17</f>
        <v>93517.670999999988</v>
      </c>
      <c r="N17" s="112">
        <v>0</v>
      </c>
      <c r="O17" s="112">
        <v>0</v>
      </c>
      <c r="P17" s="112">
        <f t="shared" ref="P17:Z17" si="5">O17</f>
        <v>0</v>
      </c>
      <c r="Q17" s="112">
        <f t="shared" si="5"/>
        <v>0</v>
      </c>
      <c r="R17" s="112">
        <f t="shared" si="5"/>
        <v>0</v>
      </c>
      <c r="S17" s="112">
        <f t="shared" si="5"/>
        <v>0</v>
      </c>
      <c r="T17" s="112">
        <f t="shared" si="5"/>
        <v>0</v>
      </c>
      <c r="U17" s="112">
        <f t="shared" si="5"/>
        <v>0</v>
      </c>
      <c r="V17" s="112">
        <f t="shared" si="5"/>
        <v>0</v>
      </c>
      <c r="W17" s="112">
        <f t="shared" si="5"/>
        <v>0</v>
      </c>
      <c r="X17" s="112">
        <f t="shared" si="5"/>
        <v>0</v>
      </c>
      <c r="Y17" s="112">
        <v>0</v>
      </c>
      <c r="Z17" s="112">
        <f t="shared" si="5"/>
        <v>0</v>
      </c>
    </row>
    <row r="18" spans="1:26" ht="20.149999999999999" customHeight="1" x14ac:dyDescent="0.35">
      <c r="A18" s="37"/>
      <c r="B18" s="116"/>
      <c r="C18" s="107"/>
      <c r="D18" s="117"/>
      <c r="E18" s="118"/>
      <c r="F18" s="39"/>
      <c r="G18" s="119"/>
      <c r="H18" s="119"/>
      <c r="I18" s="119"/>
      <c r="J18" s="119"/>
      <c r="K18" s="120"/>
      <c r="L18" s="120"/>
      <c r="M18" s="120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20.149999999999999" customHeight="1" x14ac:dyDescent="0.35">
      <c r="B19" s="49" t="str">
        <f>'F01 NÓMINA'!B20</f>
        <v>Premisas</v>
      </c>
      <c r="C19" s="49"/>
      <c r="D19" s="117"/>
      <c r="E19" s="118"/>
      <c r="F19" s="118"/>
      <c r="K19" s="102" t="s">
        <v>262</v>
      </c>
      <c r="M19" s="51">
        <f t="shared" ref="M19:Z19" si="6">SUM(M8:M17)</f>
        <v>233794.17749999999</v>
      </c>
      <c r="N19" s="51">
        <f t="shared" si="6"/>
        <v>0</v>
      </c>
      <c r="O19" s="51">
        <f>SUM(O8:O17)</f>
        <v>0</v>
      </c>
      <c r="P19" s="51">
        <f t="shared" si="6"/>
        <v>0</v>
      </c>
      <c r="Q19" s="51">
        <f t="shared" si="6"/>
        <v>0</v>
      </c>
      <c r="R19" s="51">
        <f t="shared" si="6"/>
        <v>0</v>
      </c>
      <c r="S19" s="51">
        <f t="shared" si="6"/>
        <v>0</v>
      </c>
      <c r="T19" s="51">
        <f t="shared" si="6"/>
        <v>0</v>
      </c>
      <c r="U19" s="51">
        <f t="shared" si="6"/>
        <v>0</v>
      </c>
      <c r="V19" s="51">
        <f t="shared" si="6"/>
        <v>0</v>
      </c>
      <c r="W19" s="51">
        <f t="shared" si="6"/>
        <v>0</v>
      </c>
      <c r="X19" s="51">
        <f t="shared" si="6"/>
        <v>0</v>
      </c>
      <c r="Y19" s="51">
        <f t="shared" si="6"/>
        <v>0</v>
      </c>
      <c r="Z19" s="51">
        <f t="shared" si="6"/>
        <v>0</v>
      </c>
    </row>
    <row r="20" spans="1:26" ht="20.149999999999999" customHeight="1" x14ac:dyDescent="0.35">
      <c r="B20" s="20" t="str">
        <f>'F01 NÓMINA'!B21</f>
        <v>Paridad</v>
      </c>
      <c r="C20" s="52">
        <f>'F01 NÓMINA'!C21</f>
        <v>18.07</v>
      </c>
      <c r="D20" s="117"/>
      <c r="E20" s="118"/>
      <c r="F20" s="118"/>
      <c r="K20" s="103" t="s">
        <v>263</v>
      </c>
      <c r="M20" s="43">
        <f>M19/$C$20</f>
        <v>12938.25</v>
      </c>
      <c r="N20" s="43">
        <f t="shared" ref="N20:X20" si="7">N19/20</f>
        <v>0</v>
      </c>
      <c r="O20" s="43">
        <f t="shared" si="7"/>
        <v>0</v>
      </c>
      <c r="P20" s="43">
        <f t="shared" si="7"/>
        <v>0</v>
      </c>
      <c r="Q20" s="43">
        <f t="shared" si="7"/>
        <v>0</v>
      </c>
      <c r="R20" s="43">
        <f t="shared" si="7"/>
        <v>0</v>
      </c>
      <c r="S20" s="43">
        <f t="shared" si="7"/>
        <v>0</v>
      </c>
      <c r="T20" s="43">
        <f t="shared" si="7"/>
        <v>0</v>
      </c>
      <c r="U20" s="43">
        <f t="shared" si="7"/>
        <v>0</v>
      </c>
      <c r="V20" s="43">
        <f t="shared" si="7"/>
        <v>0</v>
      </c>
      <c r="W20" s="43">
        <f t="shared" si="7"/>
        <v>0</v>
      </c>
      <c r="X20" s="43">
        <f t="shared" si="7"/>
        <v>0</v>
      </c>
      <c r="Y20" s="43">
        <f>Y19/20</f>
        <v>0</v>
      </c>
      <c r="Z20" s="43">
        <f>Z19/20</f>
        <v>0</v>
      </c>
    </row>
    <row r="21" spans="1:26" ht="20.149999999999999" customHeight="1" x14ac:dyDescent="0.35">
      <c r="B21" s="22" t="str">
        <f>'F01 NÓMINA'!B22</f>
        <v xml:space="preserve">Mes </v>
      </c>
      <c r="C21" s="54">
        <f>'F01 NÓMINA'!C22</f>
        <v>30.4</v>
      </c>
      <c r="D21" s="117"/>
      <c r="E21" s="118"/>
      <c r="F21" s="118"/>
      <c r="K21" s="102" t="s">
        <v>284</v>
      </c>
      <c r="M21" s="51">
        <f>SUM(M19:Z19)</f>
        <v>233794.17749999999</v>
      </c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20.149999999999999" customHeight="1" x14ac:dyDescent="0.35">
      <c r="B22" s="24" t="str">
        <f>'F01 NÓMINA'!B23</f>
        <v>Periodo Pago (días)</v>
      </c>
      <c r="C22" s="55">
        <f>'F01 NÓMINA'!C23</f>
        <v>30</v>
      </c>
      <c r="D22" s="117"/>
      <c r="E22" s="118"/>
      <c r="F22" s="118"/>
      <c r="K22" s="103" t="s">
        <v>261</v>
      </c>
      <c r="M22" s="57">
        <f>M21/$C$20</f>
        <v>12938.25</v>
      </c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20.149999999999999" customHeight="1" x14ac:dyDescent="0.35">
      <c r="B23" s="26" t="str">
        <f>'F01 NÓMINA'!B24</f>
        <v>Gas lp</v>
      </c>
      <c r="C23" s="58">
        <f>'F01 NÓMINA'!C24</f>
        <v>0</v>
      </c>
      <c r="D23" s="117"/>
      <c r="E23" s="118"/>
      <c r="F23" s="118"/>
      <c r="G23" s="119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20.149999999999999" customHeight="1" x14ac:dyDescent="0.35">
      <c r="B24" s="28" t="str">
        <f>'F01 NÓMINA'!B25</f>
        <v>Gasolina Magna</v>
      </c>
      <c r="C24" s="59">
        <f>'F01 NÓMINA'!C25</f>
        <v>22</v>
      </c>
      <c r="D24" s="117"/>
      <c r="E24" s="118"/>
      <c r="F24" s="118"/>
      <c r="G24" s="119"/>
      <c r="H24" s="119"/>
      <c r="I24" s="119"/>
      <c r="J24" s="119"/>
      <c r="K24" s="120"/>
      <c r="Y24" s="18"/>
      <c r="Z24" s="18"/>
    </row>
    <row r="25" spans="1:26" ht="20.149999999999999" customHeight="1" x14ac:dyDescent="0.35">
      <c r="B25" s="30" t="str">
        <f>'F01 NÓMINA'!B26</f>
        <v>Diesel</v>
      </c>
      <c r="C25" s="60">
        <f>'F01 NÓMINA'!C26</f>
        <v>23</v>
      </c>
      <c r="D25" s="117"/>
      <c r="E25" s="118"/>
      <c r="F25" s="118"/>
      <c r="G25" s="119"/>
      <c r="H25" s="119"/>
      <c r="I25" s="119"/>
      <c r="J25" s="119"/>
      <c r="K25" s="120"/>
      <c r="Y25" s="18"/>
      <c r="Z25" s="18"/>
    </row>
    <row r="26" spans="1:26" ht="20.149999999999999" customHeight="1" x14ac:dyDescent="0.35">
      <c r="B26" s="116"/>
      <c r="C26" s="117"/>
      <c r="D26" s="117"/>
      <c r="E26" s="118"/>
      <c r="F26" s="118"/>
      <c r="G26" s="119"/>
      <c r="H26" s="119"/>
      <c r="I26" s="119"/>
      <c r="J26" s="119"/>
      <c r="K26" s="120"/>
      <c r="Y26" s="18"/>
      <c r="Z26" s="18"/>
    </row>
    <row r="27" spans="1:26" ht="20.149999999999999" customHeight="1" x14ac:dyDescent="0.35">
      <c r="B27" s="116">
        <v>500</v>
      </c>
      <c r="C27" s="368">
        <f t="shared" ref="C27:C32" si="8">B27/$C$20</f>
        <v>27.670171555063639</v>
      </c>
      <c r="D27" s="117"/>
      <c r="E27" s="118"/>
      <c r="F27" s="118"/>
      <c r="G27" s="119"/>
      <c r="H27" s="119"/>
      <c r="I27" s="119"/>
      <c r="J27" s="119"/>
      <c r="K27" s="120"/>
      <c r="Y27" s="18"/>
      <c r="Z27" s="18"/>
    </row>
    <row r="28" spans="1:26" ht="20.149999999999999" customHeight="1" x14ac:dyDescent="0.35">
      <c r="B28" s="116">
        <v>600</v>
      </c>
      <c r="C28" s="368">
        <f t="shared" si="8"/>
        <v>33.204205866076371</v>
      </c>
      <c r="D28" s="117"/>
      <c r="E28" s="118"/>
      <c r="F28" s="118"/>
      <c r="G28" s="119"/>
      <c r="H28" s="119"/>
      <c r="I28" s="119"/>
      <c r="J28" s="119"/>
      <c r="K28" s="120"/>
      <c r="Y28" s="18"/>
      <c r="Z28" s="18"/>
    </row>
    <row r="29" spans="1:26" ht="20.149999999999999" customHeight="1" x14ac:dyDescent="0.35">
      <c r="B29" s="116">
        <v>700</v>
      </c>
      <c r="C29" s="368">
        <f t="shared" si="8"/>
        <v>38.738240177089097</v>
      </c>
      <c r="D29" s="117"/>
      <c r="E29" s="118"/>
      <c r="F29" s="118"/>
      <c r="G29" s="119"/>
      <c r="H29" s="119"/>
      <c r="I29" s="119"/>
      <c r="J29" s="119"/>
      <c r="K29" s="120"/>
      <c r="Y29" s="18"/>
      <c r="Z29" s="18"/>
    </row>
    <row r="30" spans="1:26" ht="20.149999999999999" customHeight="1" x14ac:dyDescent="0.35">
      <c r="B30" s="116">
        <v>800</v>
      </c>
      <c r="C30" s="368">
        <f t="shared" si="8"/>
        <v>44.272274488101829</v>
      </c>
      <c r="D30" s="117"/>
      <c r="E30" s="118"/>
      <c r="F30" s="118"/>
      <c r="G30" s="119"/>
      <c r="H30" s="119"/>
      <c r="I30" s="119"/>
      <c r="J30" s="119"/>
      <c r="K30" s="120"/>
      <c r="Y30" s="18"/>
      <c r="Z30" s="18"/>
    </row>
    <row r="31" spans="1:26" ht="20.149999999999999" customHeight="1" x14ac:dyDescent="0.35">
      <c r="B31" s="116">
        <v>900</v>
      </c>
      <c r="C31" s="368">
        <f t="shared" si="8"/>
        <v>49.806308799114554</v>
      </c>
      <c r="D31" s="117"/>
      <c r="E31" s="118"/>
      <c r="F31" s="118"/>
      <c r="G31" s="119"/>
      <c r="H31" s="119"/>
      <c r="I31" s="119"/>
      <c r="J31" s="119"/>
      <c r="K31" s="120"/>
      <c r="Y31" s="18"/>
      <c r="Z31" s="18"/>
    </row>
    <row r="32" spans="1:26" ht="20.149999999999999" customHeight="1" x14ac:dyDescent="0.35">
      <c r="B32" s="14">
        <v>1000</v>
      </c>
      <c r="C32" s="368">
        <f t="shared" si="8"/>
        <v>55.340343110127279</v>
      </c>
    </row>
    <row r="33" spans="8:26" ht="20.149999999999999" customHeight="1" x14ac:dyDescent="0.35">
      <c r="H33" s="119"/>
      <c r="I33" s="119"/>
      <c r="J33" s="119"/>
      <c r="Y33" s="121"/>
      <c r="Z33" s="121"/>
    </row>
    <row r="34" spans="8:26" ht="20.149999999999999" customHeight="1" x14ac:dyDescent="0.35">
      <c r="H34" s="18"/>
      <c r="I34" s="18"/>
      <c r="J34" s="18"/>
      <c r="Y34" s="14"/>
      <c r="Z34" s="14"/>
    </row>
    <row r="35" spans="8:26" ht="20.149999999999999" customHeight="1" x14ac:dyDescent="0.35">
      <c r="M35" s="122"/>
    </row>
    <row r="36" spans="8:26" ht="20.149999999999999" customHeight="1" x14ac:dyDescent="0.35">
      <c r="M36" s="122"/>
    </row>
    <row r="37" spans="8:26" ht="20.149999999999999" customHeight="1" x14ac:dyDescent="0.35">
      <c r="M37" s="122"/>
    </row>
    <row r="38" spans="8:26" ht="20.149999999999999" customHeight="1" x14ac:dyDescent="0.35">
      <c r="M38" s="122"/>
    </row>
    <row r="39" spans="8:26" ht="20.149999999999999" customHeight="1" x14ac:dyDescent="0.35">
      <c r="M39" s="18"/>
    </row>
    <row r="40" spans="8:26" ht="20.149999999999999" customHeight="1" x14ac:dyDescent="0.35">
      <c r="M40" s="18"/>
    </row>
    <row r="41" spans="8:26" ht="20.149999999999999" customHeight="1" x14ac:dyDescent="0.35">
      <c r="M41" s="18"/>
    </row>
    <row r="42" spans="8:26" ht="20.149999999999999" customHeight="1" x14ac:dyDescent="0.35">
      <c r="M42" s="18"/>
    </row>
    <row r="43" spans="8:26" ht="20.149999999999999" customHeight="1" x14ac:dyDescent="0.35">
      <c r="M43" s="18"/>
    </row>
  </sheetData>
  <mergeCells count="10">
    <mergeCell ref="C5:C7"/>
    <mergeCell ref="B5:B7"/>
    <mergeCell ref="H5:H6"/>
    <mergeCell ref="I5:I6"/>
    <mergeCell ref="K5:K6"/>
    <mergeCell ref="G5:G6"/>
    <mergeCell ref="F5:F7"/>
    <mergeCell ref="E5:E7"/>
    <mergeCell ref="D5:D7"/>
    <mergeCell ref="J5:J6"/>
  </mergeCells>
  <phoneticPr fontId="8" type="noConversion"/>
  <printOptions horizontalCentered="1"/>
  <pageMargins left="0.25" right="0.25" top="0.75" bottom="0.75" header="0.3" footer="0.3"/>
  <pageSetup paperSize="3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CZ33"/>
  <sheetViews>
    <sheetView zoomScale="80" zoomScaleNormal="80" workbookViewId="0">
      <pane xSplit="12" ySplit="7" topLeftCell="M8" activePane="bottomRight" state="frozen"/>
      <selection pane="topRight" activeCell="L1" sqref="L1"/>
      <selection pane="bottomLeft" activeCell="A8" sqref="A8"/>
      <selection pane="bottomRight" activeCell="I11" sqref="I11"/>
    </sheetView>
  </sheetViews>
  <sheetFormatPr baseColWidth="10" defaultColWidth="10.5" defaultRowHeight="20.149999999999999" customHeight="1" x14ac:dyDescent="0.35"/>
  <cols>
    <col min="1" max="1" width="3.33203125" style="2" customWidth="1"/>
    <col min="2" max="2" width="20.5" style="2" bestFit="1" customWidth="1"/>
    <col min="3" max="3" width="9.58203125" style="2" bestFit="1" customWidth="1"/>
    <col min="4" max="4" width="21.5" style="2" bestFit="1" customWidth="1"/>
    <col min="5" max="5" width="9" style="2" bestFit="1" customWidth="1"/>
    <col min="6" max="6" width="11.5" style="2" bestFit="1" customWidth="1"/>
    <col min="7" max="7" width="9.83203125" style="2" bestFit="1" customWidth="1"/>
    <col min="8" max="8" width="16.5" style="2" bestFit="1" customWidth="1"/>
    <col min="9" max="9" width="9.83203125" style="2" bestFit="1" customWidth="1"/>
    <col min="10" max="10" width="16.83203125" style="2" bestFit="1" customWidth="1"/>
    <col min="11" max="11" width="19.58203125" style="2" customWidth="1"/>
    <col min="12" max="12" width="2.58203125" style="2" customWidth="1"/>
    <col min="13" max="13" width="12.5" style="2" bestFit="1" customWidth="1"/>
    <col min="14" max="26" width="11.5" style="2" bestFit="1" customWidth="1"/>
    <col min="27" max="16384" width="10.5" style="2"/>
  </cols>
  <sheetData>
    <row r="1" spans="1:104" ht="20.149999999999999" customHeight="1" x14ac:dyDescent="0.35">
      <c r="A1" s="32"/>
      <c r="B1" s="32"/>
      <c r="C1" s="33"/>
      <c r="D1" s="33"/>
      <c r="E1" s="33"/>
      <c r="F1" s="33"/>
      <c r="G1" s="33"/>
      <c r="H1" s="33"/>
      <c r="I1" s="33"/>
      <c r="J1" s="33"/>
      <c r="K1" s="33"/>
      <c r="L1" s="33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</row>
    <row r="2" spans="1:104" ht="20.149999999999999" customHeight="1" x14ac:dyDescent="0.35">
      <c r="A2" s="32"/>
      <c r="B2" s="106" t="s">
        <v>104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</row>
    <row r="3" spans="1:104" ht="20.149999999999999" customHeight="1" x14ac:dyDescent="0.35">
      <c r="A3" s="32"/>
      <c r="B3" s="32"/>
      <c r="C3" s="33"/>
      <c r="D3" s="33"/>
      <c r="E3" s="33"/>
      <c r="F3" s="33"/>
      <c r="G3" s="33"/>
      <c r="H3" s="33"/>
      <c r="I3" s="33"/>
      <c r="J3" s="33"/>
      <c r="K3" s="33"/>
      <c r="L3" s="33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</row>
    <row r="4" spans="1:104" ht="20.149999999999999" customHeight="1" x14ac:dyDescent="0.35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 spans="1:104" ht="20.149999999999999" customHeight="1" x14ac:dyDescent="0.35">
      <c r="A5" s="37"/>
      <c r="B5" s="465" t="s">
        <v>104</v>
      </c>
      <c r="C5" s="465" t="s">
        <v>1</v>
      </c>
      <c r="D5" s="465" t="s">
        <v>23</v>
      </c>
      <c r="E5" s="465" t="s">
        <v>28</v>
      </c>
      <c r="F5" s="465" t="s">
        <v>264</v>
      </c>
      <c r="G5" s="454" t="s">
        <v>430</v>
      </c>
      <c r="H5" s="454" t="s">
        <v>355</v>
      </c>
      <c r="I5" s="456" t="s">
        <v>335</v>
      </c>
      <c r="J5" s="456" t="s">
        <v>356</v>
      </c>
      <c r="K5" s="452" t="s">
        <v>265</v>
      </c>
      <c r="L5" s="123"/>
      <c r="M5" s="390" t="s">
        <v>84</v>
      </c>
      <c r="N5" s="390" t="s">
        <v>84</v>
      </c>
      <c r="O5" s="391" t="s">
        <v>66</v>
      </c>
      <c r="P5" s="390" t="s">
        <v>67</v>
      </c>
      <c r="Q5" s="390" t="s">
        <v>68</v>
      </c>
      <c r="R5" s="390" t="s">
        <v>69</v>
      </c>
      <c r="S5" s="390" t="s">
        <v>70</v>
      </c>
      <c r="T5" s="390" t="s">
        <v>71</v>
      </c>
      <c r="U5" s="390" t="s">
        <v>72</v>
      </c>
      <c r="V5" s="390" t="s">
        <v>73</v>
      </c>
      <c r="W5" s="390" t="s">
        <v>74</v>
      </c>
      <c r="X5" s="390" t="s">
        <v>75</v>
      </c>
      <c r="Y5" s="390" t="s">
        <v>76</v>
      </c>
      <c r="Z5" s="390" t="s">
        <v>77</v>
      </c>
    </row>
    <row r="6" spans="1:104" ht="20.149999999999999" customHeight="1" x14ac:dyDescent="0.35">
      <c r="A6" s="37"/>
      <c r="B6" s="465"/>
      <c r="C6" s="465"/>
      <c r="D6" s="465"/>
      <c r="E6" s="465"/>
      <c r="F6" s="465"/>
      <c r="G6" s="454"/>
      <c r="H6" s="454"/>
      <c r="I6" s="457"/>
      <c r="J6" s="457"/>
      <c r="K6" s="452"/>
      <c r="L6" s="123"/>
      <c r="M6" s="392"/>
      <c r="N6" s="392"/>
      <c r="O6" s="392" t="s">
        <v>436</v>
      </c>
      <c r="P6" s="392" t="s">
        <v>437</v>
      </c>
      <c r="Q6" s="392" t="s">
        <v>438</v>
      </c>
      <c r="R6" s="392" t="s">
        <v>439</v>
      </c>
      <c r="S6" s="392" t="s">
        <v>392</v>
      </c>
      <c r="T6" s="392" t="s">
        <v>393</v>
      </c>
      <c r="U6" s="392" t="s">
        <v>394</v>
      </c>
      <c r="V6" s="392" t="s">
        <v>395</v>
      </c>
      <c r="W6" s="392" t="s">
        <v>396</v>
      </c>
      <c r="X6" s="392" t="s">
        <v>397</v>
      </c>
      <c r="Y6" s="392" t="s">
        <v>398</v>
      </c>
      <c r="Z6" s="392" t="s">
        <v>399</v>
      </c>
    </row>
    <row r="7" spans="1:104" ht="20.149999999999999" customHeight="1" x14ac:dyDescent="0.35">
      <c r="A7" s="37"/>
      <c r="B7" s="465"/>
      <c r="C7" s="465"/>
      <c r="D7" s="465"/>
      <c r="E7" s="465"/>
      <c r="F7" s="465"/>
      <c r="G7" s="361" t="s">
        <v>259</v>
      </c>
      <c r="H7" s="361" t="s">
        <v>259</v>
      </c>
      <c r="I7" s="362" t="s">
        <v>260</v>
      </c>
      <c r="J7" s="363" t="s">
        <v>260</v>
      </c>
      <c r="K7" s="364" t="s">
        <v>260</v>
      </c>
      <c r="L7" s="123"/>
      <c r="M7" s="393"/>
      <c r="N7" s="393"/>
      <c r="O7" s="393">
        <v>31</v>
      </c>
      <c r="P7" s="393">
        <v>29</v>
      </c>
      <c r="Q7" s="393">
        <v>31</v>
      </c>
      <c r="R7" s="393">
        <v>30</v>
      </c>
      <c r="S7" s="393">
        <v>30</v>
      </c>
      <c r="T7" s="393">
        <v>31</v>
      </c>
      <c r="U7" s="393">
        <v>31</v>
      </c>
      <c r="V7" s="393">
        <v>31</v>
      </c>
      <c r="W7" s="393">
        <v>30</v>
      </c>
      <c r="X7" s="393">
        <v>31</v>
      </c>
      <c r="Y7" s="393">
        <v>30</v>
      </c>
      <c r="Z7" s="393">
        <v>31</v>
      </c>
    </row>
    <row r="8" spans="1:104" ht="20.149999999999999" customHeight="1" x14ac:dyDescent="0.35">
      <c r="A8" s="37"/>
      <c r="B8" s="107" t="s">
        <v>298</v>
      </c>
      <c r="C8" s="39"/>
      <c r="D8" s="107" t="s">
        <v>316</v>
      </c>
      <c r="E8" s="39"/>
      <c r="F8" s="39">
        <v>0</v>
      </c>
      <c r="G8" s="42">
        <v>50</v>
      </c>
      <c r="H8" s="42">
        <f t="shared" ref="H8:H13" si="0">F8*G8</f>
        <v>0</v>
      </c>
      <c r="I8" s="42">
        <f t="shared" ref="I8:I13" si="1">G8*$C$21</f>
        <v>903.5</v>
      </c>
      <c r="J8" s="42">
        <f t="shared" ref="J8:J13" si="2">(F8*I8)/12</f>
        <v>0</v>
      </c>
      <c r="K8" s="42">
        <f t="shared" ref="K8:K13" si="3">J8*1.16</f>
        <v>0</v>
      </c>
      <c r="M8" s="112">
        <v>0</v>
      </c>
      <c r="N8" s="112">
        <f>$J$8</f>
        <v>0</v>
      </c>
      <c r="O8" s="112">
        <f t="shared" ref="O8:Z8" si="4">$J$8</f>
        <v>0</v>
      </c>
      <c r="P8" s="112">
        <f t="shared" si="4"/>
        <v>0</v>
      </c>
      <c r="Q8" s="112">
        <f t="shared" si="4"/>
        <v>0</v>
      </c>
      <c r="R8" s="112">
        <f t="shared" si="4"/>
        <v>0</v>
      </c>
      <c r="S8" s="112">
        <f t="shared" si="4"/>
        <v>0</v>
      </c>
      <c r="T8" s="112">
        <f t="shared" si="4"/>
        <v>0</v>
      </c>
      <c r="U8" s="112">
        <f t="shared" si="4"/>
        <v>0</v>
      </c>
      <c r="V8" s="112">
        <f t="shared" si="4"/>
        <v>0</v>
      </c>
      <c r="W8" s="112">
        <f t="shared" si="4"/>
        <v>0</v>
      </c>
      <c r="X8" s="112">
        <f t="shared" si="4"/>
        <v>0</v>
      </c>
      <c r="Y8" s="112">
        <f t="shared" si="4"/>
        <v>0</v>
      </c>
      <c r="Z8" s="112">
        <f t="shared" si="4"/>
        <v>0</v>
      </c>
    </row>
    <row r="9" spans="1:104" ht="20.149999999999999" customHeight="1" x14ac:dyDescent="0.35">
      <c r="A9" s="37"/>
      <c r="B9" s="107" t="s">
        <v>298</v>
      </c>
      <c r="C9" s="39"/>
      <c r="D9" s="107" t="s">
        <v>318</v>
      </c>
      <c r="E9" s="39"/>
      <c r="F9" s="39">
        <v>0</v>
      </c>
      <c r="G9" s="42">
        <v>50</v>
      </c>
      <c r="H9" s="42">
        <f t="shared" si="0"/>
        <v>0</v>
      </c>
      <c r="I9" s="42">
        <f t="shared" si="1"/>
        <v>903.5</v>
      </c>
      <c r="J9" s="42">
        <f t="shared" si="2"/>
        <v>0</v>
      </c>
      <c r="K9" s="42">
        <f t="shared" si="3"/>
        <v>0</v>
      </c>
      <c r="M9" s="112">
        <v>0</v>
      </c>
      <c r="N9" s="112">
        <f>J9</f>
        <v>0</v>
      </c>
      <c r="O9" s="112">
        <f>J9</f>
        <v>0</v>
      </c>
      <c r="P9" s="112">
        <f t="shared" ref="P9:Z10" si="5">O9</f>
        <v>0</v>
      </c>
      <c r="Q9" s="112">
        <f t="shared" si="5"/>
        <v>0</v>
      </c>
      <c r="R9" s="112">
        <f t="shared" si="5"/>
        <v>0</v>
      </c>
      <c r="S9" s="112">
        <f t="shared" si="5"/>
        <v>0</v>
      </c>
      <c r="T9" s="112">
        <f t="shared" si="5"/>
        <v>0</v>
      </c>
      <c r="U9" s="112">
        <f t="shared" si="5"/>
        <v>0</v>
      </c>
      <c r="V9" s="112">
        <f t="shared" si="5"/>
        <v>0</v>
      </c>
      <c r="W9" s="112">
        <f t="shared" si="5"/>
        <v>0</v>
      </c>
      <c r="X9" s="112">
        <f t="shared" si="5"/>
        <v>0</v>
      </c>
      <c r="Y9" s="112">
        <f t="shared" si="5"/>
        <v>0</v>
      </c>
      <c r="Z9" s="112">
        <f t="shared" si="5"/>
        <v>0</v>
      </c>
    </row>
    <row r="10" spans="1:104" ht="20.149999999999999" customHeight="1" x14ac:dyDescent="0.35">
      <c r="A10" s="37"/>
      <c r="B10" s="107" t="s">
        <v>298</v>
      </c>
      <c r="C10" s="39"/>
      <c r="D10" s="107" t="s">
        <v>317</v>
      </c>
      <c r="E10" s="39"/>
      <c r="F10" s="39">
        <v>0</v>
      </c>
      <c r="G10" s="42">
        <v>50</v>
      </c>
      <c r="H10" s="42">
        <f t="shared" si="0"/>
        <v>0</v>
      </c>
      <c r="I10" s="42">
        <f t="shared" si="1"/>
        <v>903.5</v>
      </c>
      <c r="J10" s="42">
        <f t="shared" si="2"/>
        <v>0</v>
      </c>
      <c r="K10" s="42">
        <f t="shared" si="3"/>
        <v>0</v>
      </c>
      <c r="M10" s="112">
        <v>0</v>
      </c>
      <c r="N10" s="112">
        <v>0</v>
      </c>
      <c r="O10" s="112">
        <f>J10</f>
        <v>0</v>
      </c>
      <c r="P10" s="112">
        <f t="shared" si="5"/>
        <v>0</v>
      </c>
      <c r="Q10" s="112">
        <f t="shared" si="5"/>
        <v>0</v>
      </c>
      <c r="R10" s="112">
        <f t="shared" si="5"/>
        <v>0</v>
      </c>
      <c r="S10" s="112">
        <f t="shared" si="5"/>
        <v>0</v>
      </c>
      <c r="T10" s="112">
        <f t="shared" si="5"/>
        <v>0</v>
      </c>
      <c r="U10" s="112">
        <f t="shared" si="5"/>
        <v>0</v>
      </c>
      <c r="V10" s="112">
        <f t="shared" si="5"/>
        <v>0</v>
      </c>
      <c r="W10" s="112">
        <f t="shared" si="5"/>
        <v>0</v>
      </c>
      <c r="X10" s="112">
        <f t="shared" si="5"/>
        <v>0</v>
      </c>
      <c r="Y10" s="112">
        <f t="shared" si="5"/>
        <v>0</v>
      </c>
      <c r="Z10" s="112">
        <f t="shared" si="5"/>
        <v>0</v>
      </c>
    </row>
    <row r="11" spans="1:104" ht="20.149999999999999" customHeight="1" x14ac:dyDescent="0.35">
      <c r="A11" s="37"/>
      <c r="B11" s="107" t="s">
        <v>298</v>
      </c>
      <c r="C11" s="39"/>
      <c r="E11" s="39"/>
      <c r="F11" s="39">
        <v>0</v>
      </c>
      <c r="G11" s="42">
        <v>42</v>
      </c>
      <c r="H11" s="42">
        <f t="shared" si="0"/>
        <v>0</v>
      </c>
      <c r="I11" s="42">
        <f t="shared" si="1"/>
        <v>758.94</v>
      </c>
      <c r="J11" s="42">
        <f t="shared" si="2"/>
        <v>0</v>
      </c>
      <c r="K11" s="42">
        <f t="shared" si="3"/>
        <v>0</v>
      </c>
      <c r="M11" s="112">
        <v>0</v>
      </c>
      <c r="N11" s="112">
        <f>J11</f>
        <v>0</v>
      </c>
      <c r="O11" s="112">
        <f>J11</f>
        <v>0</v>
      </c>
      <c r="P11" s="112">
        <f t="shared" ref="P11:Z11" si="6">O11</f>
        <v>0</v>
      </c>
      <c r="Q11" s="112">
        <f t="shared" si="6"/>
        <v>0</v>
      </c>
      <c r="R11" s="112">
        <f t="shared" si="6"/>
        <v>0</v>
      </c>
      <c r="S11" s="112">
        <f t="shared" si="6"/>
        <v>0</v>
      </c>
      <c r="T11" s="112">
        <f t="shared" si="6"/>
        <v>0</v>
      </c>
      <c r="U11" s="112">
        <f t="shared" si="6"/>
        <v>0</v>
      </c>
      <c r="V11" s="112">
        <f t="shared" si="6"/>
        <v>0</v>
      </c>
      <c r="W11" s="112">
        <f t="shared" si="6"/>
        <v>0</v>
      </c>
      <c r="X11" s="112">
        <f t="shared" si="6"/>
        <v>0</v>
      </c>
      <c r="Y11" s="112">
        <f t="shared" si="6"/>
        <v>0</v>
      </c>
      <c r="Z11" s="112">
        <f t="shared" si="6"/>
        <v>0</v>
      </c>
    </row>
    <row r="12" spans="1:104" ht="20.149999999999999" customHeight="1" x14ac:dyDescent="0.35">
      <c r="A12" s="37"/>
      <c r="B12" s="107" t="s">
        <v>298</v>
      </c>
      <c r="C12" s="39"/>
      <c r="D12" s="108"/>
      <c r="E12" s="108"/>
      <c r="F12" s="39">
        <v>0</v>
      </c>
      <c r="G12" s="42">
        <v>42</v>
      </c>
      <c r="H12" s="42">
        <f t="shared" si="0"/>
        <v>0</v>
      </c>
      <c r="I12" s="42">
        <f t="shared" si="1"/>
        <v>758.94</v>
      </c>
      <c r="J12" s="42">
        <f t="shared" si="2"/>
        <v>0</v>
      </c>
      <c r="K12" s="42">
        <f t="shared" si="3"/>
        <v>0</v>
      </c>
      <c r="M12" s="112">
        <v>0</v>
      </c>
      <c r="N12" s="112">
        <f>J12</f>
        <v>0</v>
      </c>
      <c r="O12" s="112">
        <f>J12</f>
        <v>0</v>
      </c>
      <c r="P12" s="112">
        <f t="shared" ref="P12:Z12" si="7">O12</f>
        <v>0</v>
      </c>
      <c r="Q12" s="112">
        <f t="shared" si="7"/>
        <v>0</v>
      </c>
      <c r="R12" s="112">
        <f t="shared" si="7"/>
        <v>0</v>
      </c>
      <c r="S12" s="112">
        <f t="shared" si="7"/>
        <v>0</v>
      </c>
      <c r="T12" s="112">
        <f t="shared" si="7"/>
        <v>0</v>
      </c>
      <c r="U12" s="112">
        <f t="shared" si="7"/>
        <v>0</v>
      </c>
      <c r="V12" s="112">
        <f t="shared" si="7"/>
        <v>0</v>
      </c>
      <c r="W12" s="112">
        <f t="shared" si="7"/>
        <v>0</v>
      </c>
      <c r="X12" s="112">
        <f t="shared" si="7"/>
        <v>0</v>
      </c>
      <c r="Y12" s="112">
        <f t="shared" si="7"/>
        <v>0</v>
      </c>
      <c r="Z12" s="112">
        <f t="shared" si="7"/>
        <v>0</v>
      </c>
    </row>
    <row r="13" spans="1:104" ht="20.149999999999999" customHeight="1" x14ac:dyDescent="0.35">
      <c r="A13" s="37"/>
      <c r="B13" s="107" t="s">
        <v>298</v>
      </c>
      <c r="C13" s="39"/>
      <c r="D13" s="108"/>
      <c r="E13" s="108"/>
      <c r="F13" s="39">
        <v>0</v>
      </c>
      <c r="G13" s="42">
        <v>42</v>
      </c>
      <c r="H13" s="42">
        <f t="shared" si="0"/>
        <v>0</v>
      </c>
      <c r="I13" s="42">
        <f t="shared" si="1"/>
        <v>758.94</v>
      </c>
      <c r="J13" s="42">
        <f t="shared" si="2"/>
        <v>0</v>
      </c>
      <c r="K13" s="42">
        <f t="shared" si="3"/>
        <v>0</v>
      </c>
      <c r="M13" s="112">
        <v>0</v>
      </c>
      <c r="N13" s="112">
        <f>J13</f>
        <v>0</v>
      </c>
      <c r="O13" s="112">
        <f>J13</f>
        <v>0</v>
      </c>
      <c r="P13" s="112">
        <f t="shared" ref="P13:Z13" si="8">O13</f>
        <v>0</v>
      </c>
      <c r="Q13" s="112">
        <f t="shared" si="8"/>
        <v>0</v>
      </c>
      <c r="R13" s="112">
        <f t="shared" si="8"/>
        <v>0</v>
      </c>
      <c r="S13" s="112">
        <f t="shared" si="8"/>
        <v>0</v>
      </c>
      <c r="T13" s="112">
        <f t="shared" si="8"/>
        <v>0</v>
      </c>
      <c r="U13" s="112">
        <f t="shared" si="8"/>
        <v>0</v>
      </c>
      <c r="V13" s="112">
        <f t="shared" si="8"/>
        <v>0</v>
      </c>
      <c r="W13" s="112">
        <f t="shared" si="8"/>
        <v>0</v>
      </c>
      <c r="X13" s="112">
        <f t="shared" si="8"/>
        <v>0</v>
      </c>
      <c r="Y13" s="112">
        <f t="shared" si="8"/>
        <v>0</v>
      </c>
      <c r="Z13" s="112">
        <f t="shared" si="8"/>
        <v>0</v>
      </c>
    </row>
    <row r="14" spans="1:104" ht="20.149999999999999" customHeight="1" x14ac:dyDescent="0.35">
      <c r="A14" s="37"/>
      <c r="B14" s="116"/>
      <c r="C14" s="13"/>
      <c r="D14" s="119"/>
      <c r="E14" s="119"/>
      <c r="F14" s="119"/>
      <c r="G14" s="119"/>
      <c r="H14" s="119"/>
      <c r="I14" s="119"/>
      <c r="J14" s="120"/>
      <c r="L14" s="123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</row>
    <row r="15" spans="1:104" ht="20.149999999999999" customHeight="1" x14ac:dyDescent="0.35">
      <c r="A15" s="37"/>
      <c r="B15" s="124"/>
      <c r="C15" s="125"/>
      <c r="D15" s="119"/>
      <c r="E15" s="119"/>
      <c r="F15" s="119"/>
      <c r="G15" s="119"/>
      <c r="H15" s="119"/>
      <c r="I15" s="119"/>
      <c r="K15" s="50" t="s">
        <v>262</v>
      </c>
      <c r="M15" s="51">
        <f t="shared" ref="M15:Z15" si="9">SUM(M8:M13)</f>
        <v>0</v>
      </c>
      <c r="N15" s="51">
        <f t="shared" si="9"/>
        <v>0</v>
      </c>
      <c r="O15" s="51">
        <f t="shared" si="9"/>
        <v>0</v>
      </c>
      <c r="P15" s="51">
        <f t="shared" si="9"/>
        <v>0</v>
      </c>
      <c r="Q15" s="51">
        <f t="shared" si="9"/>
        <v>0</v>
      </c>
      <c r="R15" s="51">
        <f t="shared" si="9"/>
        <v>0</v>
      </c>
      <c r="S15" s="51">
        <f t="shared" si="9"/>
        <v>0</v>
      </c>
      <c r="T15" s="51">
        <f t="shared" si="9"/>
        <v>0</v>
      </c>
      <c r="U15" s="51">
        <f t="shared" si="9"/>
        <v>0</v>
      </c>
      <c r="V15" s="51">
        <f t="shared" si="9"/>
        <v>0</v>
      </c>
      <c r="W15" s="51">
        <f t="shared" si="9"/>
        <v>0</v>
      </c>
      <c r="X15" s="51">
        <f t="shared" si="9"/>
        <v>0</v>
      </c>
      <c r="Y15" s="51">
        <f t="shared" si="9"/>
        <v>0</v>
      </c>
      <c r="Z15" s="51">
        <f t="shared" si="9"/>
        <v>0</v>
      </c>
    </row>
    <row r="16" spans="1:104" ht="20.149999999999999" customHeight="1" x14ac:dyDescent="0.35">
      <c r="A16" s="37"/>
      <c r="B16" s="124"/>
      <c r="C16" s="125"/>
      <c r="D16" s="119"/>
      <c r="E16" s="119"/>
      <c r="F16" s="119"/>
      <c r="G16" s="119"/>
      <c r="H16" s="119"/>
      <c r="I16" s="119"/>
      <c r="K16" s="53" t="s">
        <v>263</v>
      </c>
      <c r="M16" s="43">
        <f>M15/PREMISAS!$D$18</f>
        <v>0</v>
      </c>
      <c r="N16" s="43">
        <f>N15/PREMISAS!$D$18</f>
        <v>0</v>
      </c>
      <c r="O16" s="43">
        <f>O15/PREMISAS!$D$18</f>
        <v>0</v>
      </c>
      <c r="P16" s="43">
        <f>P15/PREMISAS!$D$18</f>
        <v>0</v>
      </c>
      <c r="Q16" s="43">
        <f>Q15/PREMISAS!$D$18</f>
        <v>0</v>
      </c>
      <c r="R16" s="43">
        <f>R15/PREMISAS!$D$18</f>
        <v>0</v>
      </c>
      <c r="S16" s="43">
        <f>S15/PREMISAS!$D$18</f>
        <v>0</v>
      </c>
      <c r="T16" s="43">
        <f>T15/PREMISAS!$D$18</f>
        <v>0</v>
      </c>
      <c r="U16" s="43">
        <f>U15/PREMISAS!$D$18</f>
        <v>0</v>
      </c>
      <c r="V16" s="43">
        <f>V15/PREMISAS!$D$18</f>
        <v>0</v>
      </c>
      <c r="W16" s="43">
        <f>W15/PREMISAS!$D$18</f>
        <v>0</v>
      </c>
      <c r="X16" s="43">
        <f>X15/PREMISAS!$D$18</f>
        <v>0</v>
      </c>
      <c r="Y16" s="43">
        <f>Y15/PREMISAS!$D$18</f>
        <v>0</v>
      </c>
      <c r="Z16" s="43">
        <f>Z15/PREMISAS!$D$18</f>
        <v>0</v>
      </c>
    </row>
    <row r="17" spans="1:24" ht="20.149999999999999" customHeight="1" x14ac:dyDescent="0.35">
      <c r="A17" s="37"/>
      <c r="D17" s="119"/>
      <c r="E17" s="119"/>
      <c r="F17" s="119"/>
      <c r="G17" s="119"/>
      <c r="H17" s="119"/>
      <c r="I17" s="119"/>
      <c r="K17" s="50" t="s">
        <v>284</v>
      </c>
      <c r="M17" s="51">
        <f>SUM(M15:Z15)</f>
        <v>0</v>
      </c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</row>
    <row r="18" spans="1:24" ht="20.149999999999999" customHeight="1" x14ac:dyDescent="0.35">
      <c r="A18" s="37"/>
      <c r="D18" s="119"/>
      <c r="E18" s="119"/>
      <c r="G18" s="119"/>
      <c r="H18" s="119"/>
      <c r="I18" s="119"/>
      <c r="K18" s="53" t="s">
        <v>261</v>
      </c>
      <c r="M18" s="57">
        <f>M17/20</f>
        <v>0</v>
      </c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</row>
    <row r="19" spans="1:24" ht="20.149999999999999" customHeight="1" x14ac:dyDescent="0.35">
      <c r="A19" s="37"/>
      <c r="B19" s="116"/>
      <c r="C19" s="13"/>
      <c r="D19" s="119"/>
      <c r="E19" s="119"/>
      <c r="G19" s="119"/>
      <c r="H19" s="119"/>
      <c r="I19" s="119"/>
      <c r="J19" s="120"/>
      <c r="L19" s="123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</row>
    <row r="20" spans="1:24" ht="20.149999999999999" customHeight="1" x14ac:dyDescent="0.35">
      <c r="B20" s="49" t="str">
        <f>'F01 EPP'!B19</f>
        <v>Premisas</v>
      </c>
      <c r="C20" s="49"/>
      <c r="L20" s="123"/>
      <c r="M20" s="18"/>
      <c r="N20" s="18"/>
      <c r="O20" s="18"/>
      <c r="P20" s="18"/>
      <c r="Q20" s="18"/>
      <c r="R20" s="18"/>
      <c r="S20" s="18"/>
      <c r="T20" s="18"/>
      <c r="U20" s="18"/>
      <c r="V20" s="18"/>
    </row>
    <row r="21" spans="1:24" ht="20.149999999999999" customHeight="1" x14ac:dyDescent="0.35">
      <c r="B21" s="20" t="str">
        <f>'F01 EPP'!B20</f>
        <v>Paridad</v>
      </c>
      <c r="C21" s="52">
        <f>'F01 EPP'!C20</f>
        <v>18.07</v>
      </c>
      <c r="D21" s="119"/>
      <c r="E21" s="119"/>
      <c r="G21" s="119"/>
      <c r="H21" s="119"/>
      <c r="I21" s="119"/>
      <c r="L21" s="123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26"/>
      <c r="X21" s="121"/>
    </row>
    <row r="22" spans="1:24" ht="20.149999999999999" customHeight="1" x14ac:dyDescent="0.35">
      <c r="B22" s="22" t="str">
        <f>'F01 EPP'!B21</f>
        <v xml:space="preserve">Mes </v>
      </c>
      <c r="C22" s="54">
        <f>'F01 EPP'!C21</f>
        <v>30.4</v>
      </c>
      <c r="D22" s="18"/>
      <c r="E22" s="18"/>
      <c r="G22" s="18"/>
      <c r="H22" s="18"/>
      <c r="I22" s="18"/>
      <c r="L22" s="123"/>
      <c r="N22" s="18"/>
      <c r="O22" s="18"/>
      <c r="P22" s="18"/>
      <c r="Q22" s="18"/>
      <c r="R22" s="18"/>
      <c r="S22" s="18"/>
      <c r="T22" s="18"/>
      <c r="U22" s="18"/>
      <c r="V22" s="18"/>
    </row>
    <row r="23" spans="1:24" ht="20.149999999999999" customHeight="1" x14ac:dyDescent="0.35">
      <c r="B23" s="24" t="str">
        <f>'F01 EPP'!B22</f>
        <v>Periodo Pago (días)</v>
      </c>
      <c r="C23" s="55">
        <f>'F01 EPP'!C22</f>
        <v>30</v>
      </c>
      <c r="G23" s="127"/>
      <c r="L23" s="123"/>
      <c r="M23" s="122"/>
      <c r="N23" s="18"/>
      <c r="O23" s="18"/>
      <c r="P23" s="18"/>
      <c r="Q23" s="18"/>
      <c r="R23" s="18"/>
      <c r="S23" s="18"/>
      <c r="T23" s="18"/>
      <c r="U23" s="18"/>
      <c r="V23" s="18"/>
    </row>
    <row r="24" spans="1:24" ht="20.149999999999999" customHeight="1" x14ac:dyDescent="0.35">
      <c r="B24" s="26" t="str">
        <f>'F01 EPP'!B23</f>
        <v>Gas lp</v>
      </c>
      <c r="C24" s="58">
        <f>'F01 EPP'!C23</f>
        <v>0</v>
      </c>
      <c r="M24" s="122"/>
      <c r="N24" s="18"/>
      <c r="O24" s="18"/>
      <c r="P24" s="18"/>
      <c r="Q24" s="18"/>
      <c r="R24" s="18"/>
      <c r="S24" s="18"/>
      <c r="T24" s="18"/>
      <c r="U24" s="18"/>
      <c r="V24" s="18"/>
    </row>
    <row r="25" spans="1:24" ht="20.149999999999999" customHeight="1" x14ac:dyDescent="0.35">
      <c r="B25" s="28" t="str">
        <f>'F01 EPP'!B24</f>
        <v>Gasolina Magna</v>
      </c>
      <c r="C25" s="59">
        <f>'F01 EPP'!C24</f>
        <v>22</v>
      </c>
    </row>
    <row r="26" spans="1:24" ht="20.149999999999999" customHeight="1" x14ac:dyDescent="0.35">
      <c r="B26" s="30" t="str">
        <f>'F01 EPP'!B25</f>
        <v>Diesel</v>
      </c>
      <c r="C26" s="60">
        <f>'F01 EPP'!C25</f>
        <v>23</v>
      </c>
      <c r="M26" s="18"/>
    </row>
    <row r="27" spans="1:24" ht="20.149999999999999" customHeight="1" x14ac:dyDescent="0.35">
      <c r="M27" s="18"/>
    </row>
    <row r="28" spans="1:24" ht="20.149999999999999" customHeight="1" x14ac:dyDescent="0.35">
      <c r="B28" s="116">
        <v>750</v>
      </c>
      <c r="C28" s="368">
        <f>B28/$C$21</f>
        <v>41.505257332595463</v>
      </c>
      <c r="M28" s="18"/>
    </row>
    <row r="29" spans="1:24" ht="20.149999999999999" customHeight="1" x14ac:dyDescent="0.35">
      <c r="M29" s="18"/>
    </row>
    <row r="30" spans="1:24" ht="20.149999999999999" customHeight="1" x14ac:dyDescent="0.35">
      <c r="M30" s="18"/>
    </row>
    <row r="31" spans="1:24" ht="20.149999999999999" customHeight="1" x14ac:dyDescent="0.35">
      <c r="M31" s="18"/>
    </row>
    <row r="33" spans="13:13" ht="20.149999999999999" customHeight="1" x14ac:dyDescent="0.35">
      <c r="M33" s="18"/>
    </row>
  </sheetData>
  <mergeCells count="10">
    <mergeCell ref="E5:E7"/>
    <mergeCell ref="D5:D7"/>
    <mergeCell ref="C5:C7"/>
    <mergeCell ref="B5:B7"/>
    <mergeCell ref="K5:K6"/>
    <mergeCell ref="J5:J6"/>
    <mergeCell ref="H5:H6"/>
    <mergeCell ref="G5:G6"/>
    <mergeCell ref="F5:F7"/>
    <mergeCell ref="I5:I6"/>
  </mergeCells>
  <phoneticPr fontId="8" type="noConversion"/>
  <printOptions horizontalCentered="1"/>
  <pageMargins left="0.25" right="0.25" top="0.75" bottom="0.75" header="0.3" footer="0.3"/>
  <pageSetup paperSize="3" scale="65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CZ46"/>
  <sheetViews>
    <sheetView zoomScale="80" zoomScaleNormal="80" workbookViewId="0">
      <pane xSplit="12" ySplit="7" topLeftCell="M8" activePane="bottomRight" state="frozen"/>
      <selection pane="topRight" activeCell="M1" sqref="M1"/>
      <selection pane="bottomLeft" activeCell="A8" sqref="A8"/>
      <selection pane="bottomRight" activeCell="F17" sqref="F17"/>
    </sheetView>
  </sheetViews>
  <sheetFormatPr baseColWidth="10" defaultColWidth="10.5" defaultRowHeight="20.149999999999999" customHeight="1" x14ac:dyDescent="0.35"/>
  <cols>
    <col min="1" max="1" width="3.83203125" style="2" customWidth="1"/>
    <col min="2" max="2" width="35.83203125" style="13" customWidth="1"/>
    <col min="3" max="3" width="17.83203125" style="2" bestFit="1" customWidth="1"/>
    <col min="4" max="4" width="14.58203125" style="2" customWidth="1"/>
    <col min="5" max="6" width="11.83203125" style="2" bestFit="1" customWidth="1"/>
    <col min="7" max="10" width="12.58203125" style="2" customWidth="1"/>
    <col min="11" max="11" width="13.33203125" style="13" bestFit="1" customWidth="1"/>
    <col min="12" max="12" width="20.58203125" style="13" customWidth="1"/>
    <col min="13" max="13" width="1.5" style="2" customWidth="1"/>
    <col min="14" max="14" width="14.33203125" style="2" bestFit="1" customWidth="1"/>
    <col min="15" max="15" width="11.58203125" style="2" bestFit="1" customWidth="1"/>
    <col min="16" max="27" width="12.58203125" style="2" bestFit="1" customWidth="1"/>
    <col min="28" max="16384" width="10.5" style="2"/>
  </cols>
  <sheetData>
    <row r="1" spans="1:104" ht="20.149999999999999" customHeight="1" x14ac:dyDescent="0.35">
      <c r="A1" s="32"/>
      <c r="B1" s="32"/>
      <c r="C1" s="33"/>
      <c r="D1" s="33"/>
      <c r="E1" s="33"/>
      <c r="F1" s="33"/>
      <c r="G1" s="33"/>
      <c r="H1" s="33"/>
      <c r="I1" s="33"/>
      <c r="J1" s="33"/>
      <c r="K1" s="33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</row>
    <row r="2" spans="1:104" ht="20.149999999999999" customHeight="1" x14ac:dyDescent="0.35">
      <c r="A2" s="32"/>
      <c r="B2" s="106" t="s">
        <v>3</v>
      </c>
      <c r="C2" s="33"/>
      <c r="D2" s="33"/>
      <c r="E2" s="33"/>
      <c r="F2" s="33"/>
      <c r="G2" s="33"/>
      <c r="H2" s="33"/>
      <c r="I2" s="33"/>
      <c r="J2" s="33"/>
      <c r="K2" s="33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</row>
    <row r="3" spans="1:104" ht="20.149999999999999" customHeight="1" x14ac:dyDescent="0.35">
      <c r="A3" s="32"/>
      <c r="B3" s="32"/>
      <c r="C3" s="33"/>
      <c r="D3" s="33"/>
      <c r="E3" s="33"/>
      <c r="F3" s="33"/>
      <c r="G3" s="33"/>
      <c r="H3" s="33"/>
      <c r="I3" s="33"/>
      <c r="J3" s="33"/>
      <c r="K3" s="33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</row>
    <row r="4" spans="1:104" ht="20.149999999999999" customHeight="1" x14ac:dyDescent="0.35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249"/>
    </row>
    <row r="5" spans="1:104" ht="20.149999999999999" customHeight="1" x14ac:dyDescent="0.35">
      <c r="A5" s="37"/>
      <c r="B5" s="458" t="s">
        <v>285</v>
      </c>
      <c r="C5" s="469" t="s">
        <v>266</v>
      </c>
      <c r="D5" s="470" t="s">
        <v>267</v>
      </c>
      <c r="E5" s="470" t="s">
        <v>24</v>
      </c>
      <c r="F5" s="470" t="s">
        <v>264</v>
      </c>
      <c r="G5" s="454" t="s">
        <v>430</v>
      </c>
      <c r="H5" s="454" t="s">
        <v>355</v>
      </c>
      <c r="I5" s="456" t="s">
        <v>335</v>
      </c>
      <c r="J5" s="456" t="s">
        <v>356</v>
      </c>
      <c r="K5" s="452" t="s">
        <v>265</v>
      </c>
      <c r="L5" s="470" t="s">
        <v>25</v>
      </c>
      <c r="N5" s="390" t="s">
        <v>84</v>
      </c>
      <c r="O5" s="390" t="s">
        <v>84</v>
      </c>
      <c r="P5" s="391" t="s">
        <v>66</v>
      </c>
      <c r="Q5" s="390" t="s">
        <v>67</v>
      </c>
      <c r="R5" s="390" t="s">
        <v>68</v>
      </c>
      <c r="S5" s="390" t="s">
        <v>69</v>
      </c>
      <c r="T5" s="390" t="s">
        <v>70</v>
      </c>
      <c r="U5" s="390" t="s">
        <v>71</v>
      </c>
      <c r="V5" s="390" t="s">
        <v>72</v>
      </c>
      <c r="W5" s="390" t="s">
        <v>73</v>
      </c>
      <c r="X5" s="390" t="s">
        <v>74</v>
      </c>
      <c r="Y5" s="390" t="s">
        <v>75</v>
      </c>
      <c r="Z5" s="390" t="s">
        <v>76</v>
      </c>
      <c r="AA5" s="390" t="s">
        <v>77</v>
      </c>
    </row>
    <row r="6" spans="1:104" s="129" customFormat="1" ht="20.149999999999999" customHeight="1" x14ac:dyDescent="0.35">
      <c r="A6" s="128"/>
      <c r="B6" s="458"/>
      <c r="C6" s="469"/>
      <c r="D6" s="470"/>
      <c r="E6" s="470"/>
      <c r="F6" s="470"/>
      <c r="G6" s="454"/>
      <c r="H6" s="454"/>
      <c r="I6" s="457"/>
      <c r="J6" s="457"/>
      <c r="K6" s="452"/>
      <c r="L6" s="470"/>
      <c r="N6" s="392"/>
      <c r="O6" s="392"/>
      <c r="P6" s="392" t="s">
        <v>436</v>
      </c>
      <c r="Q6" s="392" t="s">
        <v>437</v>
      </c>
      <c r="R6" s="392" t="s">
        <v>438</v>
      </c>
      <c r="S6" s="392" t="s">
        <v>439</v>
      </c>
      <c r="T6" s="392" t="s">
        <v>392</v>
      </c>
      <c r="U6" s="392" t="s">
        <v>393</v>
      </c>
      <c r="V6" s="392" t="s">
        <v>394</v>
      </c>
      <c r="W6" s="392" t="s">
        <v>395</v>
      </c>
      <c r="X6" s="392" t="s">
        <v>396</v>
      </c>
      <c r="Y6" s="392" t="s">
        <v>397</v>
      </c>
      <c r="Z6" s="392" t="s">
        <v>398</v>
      </c>
      <c r="AA6" s="392" t="s">
        <v>399</v>
      </c>
      <c r="AB6" s="2"/>
      <c r="AC6" s="2"/>
    </row>
    <row r="7" spans="1:104" s="131" customFormat="1" ht="20.149999999999999" customHeight="1" x14ac:dyDescent="0.35">
      <c r="A7" s="130"/>
      <c r="B7" s="458"/>
      <c r="C7" s="469"/>
      <c r="D7" s="470"/>
      <c r="E7" s="470"/>
      <c r="F7" s="470"/>
      <c r="G7" s="361" t="s">
        <v>259</v>
      </c>
      <c r="H7" s="361" t="s">
        <v>259</v>
      </c>
      <c r="I7" s="362" t="s">
        <v>260</v>
      </c>
      <c r="J7" s="363" t="s">
        <v>260</v>
      </c>
      <c r="K7" s="364" t="s">
        <v>260</v>
      </c>
      <c r="L7" s="470"/>
      <c r="N7" s="393"/>
      <c r="O7" s="393"/>
      <c r="P7" s="393">
        <v>31</v>
      </c>
      <c r="Q7" s="393">
        <v>29</v>
      </c>
      <c r="R7" s="393">
        <v>31</v>
      </c>
      <c r="S7" s="393">
        <v>30</v>
      </c>
      <c r="T7" s="393">
        <v>30</v>
      </c>
      <c r="U7" s="393">
        <v>31</v>
      </c>
      <c r="V7" s="393">
        <v>31</v>
      </c>
      <c r="W7" s="393">
        <v>31</v>
      </c>
      <c r="X7" s="393">
        <v>30</v>
      </c>
      <c r="Y7" s="393">
        <v>31</v>
      </c>
      <c r="Z7" s="393">
        <v>30</v>
      </c>
      <c r="AA7" s="393">
        <v>31</v>
      </c>
      <c r="AB7" s="2"/>
      <c r="AC7" s="2"/>
    </row>
    <row r="8" spans="1:104" s="131" customFormat="1" ht="20.149999999999999" customHeight="1" x14ac:dyDescent="0.35">
      <c r="A8" s="130"/>
      <c r="B8" s="114" t="s">
        <v>119</v>
      </c>
      <c r="C8" s="132" t="s">
        <v>319</v>
      </c>
      <c r="D8" s="111"/>
      <c r="E8" s="111"/>
      <c r="F8" s="133">
        <v>0</v>
      </c>
      <c r="G8" s="42">
        <v>664.08</v>
      </c>
      <c r="H8" s="42">
        <f>F8*G8</f>
        <v>0</v>
      </c>
      <c r="I8" s="42">
        <v>17000</v>
      </c>
      <c r="J8" s="42">
        <f>I8*F8</f>
        <v>0</v>
      </c>
      <c r="K8" s="42">
        <f>J8*1.16</f>
        <v>0</v>
      </c>
      <c r="L8" s="111">
        <v>0</v>
      </c>
      <c r="M8" s="13"/>
      <c r="N8" s="134">
        <v>0</v>
      </c>
      <c r="O8" s="134">
        <v>0</v>
      </c>
      <c r="P8" s="134">
        <f>J8</f>
        <v>0</v>
      </c>
      <c r="Q8" s="134">
        <f>J8</f>
        <v>0</v>
      </c>
      <c r="R8" s="134">
        <f t="shared" ref="R8:Y8" si="0">Q8</f>
        <v>0</v>
      </c>
      <c r="S8" s="134">
        <f t="shared" si="0"/>
        <v>0</v>
      </c>
      <c r="T8" s="134">
        <f t="shared" si="0"/>
        <v>0</v>
      </c>
      <c r="U8" s="134">
        <f t="shared" si="0"/>
        <v>0</v>
      </c>
      <c r="V8" s="134">
        <f t="shared" si="0"/>
        <v>0</v>
      </c>
      <c r="W8" s="134">
        <f t="shared" si="0"/>
        <v>0</v>
      </c>
      <c r="X8" s="134">
        <f t="shared" si="0"/>
        <v>0</v>
      </c>
      <c r="Y8" s="134">
        <f t="shared" si="0"/>
        <v>0</v>
      </c>
      <c r="Z8" s="134">
        <f t="shared" ref="Z8:Z14" si="1">Y8</f>
        <v>0</v>
      </c>
      <c r="AA8" s="134">
        <f t="shared" ref="AA8:AA14" si="2">Z8</f>
        <v>0</v>
      </c>
    </row>
    <row r="9" spans="1:104" s="131" customFormat="1" ht="20.149999999999999" customHeight="1" x14ac:dyDescent="0.35">
      <c r="A9" s="130"/>
      <c r="B9" s="114" t="s">
        <v>120</v>
      </c>
      <c r="C9" s="132"/>
      <c r="D9" s="111"/>
      <c r="E9" s="111"/>
      <c r="F9" s="133">
        <v>0</v>
      </c>
      <c r="G9" s="111">
        <v>400</v>
      </c>
      <c r="H9" s="42">
        <f t="shared" ref="H9:H16" si="3">F9*G9</f>
        <v>0</v>
      </c>
      <c r="I9" s="42">
        <f>G9*$C$19</f>
        <v>7228</v>
      </c>
      <c r="J9" s="42">
        <f>(F9*I9)</f>
        <v>0</v>
      </c>
      <c r="K9" s="42">
        <f t="shared" ref="K9:K16" si="4">J9*1.16</f>
        <v>0</v>
      </c>
      <c r="L9" s="111">
        <v>0</v>
      </c>
      <c r="M9" s="13"/>
      <c r="N9" s="134">
        <v>0</v>
      </c>
      <c r="O9" s="134">
        <v>0</v>
      </c>
      <c r="P9" s="134">
        <f>J9</f>
        <v>0</v>
      </c>
      <c r="Q9" s="134">
        <f>J9</f>
        <v>0</v>
      </c>
      <c r="R9" s="134">
        <f t="shared" ref="R9:Y9" si="5">Q9</f>
        <v>0</v>
      </c>
      <c r="S9" s="134">
        <f t="shared" si="5"/>
        <v>0</v>
      </c>
      <c r="T9" s="134">
        <f t="shared" si="5"/>
        <v>0</v>
      </c>
      <c r="U9" s="134">
        <f t="shared" si="5"/>
        <v>0</v>
      </c>
      <c r="V9" s="134">
        <f t="shared" si="5"/>
        <v>0</v>
      </c>
      <c r="W9" s="134">
        <f t="shared" si="5"/>
        <v>0</v>
      </c>
      <c r="X9" s="134">
        <f t="shared" si="5"/>
        <v>0</v>
      </c>
      <c r="Y9" s="134">
        <f t="shared" si="5"/>
        <v>0</v>
      </c>
      <c r="Z9" s="134">
        <f t="shared" si="1"/>
        <v>0</v>
      </c>
      <c r="AA9" s="134">
        <f t="shared" si="2"/>
        <v>0</v>
      </c>
    </row>
    <row r="10" spans="1:104" s="131" customFormat="1" ht="20.149999999999999" customHeight="1" x14ac:dyDescent="0.35">
      <c r="A10" s="130"/>
      <c r="B10" s="114" t="s">
        <v>121</v>
      </c>
      <c r="C10" s="132"/>
      <c r="D10" s="111"/>
      <c r="E10" s="111"/>
      <c r="F10" s="133">
        <v>0</v>
      </c>
      <c r="G10" s="111">
        <v>0</v>
      </c>
      <c r="H10" s="42">
        <f t="shared" si="3"/>
        <v>0</v>
      </c>
      <c r="I10" s="42">
        <f>G10*$C$19</f>
        <v>0</v>
      </c>
      <c r="J10" s="42">
        <f>(F10*I10)</f>
        <v>0</v>
      </c>
      <c r="K10" s="42">
        <f t="shared" si="4"/>
        <v>0</v>
      </c>
      <c r="L10" s="111">
        <v>0</v>
      </c>
      <c r="M10" s="13"/>
      <c r="N10" s="134">
        <v>0</v>
      </c>
      <c r="O10" s="134">
        <f>J10*0.5</f>
        <v>0</v>
      </c>
      <c r="P10" s="134">
        <f>I10</f>
        <v>0</v>
      </c>
      <c r="Q10" s="134">
        <f t="shared" ref="Q10:Y10" si="6">P10</f>
        <v>0</v>
      </c>
      <c r="R10" s="134">
        <f t="shared" si="6"/>
        <v>0</v>
      </c>
      <c r="S10" s="134">
        <f t="shared" si="6"/>
        <v>0</v>
      </c>
      <c r="T10" s="134">
        <f t="shared" si="6"/>
        <v>0</v>
      </c>
      <c r="U10" s="134">
        <f t="shared" si="6"/>
        <v>0</v>
      </c>
      <c r="V10" s="134">
        <f t="shared" si="6"/>
        <v>0</v>
      </c>
      <c r="W10" s="134">
        <f t="shared" si="6"/>
        <v>0</v>
      </c>
      <c r="X10" s="134">
        <f t="shared" si="6"/>
        <v>0</v>
      </c>
      <c r="Y10" s="134">
        <f t="shared" si="6"/>
        <v>0</v>
      </c>
      <c r="Z10" s="134">
        <f t="shared" si="1"/>
        <v>0</v>
      </c>
      <c r="AA10" s="134">
        <f t="shared" si="2"/>
        <v>0</v>
      </c>
    </row>
    <row r="11" spans="1:104" s="131" customFormat="1" ht="20.149999999999999" customHeight="1" x14ac:dyDescent="0.35">
      <c r="A11" s="130"/>
      <c r="B11" s="114" t="s">
        <v>122</v>
      </c>
      <c r="C11" s="132"/>
      <c r="D11" s="111"/>
      <c r="E11" s="111"/>
      <c r="F11" s="133">
        <v>0</v>
      </c>
      <c r="G11" s="111">
        <v>58</v>
      </c>
      <c r="H11" s="42">
        <f t="shared" si="3"/>
        <v>0</v>
      </c>
      <c r="I11" s="42">
        <f>G11*$C$19</f>
        <v>1048.06</v>
      </c>
      <c r="J11" s="42">
        <f>(F11*I11)</f>
        <v>0</v>
      </c>
      <c r="K11" s="42">
        <f t="shared" si="4"/>
        <v>0</v>
      </c>
      <c r="L11" s="111">
        <v>0</v>
      </c>
      <c r="M11" s="13"/>
      <c r="N11" s="134">
        <v>0</v>
      </c>
      <c r="O11" s="134"/>
      <c r="P11" s="134">
        <f>J11</f>
        <v>0</v>
      </c>
      <c r="Q11" s="134">
        <f>J11</f>
        <v>0</v>
      </c>
      <c r="R11" s="134">
        <f t="shared" ref="R11:Y11" si="7">Q11</f>
        <v>0</v>
      </c>
      <c r="S11" s="134">
        <f t="shared" si="7"/>
        <v>0</v>
      </c>
      <c r="T11" s="134">
        <f t="shared" si="7"/>
        <v>0</v>
      </c>
      <c r="U11" s="134">
        <f t="shared" si="7"/>
        <v>0</v>
      </c>
      <c r="V11" s="134">
        <f t="shared" si="7"/>
        <v>0</v>
      </c>
      <c r="W11" s="134">
        <f t="shared" si="7"/>
        <v>0</v>
      </c>
      <c r="X11" s="134">
        <f t="shared" si="7"/>
        <v>0</v>
      </c>
      <c r="Y11" s="134">
        <f t="shared" si="7"/>
        <v>0</v>
      </c>
      <c r="Z11" s="134">
        <f t="shared" si="1"/>
        <v>0</v>
      </c>
      <c r="AA11" s="134">
        <f t="shared" si="2"/>
        <v>0</v>
      </c>
    </row>
    <row r="12" spans="1:104" s="131" customFormat="1" ht="20.149999999999999" customHeight="1" x14ac:dyDescent="0.35">
      <c r="A12" s="130"/>
      <c r="B12" s="114" t="s">
        <v>123</v>
      </c>
      <c r="C12" s="132"/>
      <c r="D12" s="111"/>
      <c r="E12" s="111"/>
      <c r="F12" s="133">
        <v>0</v>
      </c>
      <c r="G12" s="111">
        <v>36</v>
      </c>
      <c r="H12" s="42">
        <f t="shared" si="3"/>
        <v>0</v>
      </c>
      <c r="I12" s="42">
        <f>G12*$C$19</f>
        <v>650.52</v>
      </c>
      <c r="J12" s="42">
        <f>(F12*I12)/12</f>
        <v>0</v>
      </c>
      <c r="K12" s="42">
        <f t="shared" si="4"/>
        <v>0</v>
      </c>
      <c r="L12" s="111">
        <v>0</v>
      </c>
      <c r="M12" s="13"/>
      <c r="N12" s="134">
        <v>0</v>
      </c>
      <c r="O12" s="134">
        <v>0</v>
      </c>
      <c r="P12" s="134">
        <v>0</v>
      </c>
      <c r="Q12" s="134">
        <v>0</v>
      </c>
      <c r="R12" s="134">
        <v>0</v>
      </c>
      <c r="S12" s="134">
        <v>0</v>
      </c>
      <c r="T12" s="134">
        <v>0</v>
      </c>
      <c r="U12" s="134">
        <v>0</v>
      </c>
      <c r="V12" s="134">
        <v>0</v>
      </c>
      <c r="W12" s="134">
        <v>0</v>
      </c>
      <c r="X12" s="134">
        <v>0</v>
      </c>
      <c r="Y12" s="134">
        <v>0</v>
      </c>
      <c r="Z12" s="134">
        <v>0</v>
      </c>
      <c r="AA12" s="134">
        <v>0</v>
      </c>
    </row>
    <row r="13" spans="1:104" s="131" customFormat="1" ht="20.149999999999999" customHeight="1" x14ac:dyDescent="0.35">
      <c r="A13" s="130"/>
      <c r="B13" s="114" t="s">
        <v>440</v>
      </c>
      <c r="C13" s="132"/>
      <c r="D13" s="111"/>
      <c r="E13" s="111"/>
      <c r="F13" s="133">
        <v>0</v>
      </c>
      <c r="G13" s="111">
        <v>750</v>
      </c>
      <c r="H13" s="42">
        <f t="shared" si="3"/>
        <v>0</v>
      </c>
      <c r="I13" s="42">
        <f>C19*G13</f>
        <v>13552.5</v>
      </c>
      <c r="J13" s="42">
        <f>I13*F13</f>
        <v>0</v>
      </c>
      <c r="K13" s="42">
        <f t="shared" si="4"/>
        <v>0</v>
      </c>
      <c r="L13" s="111">
        <v>0</v>
      </c>
      <c r="M13" s="13"/>
      <c r="N13" s="134">
        <v>0</v>
      </c>
      <c r="O13" s="134">
        <v>0</v>
      </c>
      <c r="P13" s="134">
        <f>J13</f>
        <v>0</v>
      </c>
      <c r="Q13" s="134">
        <f t="shared" ref="Q13:Y14" si="8">P13</f>
        <v>0</v>
      </c>
      <c r="R13" s="134">
        <f t="shared" si="8"/>
        <v>0</v>
      </c>
      <c r="S13" s="134">
        <f t="shared" si="8"/>
        <v>0</v>
      </c>
      <c r="T13" s="134">
        <f t="shared" si="8"/>
        <v>0</v>
      </c>
      <c r="U13" s="134">
        <f t="shared" si="8"/>
        <v>0</v>
      </c>
      <c r="V13" s="134">
        <f t="shared" si="8"/>
        <v>0</v>
      </c>
      <c r="W13" s="134">
        <f t="shared" si="8"/>
        <v>0</v>
      </c>
      <c r="X13" s="134">
        <f t="shared" si="8"/>
        <v>0</v>
      </c>
      <c r="Y13" s="134">
        <f>J13</f>
        <v>0</v>
      </c>
      <c r="Z13" s="134">
        <f t="shared" si="1"/>
        <v>0</v>
      </c>
      <c r="AA13" s="134">
        <f t="shared" si="2"/>
        <v>0</v>
      </c>
    </row>
    <row r="14" spans="1:104" s="131" customFormat="1" ht="20.149999999999999" customHeight="1" x14ac:dyDescent="0.35">
      <c r="A14" s="130"/>
      <c r="B14" s="114" t="s">
        <v>125</v>
      </c>
      <c r="C14" s="132" t="s">
        <v>369</v>
      </c>
      <c r="D14" s="111"/>
      <c r="E14" s="111"/>
      <c r="F14" s="133">
        <v>0</v>
      </c>
      <c r="G14" s="111">
        <v>85</v>
      </c>
      <c r="H14" s="42">
        <f>F14*G14</f>
        <v>0</v>
      </c>
      <c r="I14" s="42">
        <f>G14*$C$19</f>
        <v>1535.95</v>
      </c>
      <c r="J14" s="42">
        <f>(F14*I14)</f>
        <v>0</v>
      </c>
      <c r="K14" s="42">
        <f>J14*1.16</f>
        <v>0</v>
      </c>
      <c r="L14" s="111">
        <v>0</v>
      </c>
      <c r="M14" s="13"/>
      <c r="N14" s="134">
        <v>0</v>
      </c>
      <c r="O14" s="134">
        <v>0</v>
      </c>
      <c r="P14" s="134">
        <f>J14</f>
        <v>0</v>
      </c>
      <c r="Q14" s="134">
        <f>P14</f>
        <v>0</v>
      </c>
      <c r="R14" s="134">
        <f t="shared" si="8"/>
        <v>0</v>
      </c>
      <c r="S14" s="134">
        <f t="shared" si="8"/>
        <v>0</v>
      </c>
      <c r="T14" s="134">
        <f t="shared" si="8"/>
        <v>0</v>
      </c>
      <c r="U14" s="134">
        <f t="shared" si="8"/>
        <v>0</v>
      </c>
      <c r="V14" s="134">
        <f t="shared" si="8"/>
        <v>0</v>
      </c>
      <c r="W14" s="134">
        <f t="shared" si="8"/>
        <v>0</v>
      </c>
      <c r="X14" s="134">
        <f t="shared" si="8"/>
        <v>0</v>
      </c>
      <c r="Y14" s="134">
        <f t="shared" si="8"/>
        <v>0</v>
      </c>
      <c r="Z14" s="134">
        <f t="shared" si="1"/>
        <v>0</v>
      </c>
      <c r="AA14" s="134">
        <f t="shared" si="2"/>
        <v>0</v>
      </c>
    </row>
    <row r="15" spans="1:104" s="131" customFormat="1" ht="20.149999999999999" customHeight="1" x14ac:dyDescent="0.35">
      <c r="A15" s="130"/>
      <c r="B15" s="114" t="s">
        <v>126</v>
      </c>
      <c r="C15" s="132"/>
      <c r="D15" s="111"/>
      <c r="E15" s="111"/>
      <c r="F15" s="133">
        <v>0</v>
      </c>
      <c r="G15" s="111">
        <v>120</v>
      </c>
      <c r="H15" s="42">
        <f t="shared" si="3"/>
        <v>0</v>
      </c>
      <c r="I15" s="42">
        <f>G15*$C$19</f>
        <v>2168.4</v>
      </c>
      <c r="J15" s="42">
        <f>(F15*I15)</f>
        <v>0</v>
      </c>
      <c r="K15" s="42">
        <f t="shared" si="4"/>
        <v>0</v>
      </c>
      <c r="L15" s="111">
        <v>0</v>
      </c>
      <c r="M15" s="13"/>
      <c r="N15" s="134">
        <v>0</v>
      </c>
      <c r="O15" s="134">
        <v>0</v>
      </c>
      <c r="P15" s="134">
        <f>J15</f>
        <v>0</v>
      </c>
      <c r="Q15" s="134">
        <f t="shared" ref="Q15:AA16" si="9">P15</f>
        <v>0</v>
      </c>
      <c r="R15" s="134">
        <f t="shared" si="9"/>
        <v>0</v>
      </c>
      <c r="S15" s="134">
        <f t="shared" si="9"/>
        <v>0</v>
      </c>
      <c r="T15" s="134">
        <f t="shared" si="9"/>
        <v>0</v>
      </c>
      <c r="U15" s="134">
        <f t="shared" si="9"/>
        <v>0</v>
      </c>
      <c r="V15" s="134">
        <f t="shared" si="9"/>
        <v>0</v>
      </c>
      <c r="W15" s="134">
        <f t="shared" si="9"/>
        <v>0</v>
      </c>
      <c r="X15" s="134">
        <f t="shared" si="9"/>
        <v>0</v>
      </c>
      <c r="Y15" s="134">
        <f t="shared" si="9"/>
        <v>0</v>
      </c>
      <c r="Z15" s="134">
        <f t="shared" si="9"/>
        <v>0</v>
      </c>
      <c r="AA15" s="134">
        <f t="shared" si="9"/>
        <v>0</v>
      </c>
    </row>
    <row r="16" spans="1:104" ht="20.149999999999999" customHeight="1" x14ac:dyDescent="0.35">
      <c r="A16" s="130"/>
      <c r="B16" s="114" t="s">
        <v>127</v>
      </c>
      <c r="C16" s="132" t="s">
        <v>307</v>
      </c>
      <c r="D16" s="111"/>
      <c r="E16" s="111"/>
      <c r="F16" s="133">
        <v>0</v>
      </c>
      <c r="G16" s="111">
        <v>774.76</v>
      </c>
      <c r="H16" s="42">
        <f t="shared" si="3"/>
        <v>0</v>
      </c>
      <c r="I16" s="42">
        <f>G16*$C$19</f>
        <v>13999.913200000001</v>
      </c>
      <c r="J16" s="42">
        <f>(F16*I16)</f>
        <v>0</v>
      </c>
      <c r="K16" s="42">
        <f t="shared" si="4"/>
        <v>0</v>
      </c>
      <c r="L16" s="111">
        <v>0</v>
      </c>
      <c r="M16" s="13"/>
      <c r="N16" s="134">
        <v>0</v>
      </c>
      <c r="O16" s="134">
        <f>$J$16</f>
        <v>0</v>
      </c>
      <c r="P16" s="134">
        <f>$J$16</f>
        <v>0</v>
      </c>
      <c r="Q16" s="134">
        <f>$J$16</f>
        <v>0</v>
      </c>
      <c r="R16" s="134">
        <f>$J$16</f>
        <v>0</v>
      </c>
      <c r="S16" s="134">
        <v>0</v>
      </c>
      <c r="T16" s="134">
        <v>0</v>
      </c>
      <c r="U16" s="134">
        <v>0</v>
      </c>
      <c r="V16" s="134">
        <v>0</v>
      </c>
      <c r="W16" s="134">
        <v>0</v>
      </c>
      <c r="X16" s="134">
        <v>0</v>
      </c>
      <c r="Y16" s="134">
        <v>0</v>
      </c>
      <c r="Z16" s="134">
        <f t="shared" si="9"/>
        <v>0</v>
      </c>
      <c r="AA16" s="134">
        <f t="shared" si="9"/>
        <v>0</v>
      </c>
    </row>
    <row r="17" spans="1:27" ht="20.149999999999999" customHeight="1" x14ac:dyDescent="0.35">
      <c r="A17" s="130"/>
      <c r="B17" s="135"/>
    </row>
    <row r="18" spans="1:27" ht="20.149999999999999" customHeight="1" x14ac:dyDescent="0.35">
      <c r="A18" s="3"/>
      <c r="B18" s="49" t="str">
        <f>'F01 UNIFORMES'!B20</f>
        <v>Premisas</v>
      </c>
      <c r="C18" s="49"/>
      <c r="L18" s="102" t="s">
        <v>262</v>
      </c>
      <c r="N18" s="51">
        <f t="shared" ref="N18:Y18" si="10">SUM(N8:N16)</f>
        <v>0</v>
      </c>
      <c r="O18" s="51">
        <f t="shared" si="10"/>
        <v>0</v>
      </c>
      <c r="P18" s="51">
        <f t="shared" si="10"/>
        <v>0</v>
      </c>
      <c r="Q18" s="51">
        <f t="shared" si="10"/>
        <v>0</v>
      </c>
      <c r="R18" s="51">
        <f t="shared" si="10"/>
        <v>0</v>
      </c>
      <c r="S18" s="51">
        <f t="shared" si="10"/>
        <v>0</v>
      </c>
      <c r="T18" s="51">
        <f t="shared" si="10"/>
        <v>0</v>
      </c>
      <c r="U18" s="51">
        <f t="shared" si="10"/>
        <v>0</v>
      </c>
      <c r="V18" s="51">
        <f t="shared" si="10"/>
        <v>0</v>
      </c>
      <c r="W18" s="51">
        <f t="shared" si="10"/>
        <v>0</v>
      </c>
      <c r="X18" s="51">
        <f t="shared" si="10"/>
        <v>0</v>
      </c>
      <c r="Y18" s="51">
        <f t="shared" si="10"/>
        <v>0</v>
      </c>
      <c r="Z18" s="51">
        <f>SUM(Z8:Z16)</f>
        <v>0</v>
      </c>
      <c r="AA18" s="51">
        <f>SUM(AA8:AA16)</f>
        <v>0</v>
      </c>
    </row>
    <row r="19" spans="1:27" ht="20.149999999999999" customHeight="1" x14ac:dyDescent="0.35">
      <c r="B19" s="20" t="str">
        <f>'F01 UNIFORMES'!B21</f>
        <v>Paridad</v>
      </c>
      <c r="C19" s="52">
        <f>'F01 UNIFORMES'!C21</f>
        <v>18.07</v>
      </c>
      <c r="G19" s="116"/>
      <c r="H19" s="116"/>
      <c r="L19" s="103" t="s">
        <v>263</v>
      </c>
      <c r="N19" s="43">
        <f>N18/$C$19</f>
        <v>0</v>
      </c>
      <c r="O19" s="43">
        <f>O18/PREMISAS!$D$18</f>
        <v>0</v>
      </c>
      <c r="P19" s="43">
        <f>P18/PREMISAS!$D$18</f>
        <v>0</v>
      </c>
      <c r="Q19" s="43">
        <f>Q18/PREMISAS!$D$18</f>
        <v>0</v>
      </c>
      <c r="R19" s="43">
        <f>R18/PREMISAS!$D$18</f>
        <v>0</v>
      </c>
      <c r="S19" s="43">
        <f>S18/PREMISAS!$D$18</f>
        <v>0</v>
      </c>
      <c r="T19" s="43">
        <f>T18/PREMISAS!$D$18</f>
        <v>0</v>
      </c>
      <c r="U19" s="43">
        <f>U18/PREMISAS!$D$18</f>
        <v>0</v>
      </c>
      <c r="V19" s="43">
        <f>V18/PREMISAS!$D$18</f>
        <v>0</v>
      </c>
      <c r="W19" s="43">
        <f>W18/PREMISAS!$D$18</f>
        <v>0</v>
      </c>
      <c r="X19" s="43">
        <f>X18/PREMISAS!$D$18</f>
        <v>0</v>
      </c>
      <c r="Y19" s="43">
        <f>Y18/PREMISAS!$D$18</f>
        <v>0</v>
      </c>
      <c r="Z19" s="43">
        <f>Z18/PREMISAS!$D$18</f>
        <v>0</v>
      </c>
      <c r="AA19" s="43">
        <f>AA18/PREMISAS!$D$18</f>
        <v>0</v>
      </c>
    </row>
    <row r="20" spans="1:27" ht="20.149999999999999" customHeight="1" x14ac:dyDescent="0.35">
      <c r="B20" s="22" t="str">
        <f>'F01 UNIFORMES'!B22</f>
        <v xml:space="preserve">Mes </v>
      </c>
      <c r="C20" s="54">
        <f>'F01 UNIFORMES'!C22</f>
        <v>30.4</v>
      </c>
      <c r="G20" s="116"/>
      <c r="H20" s="116"/>
      <c r="L20" s="102" t="s">
        <v>284</v>
      </c>
      <c r="N20" s="51">
        <f>SUM(N18:AA18)</f>
        <v>0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3"/>
      <c r="AA20" s="13"/>
    </row>
    <row r="21" spans="1:27" ht="20.149999999999999" customHeight="1" x14ac:dyDescent="0.35">
      <c r="B21" s="24" t="str">
        <f>'F01 UNIFORMES'!B23</f>
        <v>Periodo Pago (días)</v>
      </c>
      <c r="C21" s="55">
        <f>'F01 UNIFORMES'!C23</f>
        <v>30</v>
      </c>
      <c r="G21" s="116"/>
      <c r="H21" s="116"/>
      <c r="L21" s="103" t="s">
        <v>261</v>
      </c>
      <c r="N21" s="57">
        <f>N20/$C$19</f>
        <v>0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3"/>
      <c r="AA21" s="13"/>
    </row>
    <row r="22" spans="1:27" ht="20.149999999999999" customHeight="1" x14ac:dyDescent="0.35">
      <c r="B22" s="26" t="str">
        <f>'F01 UNIFORMES'!B24</f>
        <v>Gas lp</v>
      </c>
      <c r="C22" s="58">
        <f>'F01 UNIFORMES'!C24</f>
        <v>0</v>
      </c>
    </row>
    <row r="23" spans="1:27" ht="20.149999999999999" customHeight="1" x14ac:dyDescent="0.35">
      <c r="B23" s="28" t="str">
        <f>'F01 UNIFORMES'!B25</f>
        <v>Gasolina Magna</v>
      </c>
      <c r="C23" s="59">
        <f>'F01 UNIFORMES'!C25</f>
        <v>22</v>
      </c>
    </row>
    <row r="24" spans="1:27" ht="20.149999999999999" customHeight="1" x14ac:dyDescent="0.35">
      <c r="B24" s="30" t="str">
        <f>'F01 UNIFORMES'!B26</f>
        <v>Diesel</v>
      </c>
      <c r="C24" s="60">
        <f>'F01 UNIFORMES'!C26</f>
        <v>23</v>
      </c>
    </row>
    <row r="27" spans="1:27" ht="20.149999999999999" customHeight="1" x14ac:dyDescent="0.35">
      <c r="B27" s="13" t="s">
        <v>452</v>
      </c>
    </row>
    <row r="40" spans="2:2" ht="20.149999999999999" customHeight="1" x14ac:dyDescent="0.35">
      <c r="B40" s="2"/>
    </row>
    <row r="41" spans="2:2" ht="20.149999999999999" customHeight="1" x14ac:dyDescent="0.35">
      <c r="B41" s="2"/>
    </row>
    <row r="42" spans="2:2" ht="20.149999999999999" customHeight="1" x14ac:dyDescent="0.35">
      <c r="B42" s="2"/>
    </row>
    <row r="43" spans="2:2" ht="20.149999999999999" customHeight="1" x14ac:dyDescent="0.35">
      <c r="B43" s="2"/>
    </row>
    <row r="44" spans="2:2" ht="20.149999999999999" customHeight="1" x14ac:dyDescent="0.35">
      <c r="B44" s="2"/>
    </row>
    <row r="45" spans="2:2" ht="20.149999999999999" customHeight="1" x14ac:dyDescent="0.35">
      <c r="B45" s="2"/>
    </row>
    <row r="46" spans="2:2" ht="20.149999999999999" customHeight="1" x14ac:dyDescent="0.35">
      <c r="B46" s="2"/>
    </row>
  </sheetData>
  <mergeCells count="11">
    <mergeCell ref="B5:B7"/>
    <mergeCell ref="C5:C7"/>
    <mergeCell ref="D5:D7"/>
    <mergeCell ref="L5:L7"/>
    <mergeCell ref="E5:E7"/>
    <mergeCell ref="F5:F7"/>
    <mergeCell ref="G5:G6"/>
    <mergeCell ref="H5:H6"/>
    <mergeCell ref="I5:I6"/>
    <mergeCell ref="J5:J6"/>
    <mergeCell ref="K5:K6"/>
  </mergeCells>
  <phoneticPr fontId="8" type="noConversion"/>
  <pageMargins left="0.25" right="0.25" top="0.75" bottom="0.75" header="0.3" footer="0.3"/>
  <pageSetup paperSize="3" scale="57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CX60"/>
  <sheetViews>
    <sheetView topLeftCell="A31" zoomScale="56" zoomScaleNormal="70" workbookViewId="0">
      <pane xSplit="10" topLeftCell="K1" activePane="topRight" state="frozen"/>
      <selection pane="topRight" activeCell="M46" sqref="M46"/>
    </sheetView>
  </sheetViews>
  <sheetFormatPr baseColWidth="10" defaultColWidth="10.5" defaultRowHeight="20.149999999999999" customHeight="1" x14ac:dyDescent="0.35"/>
  <cols>
    <col min="1" max="1" width="7.5" style="11" customWidth="1"/>
    <col min="2" max="2" width="34" style="11" customWidth="1"/>
    <col min="3" max="3" width="20.5" style="11" customWidth="1"/>
    <col min="4" max="4" width="9" style="140" bestFit="1" customWidth="1"/>
    <col min="5" max="5" width="13.5" style="140" customWidth="1"/>
    <col min="6" max="6" width="19.08203125" style="140" customWidth="1"/>
    <col min="7" max="8" width="19.08203125" style="11" customWidth="1"/>
    <col min="9" max="9" width="14.08203125" style="140" customWidth="1"/>
    <col min="10" max="10" width="19.58203125" style="140" bestFit="1" customWidth="1"/>
    <col min="11" max="11" width="2.33203125" style="140" customWidth="1"/>
    <col min="12" max="12" width="14.08203125" style="11" bestFit="1" customWidth="1"/>
    <col min="13" max="13" width="15.5" style="11" customWidth="1"/>
    <col min="14" max="17" width="14" style="11" customWidth="1"/>
    <col min="18" max="19" width="11.5" style="11" customWidth="1"/>
    <col min="20" max="20" width="12.5" style="11" customWidth="1"/>
    <col min="21" max="21" width="11.5" style="11" customWidth="1"/>
    <col min="22" max="22" width="11.83203125" style="11" bestFit="1" customWidth="1"/>
    <col min="23" max="23" width="11.33203125" style="11" customWidth="1"/>
    <col min="24" max="25" width="11.5" style="11" bestFit="1" customWidth="1"/>
    <col min="26" max="16384" width="10.5" style="11"/>
  </cols>
  <sheetData>
    <row r="1" spans="1:102" s="2" customFormat="1" ht="20.149999999999999" customHeight="1" x14ac:dyDescent="0.35">
      <c r="A1" s="32"/>
      <c r="B1" s="32"/>
      <c r="C1" s="33"/>
      <c r="D1" s="33"/>
      <c r="E1" s="33"/>
      <c r="F1" s="33"/>
      <c r="G1" s="33"/>
      <c r="H1" s="33"/>
      <c r="I1" s="33"/>
      <c r="J1" s="33"/>
      <c r="K1" s="33"/>
      <c r="L1" s="33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</row>
    <row r="2" spans="1:102" s="2" customFormat="1" ht="20.149999999999999" customHeight="1" x14ac:dyDescent="0.35">
      <c r="A2" s="32"/>
      <c r="B2" s="106" t="s">
        <v>12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</row>
    <row r="3" spans="1:102" s="2" customFormat="1" ht="20.149999999999999" customHeight="1" x14ac:dyDescent="0.35">
      <c r="A3" s="32"/>
      <c r="B3" s="32"/>
      <c r="C3" s="33"/>
      <c r="D3" s="33"/>
      <c r="E3" s="33"/>
      <c r="F3" s="33"/>
      <c r="G3" s="33"/>
      <c r="H3" s="33"/>
      <c r="I3" s="33"/>
      <c r="J3" s="33"/>
      <c r="K3" s="33"/>
      <c r="L3" s="33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</row>
    <row r="4" spans="1:102" s="2" customFormat="1" ht="20.149999999999999" customHeight="1" x14ac:dyDescent="0.35">
      <c r="A4" s="137"/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249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</row>
    <row r="5" spans="1:102" ht="26.15" customHeight="1" x14ac:dyDescent="0.35">
      <c r="A5" s="137"/>
      <c r="B5" s="458" t="s">
        <v>285</v>
      </c>
      <c r="C5" s="458" t="s">
        <v>266</v>
      </c>
      <c r="D5" s="458" t="s">
        <v>28</v>
      </c>
      <c r="E5" s="458" t="s">
        <v>264</v>
      </c>
      <c r="F5" s="472" t="s">
        <v>430</v>
      </c>
      <c r="G5" s="472" t="s">
        <v>355</v>
      </c>
      <c r="H5" s="474" t="s">
        <v>335</v>
      </c>
      <c r="I5" s="474" t="s">
        <v>356</v>
      </c>
      <c r="J5" s="476" t="s">
        <v>265</v>
      </c>
      <c r="K5" s="11"/>
      <c r="L5" s="390" t="s">
        <v>84</v>
      </c>
      <c r="M5" s="390" t="s">
        <v>84</v>
      </c>
      <c r="N5" s="391" t="s">
        <v>66</v>
      </c>
      <c r="O5" s="390" t="s">
        <v>67</v>
      </c>
      <c r="P5" s="390" t="s">
        <v>68</v>
      </c>
      <c r="Q5" s="390" t="s">
        <v>69</v>
      </c>
      <c r="R5" s="390" t="s">
        <v>70</v>
      </c>
      <c r="S5" s="390" t="s">
        <v>71</v>
      </c>
      <c r="T5" s="390" t="s">
        <v>72</v>
      </c>
      <c r="U5" s="390" t="s">
        <v>73</v>
      </c>
      <c r="V5" s="390" t="s">
        <v>74</v>
      </c>
      <c r="W5" s="390" t="s">
        <v>75</v>
      </c>
      <c r="X5" s="283" t="s">
        <v>76</v>
      </c>
      <c r="Y5" s="283" t="s">
        <v>77</v>
      </c>
      <c r="Z5" s="2"/>
      <c r="AA5" s="2"/>
    </row>
    <row r="6" spans="1:102" ht="26.15" customHeight="1" x14ac:dyDescent="0.35">
      <c r="A6" s="137"/>
      <c r="B6" s="458"/>
      <c r="C6" s="458"/>
      <c r="D6" s="458"/>
      <c r="E6" s="458"/>
      <c r="F6" s="473"/>
      <c r="G6" s="473"/>
      <c r="H6" s="475"/>
      <c r="I6" s="475"/>
      <c r="J6" s="477"/>
      <c r="K6" s="11"/>
      <c r="L6" s="392"/>
      <c r="M6" s="392"/>
      <c r="N6" s="392" t="s">
        <v>436</v>
      </c>
      <c r="O6" s="392" t="s">
        <v>437</v>
      </c>
      <c r="P6" s="392" t="s">
        <v>438</v>
      </c>
      <c r="Q6" s="392" t="s">
        <v>439</v>
      </c>
      <c r="R6" s="392" t="s">
        <v>392</v>
      </c>
      <c r="S6" s="392" t="s">
        <v>393</v>
      </c>
      <c r="T6" s="392" t="s">
        <v>394</v>
      </c>
      <c r="U6" s="392" t="s">
        <v>395</v>
      </c>
      <c r="V6" s="392" t="s">
        <v>396</v>
      </c>
      <c r="W6" s="392" t="s">
        <v>397</v>
      </c>
      <c r="X6" s="285" t="s">
        <v>391</v>
      </c>
      <c r="Y6" s="285" t="s">
        <v>392</v>
      </c>
      <c r="Z6" s="2"/>
      <c r="AA6" s="2"/>
    </row>
    <row r="7" spans="1:102" ht="20.149999999999999" customHeight="1" x14ac:dyDescent="0.35">
      <c r="A7" s="137"/>
      <c r="B7" s="458"/>
      <c r="C7" s="458"/>
      <c r="D7" s="458"/>
      <c r="E7" s="458"/>
      <c r="F7" s="369" t="s">
        <v>259</v>
      </c>
      <c r="G7" s="370" t="s">
        <v>259</v>
      </c>
      <c r="H7" s="371" t="s">
        <v>260</v>
      </c>
      <c r="I7" s="372" t="s">
        <v>260</v>
      </c>
      <c r="J7" s="373" t="s">
        <v>260</v>
      </c>
      <c r="K7" s="11"/>
      <c r="L7" s="393"/>
      <c r="M7" s="393"/>
      <c r="N7" s="393">
        <v>31</v>
      </c>
      <c r="O7" s="393">
        <v>29</v>
      </c>
      <c r="P7" s="393">
        <v>31</v>
      </c>
      <c r="Q7" s="393">
        <v>30</v>
      </c>
      <c r="R7" s="393">
        <v>30</v>
      </c>
      <c r="S7" s="393">
        <v>31</v>
      </c>
      <c r="T7" s="393">
        <v>31</v>
      </c>
      <c r="U7" s="393">
        <v>31</v>
      </c>
      <c r="V7" s="393">
        <v>30</v>
      </c>
      <c r="W7" s="393">
        <v>31</v>
      </c>
      <c r="X7" s="286">
        <v>31</v>
      </c>
      <c r="Y7" s="286">
        <v>31</v>
      </c>
      <c r="Z7" s="2"/>
      <c r="AA7" s="2"/>
    </row>
    <row r="8" spans="1:102" ht="20.149999999999999" customHeight="1" x14ac:dyDescent="0.35">
      <c r="A8" s="137"/>
      <c r="B8" s="101" t="s">
        <v>174</v>
      </c>
      <c r="C8" s="107" t="s">
        <v>316</v>
      </c>
      <c r="D8" s="138"/>
      <c r="E8" s="39">
        <v>0</v>
      </c>
      <c r="F8" s="42">
        <v>45</v>
      </c>
      <c r="G8" s="42">
        <f>E8*F8</f>
        <v>0</v>
      </c>
      <c r="H8" s="42">
        <f>F8*$C$50</f>
        <v>813.15</v>
      </c>
      <c r="I8" s="42">
        <f>(E8*H8)</f>
        <v>0</v>
      </c>
      <c r="J8" s="42">
        <f>I8*1.16</f>
        <v>0</v>
      </c>
      <c r="L8" s="139">
        <v>0</v>
      </c>
      <c r="M8" s="139">
        <f>$I$8</f>
        <v>0</v>
      </c>
      <c r="N8" s="139">
        <f t="shared" ref="N8:Y8" si="0">$I$8</f>
        <v>0</v>
      </c>
      <c r="O8" s="139">
        <f t="shared" si="0"/>
        <v>0</v>
      </c>
      <c r="P8" s="139">
        <f t="shared" si="0"/>
        <v>0</v>
      </c>
      <c r="Q8" s="139">
        <f t="shared" si="0"/>
        <v>0</v>
      </c>
      <c r="R8" s="139">
        <f t="shared" si="0"/>
        <v>0</v>
      </c>
      <c r="S8" s="139">
        <f t="shared" si="0"/>
        <v>0</v>
      </c>
      <c r="T8" s="139">
        <f t="shared" si="0"/>
        <v>0</v>
      </c>
      <c r="U8" s="139">
        <f t="shared" si="0"/>
        <v>0</v>
      </c>
      <c r="V8" s="139">
        <f t="shared" si="0"/>
        <v>0</v>
      </c>
      <c r="W8" s="139">
        <f t="shared" si="0"/>
        <v>0</v>
      </c>
      <c r="X8" s="139">
        <f t="shared" si="0"/>
        <v>0</v>
      </c>
      <c r="Y8" s="139">
        <f t="shared" si="0"/>
        <v>0</v>
      </c>
    </row>
    <row r="9" spans="1:102" ht="20.149999999999999" customHeight="1" x14ac:dyDescent="0.35">
      <c r="A9" s="137"/>
      <c r="B9" s="101" t="s">
        <v>174</v>
      </c>
      <c r="C9" s="107" t="s">
        <v>320</v>
      </c>
      <c r="D9" s="138"/>
      <c r="E9" s="39">
        <v>0</v>
      </c>
      <c r="F9" s="42">
        <v>45</v>
      </c>
      <c r="G9" s="42">
        <f>E9*F9</f>
        <v>0</v>
      </c>
      <c r="H9" s="42">
        <f>F9*$C$50</f>
        <v>813.15</v>
      </c>
      <c r="I9" s="42">
        <f>(E9*H9)</f>
        <v>0</v>
      </c>
      <c r="J9" s="42">
        <f>I9*1.16</f>
        <v>0</v>
      </c>
      <c r="L9" s="139">
        <v>0</v>
      </c>
      <c r="M9" s="139">
        <f>$I$9</f>
        <v>0</v>
      </c>
      <c r="N9" s="139">
        <f t="shared" ref="N9:Y9" si="1">$I$9</f>
        <v>0</v>
      </c>
      <c r="O9" s="139">
        <f t="shared" si="1"/>
        <v>0</v>
      </c>
      <c r="P9" s="139">
        <f t="shared" si="1"/>
        <v>0</v>
      </c>
      <c r="Q9" s="139">
        <f t="shared" si="1"/>
        <v>0</v>
      </c>
      <c r="R9" s="139">
        <f t="shared" si="1"/>
        <v>0</v>
      </c>
      <c r="S9" s="139">
        <f t="shared" si="1"/>
        <v>0</v>
      </c>
      <c r="T9" s="139">
        <f t="shared" si="1"/>
        <v>0</v>
      </c>
      <c r="U9" s="139">
        <f t="shared" si="1"/>
        <v>0</v>
      </c>
      <c r="V9" s="139">
        <f t="shared" si="1"/>
        <v>0</v>
      </c>
      <c r="W9" s="139">
        <f t="shared" si="1"/>
        <v>0</v>
      </c>
      <c r="X9" s="139">
        <f t="shared" si="1"/>
        <v>0</v>
      </c>
      <c r="Y9" s="139">
        <f t="shared" si="1"/>
        <v>0</v>
      </c>
    </row>
    <row r="10" spans="1:102" ht="20.149999999999999" customHeight="1" x14ac:dyDescent="0.35">
      <c r="A10" s="137"/>
      <c r="B10" s="101" t="s">
        <v>174</v>
      </c>
      <c r="C10" s="107" t="s">
        <v>318</v>
      </c>
      <c r="D10" s="138"/>
      <c r="E10" s="39">
        <v>1</v>
      </c>
      <c r="F10" s="42">
        <v>45</v>
      </c>
      <c r="G10" s="42">
        <f>E10*F10</f>
        <v>45</v>
      </c>
      <c r="H10" s="42">
        <f>F10*$C$50</f>
        <v>813.15</v>
      </c>
      <c r="I10" s="42">
        <f>(E10*H10)</f>
        <v>813.15</v>
      </c>
      <c r="J10" s="42">
        <f>I10*1.16</f>
        <v>943.25399999999991</v>
      </c>
      <c r="L10" s="139">
        <v>0</v>
      </c>
      <c r="M10" s="139">
        <v>0</v>
      </c>
      <c r="N10" s="139">
        <v>0</v>
      </c>
      <c r="O10" s="139">
        <v>0</v>
      </c>
      <c r="P10" s="139">
        <v>0</v>
      </c>
      <c r="Q10" s="139">
        <v>0</v>
      </c>
      <c r="R10" s="139">
        <v>0</v>
      </c>
      <c r="S10" s="139">
        <v>0</v>
      </c>
      <c r="T10" s="139">
        <v>0</v>
      </c>
      <c r="U10" s="139">
        <v>0</v>
      </c>
      <c r="V10" s="139">
        <v>0</v>
      </c>
      <c r="W10" s="139">
        <v>0</v>
      </c>
      <c r="X10" s="139">
        <v>0</v>
      </c>
      <c r="Y10" s="139">
        <v>0</v>
      </c>
    </row>
    <row r="11" spans="1:102" ht="20.149999999999999" customHeight="1" x14ac:dyDescent="0.35">
      <c r="A11" s="137"/>
      <c r="B11" s="141"/>
      <c r="C11" s="117"/>
      <c r="D11" s="142"/>
      <c r="E11" s="143"/>
      <c r="F11" s="144"/>
      <c r="G11" s="145"/>
      <c r="H11" s="145"/>
      <c r="I11" s="145"/>
      <c r="J11" s="146"/>
      <c r="L11" s="147"/>
      <c r="M11" s="147"/>
      <c r="N11" s="147"/>
      <c r="O11" s="147"/>
      <c r="P11" s="147"/>
      <c r="Q11" s="147"/>
      <c r="R11" s="147"/>
      <c r="S11" s="147"/>
      <c r="T11" s="147"/>
      <c r="U11" s="147"/>
      <c r="V11" s="147"/>
      <c r="W11" s="147"/>
      <c r="X11" s="147"/>
      <c r="Y11" s="147"/>
    </row>
    <row r="12" spans="1:102" ht="20.149999999999999" customHeight="1" x14ac:dyDescent="0.35">
      <c r="A12" s="137"/>
      <c r="B12" s="148"/>
      <c r="C12" s="117"/>
      <c r="D12" s="149"/>
      <c r="E12" s="150"/>
      <c r="F12" s="151"/>
      <c r="G12" s="152"/>
      <c r="H12" s="152"/>
      <c r="I12" s="152"/>
      <c r="J12" s="102" t="s">
        <v>262</v>
      </c>
      <c r="K12" s="11"/>
      <c r="L12" s="51">
        <f t="shared" ref="L12:Y12" si="2">SUM(L8:L10)</f>
        <v>0</v>
      </c>
      <c r="M12" s="51">
        <f t="shared" si="2"/>
        <v>0</v>
      </c>
      <c r="N12" s="51">
        <f t="shared" si="2"/>
        <v>0</v>
      </c>
      <c r="O12" s="51">
        <f t="shared" si="2"/>
        <v>0</v>
      </c>
      <c r="P12" s="51">
        <f t="shared" si="2"/>
        <v>0</v>
      </c>
      <c r="Q12" s="51">
        <f t="shared" si="2"/>
        <v>0</v>
      </c>
      <c r="R12" s="51">
        <f t="shared" si="2"/>
        <v>0</v>
      </c>
      <c r="S12" s="51">
        <f t="shared" si="2"/>
        <v>0</v>
      </c>
      <c r="T12" s="51">
        <f t="shared" si="2"/>
        <v>0</v>
      </c>
      <c r="U12" s="51">
        <f t="shared" si="2"/>
        <v>0</v>
      </c>
      <c r="V12" s="51">
        <f t="shared" si="2"/>
        <v>0</v>
      </c>
      <c r="W12" s="51">
        <f t="shared" si="2"/>
        <v>0</v>
      </c>
      <c r="X12" s="51">
        <f t="shared" si="2"/>
        <v>0</v>
      </c>
      <c r="Y12" s="51">
        <f t="shared" si="2"/>
        <v>0</v>
      </c>
    </row>
    <row r="13" spans="1:102" ht="20.149999999999999" customHeight="1" x14ac:dyDescent="0.35">
      <c r="A13" s="137"/>
      <c r="B13" s="148"/>
      <c r="C13" s="117"/>
      <c r="D13" s="149"/>
      <c r="E13" s="150"/>
      <c r="F13" s="151"/>
      <c r="G13" s="152"/>
      <c r="H13" s="152"/>
      <c r="I13" s="152"/>
      <c r="J13" s="103" t="s">
        <v>263</v>
      </c>
      <c r="K13" s="11"/>
      <c r="L13" s="104">
        <f t="shared" ref="L13:W13" si="3">L12/$C$50</f>
        <v>0</v>
      </c>
      <c r="M13" s="104">
        <f t="shared" si="3"/>
        <v>0</v>
      </c>
      <c r="N13" s="104">
        <f t="shared" si="3"/>
        <v>0</v>
      </c>
      <c r="O13" s="104">
        <f t="shared" si="3"/>
        <v>0</v>
      </c>
      <c r="P13" s="104">
        <f t="shared" si="3"/>
        <v>0</v>
      </c>
      <c r="Q13" s="104">
        <f t="shared" si="3"/>
        <v>0</v>
      </c>
      <c r="R13" s="104">
        <f t="shared" si="3"/>
        <v>0</v>
      </c>
      <c r="S13" s="104">
        <f t="shared" si="3"/>
        <v>0</v>
      </c>
      <c r="T13" s="104">
        <f t="shared" si="3"/>
        <v>0</v>
      </c>
      <c r="U13" s="104">
        <f t="shared" si="3"/>
        <v>0</v>
      </c>
      <c r="V13" s="104">
        <f t="shared" si="3"/>
        <v>0</v>
      </c>
      <c r="W13" s="104">
        <f t="shared" si="3"/>
        <v>0</v>
      </c>
      <c r="X13" s="104">
        <f>X12/$C$50</f>
        <v>0</v>
      </c>
      <c r="Y13" s="104">
        <f>Y12/$C$50</f>
        <v>0</v>
      </c>
    </row>
    <row r="14" spans="1:102" ht="20.149999999999999" customHeight="1" x14ac:dyDescent="0.35">
      <c r="A14" s="137"/>
      <c r="B14" s="148"/>
      <c r="C14" s="117"/>
      <c r="D14" s="149"/>
      <c r="E14" s="150"/>
      <c r="F14" s="151"/>
      <c r="G14" s="152"/>
      <c r="H14" s="152"/>
      <c r="I14" s="152"/>
      <c r="J14" s="102" t="s">
        <v>284</v>
      </c>
      <c r="K14" s="11"/>
      <c r="L14" s="51">
        <f>SUM(L12:Y12)</f>
        <v>0</v>
      </c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</row>
    <row r="15" spans="1:102" ht="20.149999999999999" customHeight="1" x14ac:dyDescent="0.35">
      <c r="A15" s="137"/>
      <c r="B15" s="148"/>
      <c r="C15" s="117"/>
      <c r="D15" s="149"/>
      <c r="E15" s="150"/>
      <c r="F15" s="151"/>
      <c r="G15" s="152"/>
      <c r="H15" s="152"/>
      <c r="I15" s="152"/>
      <c r="J15" s="103" t="s">
        <v>261</v>
      </c>
      <c r="K15" s="11"/>
      <c r="L15" s="105">
        <f>L14/$C$50</f>
        <v>0</v>
      </c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</row>
    <row r="16" spans="1:102" ht="20.149999999999999" customHeight="1" x14ac:dyDescent="0.35">
      <c r="A16" s="137"/>
      <c r="B16" s="153"/>
      <c r="C16" s="117"/>
      <c r="D16" s="154"/>
      <c r="E16" s="155"/>
      <c r="F16" s="156"/>
      <c r="G16" s="157"/>
      <c r="H16" s="157"/>
      <c r="I16" s="157"/>
      <c r="J16" s="146"/>
      <c r="L16" s="147"/>
      <c r="M16" s="157"/>
      <c r="N16" s="157"/>
      <c r="O16" s="157"/>
      <c r="P16" s="157"/>
      <c r="Q16" s="157"/>
      <c r="R16" s="157"/>
      <c r="S16" s="157"/>
      <c r="T16" s="157"/>
      <c r="U16" s="157"/>
      <c r="V16" s="157"/>
      <c r="W16" s="157"/>
      <c r="X16" s="157"/>
      <c r="Y16" s="157"/>
    </row>
    <row r="17" spans="1:25" ht="20.149999999999999" customHeight="1" x14ac:dyDescent="0.35">
      <c r="A17" s="137"/>
      <c r="B17" s="101" t="s">
        <v>175</v>
      </c>
      <c r="C17" s="107"/>
      <c r="D17" s="138"/>
      <c r="E17" s="39">
        <v>0</v>
      </c>
      <c r="F17" s="42">
        <v>28</v>
      </c>
      <c r="G17" s="42">
        <f>E17*F17</f>
        <v>0</v>
      </c>
      <c r="H17" s="42">
        <f>F17*$C$50</f>
        <v>505.96000000000004</v>
      </c>
      <c r="I17" s="42">
        <f>(E17*H17)</f>
        <v>0</v>
      </c>
      <c r="J17" s="42">
        <f>I17*1.16</f>
        <v>0</v>
      </c>
      <c r="L17" s="139">
        <v>0</v>
      </c>
      <c r="M17" s="139">
        <f t="shared" ref="M17:X17" si="4">L17</f>
        <v>0</v>
      </c>
      <c r="N17" s="139">
        <f>I17</f>
        <v>0</v>
      </c>
      <c r="O17" s="139">
        <f t="shared" si="4"/>
        <v>0</v>
      </c>
      <c r="P17" s="139">
        <v>0</v>
      </c>
      <c r="Q17" s="139">
        <f t="shared" si="4"/>
        <v>0</v>
      </c>
      <c r="R17" s="139">
        <f t="shared" si="4"/>
        <v>0</v>
      </c>
      <c r="S17" s="139">
        <f t="shared" si="4"/>
        <v>0</v>
      </c>
      <c r="T17" s="139">
        <f t="shared" si="4"/>
        <v>0</v>
      </c>
      <c r="U17" s="139">
        <f t="shared" si="4"/>
        <v>0</v>
      </c>
      <c r="V17" s="139">
        <f t="shared" si="4"/>
        <v>0</v>
      </c>
      <c r="W17" s="139">
        <f t="shared" si="4"/>
        <v>0</v>
      </c>
      <c r="X17" s="139">
        <f t="shared" si="4"/>
        <v>0</v>
      </c>
      <c r="Y17" s="139">
        <f>I17</f>
        <v>0</v>
      </c>
    </row>
    <row r="18" spans="1:25" ht="20.149999999999999" customHeight="1" x14ac:dyDescent="0.35">
      <c r="A18" s="137"/>
      <c r="B18" s="101" t="s">
        <v>175</v>
      </c>
      <c r="C18" s="107"/>
      <c r="D18" s="138"/>
      <c r="E18" s="39">
        <v>0</v>
      </c>
      <c r="F18" s="42">
        <v>0</v>
      </c>
      <c r="G18" s="42">
        <f>E18*F18</f>
        <v>0</v>
      </c>
      <c r="H18" s="42">
        <f>F18*$C$50</f>
        <v>0</v>
      </c>
      <c r="I18" s="42">
        <f>(E18*H18)</f>
        <v>0</v>
      </c>
      <c r="J18" s="42">
        <f>I18*1.16</f>
        <v>0</v>
      </c>
      <c r="L18" s="139">
        <f>I18</f>
        <v>0</v>
      </c>
      <c r="M18" s="139">
        <f t="shared" ref="M18:Y18" si="5">L18</f>
        <v>0</v>
      </c>
      <c r="N18" s="139">
        <f t="shared" si="5"/>
        <v>0</v>
      </c>
      <c r="O18" s="139">
        <f t="shared" si="5"/>
        <v>0</v>
      </c>
      <c r="P18" s="139">
        <f t="shared" si="5"/>
        <v>0</v>
      </c>
      <c r="Q18" s="139">
        <f t="shared" si="5"/>
        <v>0</v>
      </c>
      <c r="R18" s="139">
        <f t="shared" si="5"/>
        <v>0</v>
      </c>
      <c r="S18" s="139">
        <f t="shared" si="5"/>
        <v>0</v>
      </c>
      <c r="T18" s="139">
        <f t="shared" si="5"/>
        <v>0</v>
      </c>
      <c r="U18" s="139">
        <f t="shared" si="5"/>
        <v>0</v>
      </c>
      <c r="V18" s="139">
        <f t="shared" si="5"/>
        <v>0</v>
      </c>
      <c r="W18" s="139">
        <f t="shared" si="5"/>
        <v>0</v>
      </c>
      <c r="X18" s="139">
        <f t="shared" si="5"/>
        <v>0</v>
      </c>
      <c r="Y18" s="139">
        <f t="shared" si="5"/>
        <v>0</v>
      </c>
    </row>
    <row r="19" spans="1:25" ht="20.149999999999999" customHeight="1" x14ac:dyDescent="0.35">
      <c r="A19" s="137"/>
      <c r="B19" s="101" t="s">
        <v>175</v>
      </c>
      <c r="C19" s="107"/>
      <c r="D19" s="138"/>
      <c r="E19" s="39">
        <v>0</v>
      </c>
      <c r="F19" s="42">
        <v>0</v>
      </c>
      <c r="G19" s="42">
        <f>E19*F19</f>
        <v>0</v>
      </c>
      <c r="H19" s="42">
        <f>F19*$C$50</f>
        <v>0</v>
      </c>
      <c r="I19" s="42">
        <f>(E19*H19)</f>
        <v>0</v>
      </c>
      <c r="J19" s="42">
        <f>I19*1.16</f>
        <v>0</v>
      </c>
      <c r="L19" s="139">
        <f>I19</f>
        <v>0</v>
      </c>
      <c r="M19" s="139">
        <f t="shared" ref="M19:Y19" si="6">L19</f>
        <v>0</v>
      </c>
      <c r="N19" s="139">
        <f t="shared" si="6"/>
        <v>0</v>
      </c>
      <c r="O19" s="139">
        <f t="shared" si="6"/>
        <v>0</v>
      </c>
      <c r="P19" s="139">
        <f t="shared" si="6"/>
        <v>0</v>
      </c>
      <c r="Q19" s="139">
        <f t="shared" si="6"/>
        <v>0</v>
      </c>
      <c r="R19" s="139">
        <f t="shared" si="6"/>
        <v>0</v>
      </c>
      <c r="S19" s="139">
        <f t="shared" si="6"/>
        <v>0</v>
      </c>
      <c r="T19" s="139">
        <f t="shared" si="6"/>
        <v>0</v>
      </c>
      <c r="U19" s="139">
        <f t="shared" si="6"/>
        <v>0</v>
      </c>
      <c r="V19" s="139">
        <f t="shared" si="6"/>
        <v>0</v>
      </c>
      <c r="W19" s="139">
        <f t="shared" si="6"/>
        <v>0</v>
      </c>
      <c r="X19" s="139">
        <f t="shared" si="6"/>
        <v>0</v>
      </c>
      <c r="Y19" s="139">
        <f t="shared" si="6"/>
        <v>0</v>
      </c>
    </row>
    <row r="20" spans="1:25" ht="20.149999999999999" customHeight="1" x14ac:dyDescent="0.35">
      <c r="A20" s="137"/>
      <c r="B20" s="117"/>
      <c r="C20" s="117"/>
      <c r="G20" s="140"/>
      <c r="H20" s="140"/>
      <c r="I20" s="158"/>
      <c r="J20" s="159"/>
      <c r="L20" s="158"/>
      <c r="M20" s="158"/>
      <c r="N20" s="158"/>
      <c r="O20" s="158"/>
      <c r="P20" s="158"/>
      <c r="Q20" s="158"/>
      <c r="R20" s="158"/>
      <c r="S20" s="158"/>
      <c r="T20" s="158"/>
      <c r="U20" s="158"/>
      <c r="V20" s="158"/>
      <c r="W20" s="158"/>
      <c r="X20" s="158"/>
      <c r="Y20" s="158"/>
    </row>
    <row r="21" spans="1:25" ht="20.149999999999999" customHeight="1" x14ac:dyDescent="0.35">
      <c r="A21" s="137"/>
      <c r="D21" s="11"/>
      <c r="E21" s="11"/>
      <c r="F21" s="11"/>
      <c r="I21" s="11"/>
      <c r="J21" s="102" t="s">
        <v>262</v>
      </c>
      <c r="K21" s="11"/>
      <c r="L21" s="51">
        <f>SUM(L17:L19)</f>
        <v>0</v>
      </c>
      <c r="M21" s="51">
        <f t="shared" ref="M21:W21" si="7">SUM(M17:M19)</f>
        <v>0</v>
      </c>
      <c r="N21" s="51">
        <f t="shared" si="7"/>
        <v>0</v>
      </c>
      <c r="O21" s="51">
        <f t="shared" si="7"/>
        <v>0</v>
      </c>
      <c r="P21" s="51">
        <f t="shared" si="7"/>
        <v>0</v>
      </c>
      <c r="Q21" s="51">
        <f t="shared" si="7"/>
        <v>0</v>
      </c>
      <c r="R21" s="51">
        <f t="shared" si="7"/>
        <v>0</v>
      </c>
      <c r="S21" s="51">
        <f t="shared" si="7"/>
        <v>0</v>
      </c>
      <c r="T21" s="51">
        <f t="shared" si="7"/>
        <v>0</v>
      </c>
      <c r="U21" s="51">
        <f t="shared" si="7"/>
        <v>0</v>
      </c>
      <c r="V21" s="51">
        <f t="shared" si="7"/>
        <v>0</v>
      </c>
      <c r="W21" s="51">
        <f t="shared" si="7"/>
        <v>0</v>
      </c>
      <c r="X21" s="51">
        <f>SUM(X17:X19)</f>
        <v>0</v>
      </c>
      <c r="Y21" s="51">
        <f>SUM(Y17:Y19)</f>
        <v>0</v>
      </c>
    </row>
    <row r="22" spans="1:25" ht="20.149999999999999" customHeight="1" x14ac:dyDescent="0.35">
      <c r="A22" s="137"/>
      <c r="D22" s="11"/>
      <c r="E22" s="11"/>
      <c r="F22" s="11"/>
      <c r="I22" s="11"/>
      <c r="J22" s="103" t="s">
        <v>263</v>
      </c>
      <c r="K22" s="11"/>
      <c r="L22" s="104">
        <f t="shared" ref="L22:W22" si="8">L21/$C$50</f>
        <v>0</v>
      </c>
      <c r="M22" s="104">
        <f t="shared" si="8"/>
        <v>0</v>
      </c>
      <c r="N22" s="104">
        <f t="shared" si="8"/>
        <v>0</v>
      </c>
      <c r="O22" s="104">
        <f t="shared" si="8"/>
        <v>0</v>
      </c>
      <c r="P22" s="104">
        <f t="shared" si="8"/>
        <v>0</v>
      </c>
      <c r="Q22" s="104">
        <f t="shared" si="8"/>
        <v>0</v>
      </c>
      <c r="R22" s="104">
        <f t="shared" si="8"/>
        <v>0</v>
      </c>
      <c r="S22" s="104">
        <f t="shared" si="8"/>
        <v>0</v>
      </c>
      <c r="T22" s="104">
        <f t="shared" si="8"/>
        <v>0</v>
      </c>
      <c r="U22" s="104">
        <f t="shared" si="8"/>
        <v>0</v>
      </c>
      <c r="V22" s="104">
        <f t="shared" si="8"/>
        <v>0</v>
      </c>
      <c r="W22" s="104">
        <f t="shared" si="8"/>
        <v>0</v>
      </c>
      <c r="X22" s="104">
        <f>X21/$C$50</f>
        <v>0</v>
      </c>
      <c r="Y22" s="104">
        <f>Y21/$C$50</f>
        <v>0</v>
      </c>
    </row>
    <row r="23" spans="1:25" ht="20.149999999999999" customHeight="1" x14ac:dyDescent="0.35">
      <c r="A23" s="137"/>
      <c r="D23" s="11"/>
      <c r="E23" s="11"/>
      <c r="F23" s="11"/>
      <c r="I23" s="11"/>
      <c r="J23" s="102" t="s">
        <v>284</v>
      </c>
      <c r="K23" s="11"/>
      <c r="L23" s="51">
        <f>SUM(L21:Y21)</f>
        <v>0</v>
      </c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</row>
    <row r="24" spans="1:25" ht="20.149999999999999" customHeight="1" x14ac:dyDescent="0.35">
      <c r="A24" s="137"/>
      <c r="D24" s="11"/>
      <c r="E24" s="11"/>
      <c r="F24" s="11"/>
      <c r="I24" s="11"/>
      <c r="J24" s="103" t="s">
        <v>261</v>
      </c>
      <c r="K24" s="11"/>
      <c r="L24" s="105">
        <f>L23/$C$50</f>
        <v>0</v>
      </c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</row>
    <row r="25" spans="1:25" ht="20.149999999999999" customHeight="1" x14ac:dyDescent="0.35">
      <c r="A25" s="137"/>
      <c r="D25" s="11"/>
      <c r="E25" s="11"/>
      <c r="F25" s="11"/>
      <c r="I25" s="11"/>
      <c r="J25" s="11"/>
      <c r="K25" s="11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</row>
    <row r="26" spans="1:25" ht="20.149999999999999" customHeight="1" x14ac:dyDescent="0.35">
      <c r="A26" s="137"/>
      <c r="B26" s="101" t="s">
        <v>176</v>
      </c>
      <c r="C26" s="399" t="s">
        <v>432</v>
      </c>
      <c r="D26" s="138"/>
      <c r="E26" s="39">
        <v>0</v>
      </c>
      <c r="F26" s="42">
        <v>500</v>
      </c>
      <c r="G26" s="42">
        <f>E26*F26</f>
        <v>0</v>
      </c>
      <c r="H26" s="42">
        <f>F26*$C$50</f>
        <v>9035</v>
      </c>
      <c r="I26" s="42">
        <f>(E26*H26)</f>
        <v>0</v>
      </c>
      <c r="J26" s="42">
        <f>I26*1.16</f>
        <v>0</v>
      </c>
      <c r="L26" s="139">
        <v>0</v>
      </c>
      <c r="M26" s="139">
        <f>$I$26</f>
        <v>0</v>
      </c>
      <c r="N26" s="139">
        <f t="shared" ref="N26:Y26" si="9">$I$26</f>
        <v>0</v>
      </c>
      <c r="O26" s="139">
        <f t="shared" si="9"/>
        <v>0</v>
      </c>
      <c r="P26" s="139">
        <f t="shared" si="9"/>
        <v>0</v>
      </c>
      <c r="Q26" s="139">
        <f t="shared" si="9"/>
        <v>0</v>
      </c>
      <c r="R26" s="139">
        <f t="shared" si="9"/>
        <v>0</v>
      </c>
      <c r="S26" s="139">
        <f t="shared" si="9"/>
        <v>0</v>
      </c>
      <c r="T26" s="139">
        <f t="shared" si="9"/>
        <v>0</v>
      </c>
      <c r="U26" s="139">
        <f t="shared" si="9"/>
        <v>0</v>
      </c>
      <c r="V26" s="139">
        <f t="shared" si="9"/>
        <v>0</v>
      </c>
      <c r="W26" s="139">
        <f t="shared" si="9"/>
        <v>0</v>
      </c>
      <c r="X26" s="139">
        <f t="shared" si="9"/>
        <v>0</v>
      </c>
      <c r="Y26" s="139">
        <f t="shared" si="9"/>
        <v>0</v>
      </c>
    </row>
    <row r="27" spans="1:25" ht="20.149999999999999" customHeight="1" x14ac:dyDescent="0.35">
      <c r="A27" s="137"/>
      <c r="B27" s="101" t="s">
        <v>176</v>
      </c>
      <c r="C27" s="107"/>
      <c r="D27" s="138"/>
      <c r="E27" s="39">
        <v>0</v>
      </c>
      <c r="F27" s="42">
        <v>0</v>
      </c>
      <c r="G27" s="42">
        <f>E27*F27</f>
        <v>0</v>
      </c>
      <c r="H27" s="42">
        <f>F27*$C$50</f>
        <v>0</v>
      </c>
      <c r="I27" s="42">
        <f>(E27*H27)</f>
        <v>0</v>
      </c>
      <c r="J27" s="42">
        <f>I27*1.16</f>
        <v>0</v>
      </c>
      <c r="L27" s="139">
        <f>I27</f>
        <v>0</v>
      </c>
      <c r="M27" s="139">
        <f t="shared" ref="M27:Y27" si="10">L27</f>
        <v>0</v>
      </c>
      <c r="N27" s="139">
        <f t="shared" si="10"/>
        <v>0</v>
      </c>
      <c r="O27" s="139">
        <f t="shared" si="10"/>
        <v>0</v>
      </c>
      <c r="P27" s="139">
        <f t="shared" si="10"/>
        <v>0</v>
      </c>
      <c r="Q27" s="139">
        <f t="shared" si="10"/>
        <v>0</v>
      </c>
      <c r="R27" s="139">
        <f t="shared" si="10"/>
        <v>0</v>
      </c>
      <c r="S27" s="139">
        <f t="shared" si="10"/>
        <v>0</v>
      </c>
      <c r="T27" s="139">
        <f t="shared" si="10"/>
        <v>0</v>
      </c>
      <c r="U27" s="139">
        <f t="shared" si="10"/>
        <v>0</v>
      </c>
      <c r="V27" s="139">
        <f t="shared" si="10"/>
        <v>0</v>
      </c>
      <c r="W27" s="139">
        <f t="shared" si="10"/>
        <v>0</v>
      </c>
      <c r="X27" s="139">
        <f t="shared" si="10"/>
        <v>0</v>
      </c>
      <c r="Y27" s="139">
        <f t="shared" si="10"/>
        <v>0</v>
      </c>
    </row>
    <row r="28" spans="1:25" ht="20.149999999999999" customHeight="1" x14ac:dyDescent="0.35">
      <c r="A28" s="137"/>
      <c r="B28" s="101" t="s">
        <v>176</v>
      </c>
      <c r="C28" s="107"/>
      <c r="D28" s="138"/>
      <c r="E28" s="39">
        <v>0</v>
      </c>
      <c r="F28" s="42">
        <v>0</v>
      </c>
      <c r="G28" s="42">
        <f>E28*F28</f>
        <v>0</v>
      </c>
      <c r="H28" s="42">
        <f>F28*$C$50</f>
        <v>0</v>
      </c>
      <c r="I28" s="42">
        <f>(E28*H28)</f>
        <v>0</v>
      </c>
      <c r="J28" s="42">
        <f>I28*1.16</f>
        <v>0</v>
      </c>
      <c r="L28" s="139">
        <f>I28</f>
        <v>0</v>
      </c>
      <c r="M28" s="139">
        <f t="shared" ref="M28:Y28" si="11">L28</f>
        <v>0</v>
      </c>
      <c r="N28" s="139">
        <f t="shared" si="11"/>
        <v>0</v>
      </c>
      <c r="O28" s="139">
        <f t="shared" si="11"/>
        <v>0</v>
      </c>
      <c r="P28" s="139">
        <f t="shared" si="11"/>
        <v>0</v>
      </c>
      <c r="Q28" s="139">
        <f t="shared" si="11"/>
        <v>0</v>
      </c>
      <c r="R28" s="139">
        <f t="shared" si="11"/>
        <v>0</v>
      </c>
      <c r="S28" s="139">
        <f t="shared" si="11"/>
        <v>0</v>
      </c>
      <c r="T28" s="139">
        <f t="shared" si="11"/>
        <v>0</v>
      </c>
      <c r="U28" s="139">
        <f t="shared" si="11"/>
        <v>0</v>
      </c>
      <c r="V28" s="139">
        <f t="shared" si="11"/>
        <v>0</v>
      </c>
      <c r="W28" s="139">
        <f t="shared" si="11"/>
        <v>0</v>
      </c>
      <c r="X28" s="139">
        <f t="shared" si="11"/>
        <v>0</v>
      </c>
      <c r="Y28" s="139">
        <f t="shared" si="11"/>
        <v>0</v>
      </c>
    </row>
    <row r="29" spans="1:25" ht="20.149999999999999" customHeight="1" x14ac:dyDescent="0.35">
      <c r="A29" s="137"/>
      <c r="B29" s="117"/>
      <c r="C29" s="117"/>
      <c r="G29" s="140"/>
      <c r="H29" s="140"/>
      <c r="I29" s="158"/>
      <c r="J29" s="159"/>
      <c r="L29" s="158"/>
      <c r="M29" s="158"/>
      <c r="N29" s="158"/>
      <c r="O29" s="158"/>
      <c r="P29" s="158"/>
      <c r="Q29" s="158"/>
      <c r="R29" s="158"/>
      <c r="S29" s="158"/>
      <c r="T29" s="158"/>
      <c r="U29" s="158"/>
      <c r="V29" s="158"/>
      <c r="W29" s="158"/>
      <c r="X29" s="158"/>
      <c r="Y29" s="158"/>
    </row>
    <row r="30" spans="1:25" ht="20.149999999999999" customHeight="1" x14ac:dyDescent="0.35">
      <c r="A30" s="137"/>
      <c r="D30" s="11"/>
      <c r="E30" s="11"/>
      <c r="F30" s="11"/>
      <c r="I30" s="11"/>
      <c r="J30" s="102" t="s">
        <v>262</v>
      </c>
      <c r="K30" s="11"/>
      <c r="L30" s="51">
        <f>SUM(L26:L28)</f>
        <v>0</v>
      </c>
      <c r="M30" s="51">
        <f t="shared" ref="M30:W30" si="12">SUM(M26:M28)</f>
        <v>0</v>
      </c>
      <c r="N30" s="51">
        <f t="shared" si="12"/>
        <v>0</v>
      </c>
      <c r="O30" s="51">
        <f t="shared" si="12"/>
        <v>0</v>
      </c>
      <c r="P30" s="51">
        <f t="shared" si="12"/>
        <v>0</v>
      </c>
      <c r="Q30" s="51">
        <f t="shared" si="12"/>
        <v>0</v>
      </c>
      <c r="R30" s="51">
        <f t="shared" si="12"/>
        <v>0</v>
      </c>
      <c r="S30" s="51">
        <f t="shared" si="12"/>
        <v>0</v>
      </c>
      <c r="T30" s="51">
        <f t="shared" si="12"/>
        <v>0</v>
      </c>
      <c r="U30" s="51">
        <f t="shared" si="12"/>
        <v>0</v>
      </c>
      <c r="V30" s="51">
        <f t="shared" si="12"/>
        <v>0</v>
      </c>
      <c r="W30" s="51">
        <f t="shared" si="12"/>
        <v>0</v>
      </c>
      <c r="X30" s="51">
        <f>SUM(X26:X28)</f>
        <v>0</v>
      </c>
      <c r="Y30" s="51">
        <f>SUM(Y26:Y28)</f>
        <v>0</v>
      </c>
    </row>
    <row r="31" spans="1:25" ht="20.149999999999999" customHeight="1" x14ac:dyDescent="0.35">
      <c r="A31" s="137"/>
      <c r="D31" s="11"/>
      <c r="E31" s="11"/>
      <c r="F31" s="11"/>
      <c r="I31" s="11"/>
      <c r="J31" s="103" t="s">
        <v>263</v>
      </c>
      <c r="K31" s="11"/>
      <c r="L31" s="104">
        <f t="shared" ref="L31:W31" si="13">L30/$C$50</f>
        <v>0</v>
      </c>
      <c r="M31" s="104">
        <f t="shared" si="13"/>
        <v>0</v>
      </c>
      <c r="N31" s="104">
        <f t="shared" si="13"/>
        <v>0</v>
      </c>
      <c r="O31" s="104">
        <f t="shared" si="13"/>
        <v>0</v>
      </c>
      <c r="P31" s="104">
        <f t="shared" si="13"/>
        <v>0</v>
      </c>
      <c r="Q31" s="104">
        <f t="shared" si="13"/>
        <v>0</v>
      </c>
      <c r="R31" s="104">
        <f t="shared" si="13"/>
        <v>0</v>
      </c>
      <c r="S31" s="104">
        <f t="shared" si="13"/>
        <v>0</v>
      </c>
      <c r="T31" s="104">
        <f t="shared" si="13"/>
        <v>0</v>
      </c>
      <c r="U31" s="104">
        <f t="shared" si="13"/>
        <v>0</v>
      </c>
      <c r="V31" s="104">
        <f t="shared" si="13"/>
        <v>0</v>
      </c>
      <c r="W31" s="104">
        <f t="shared" si="13"/>
        <v>0</v>
      </c>
      <c r="X31" s="104">
        <f>X30/$C$50</f>
        <v>0</v>
      </c>
      <c r="Y31" s="104">
        <f>Y30/$C$50</f>
        <v>0</v>
      </c>
    </row>
    <row r="32" spans="1:25" ht="20.149999999999999" customHeight="1" x14ac:dyDescent="0.35">
      <c r="A32" s="137"/>
      <c r="D32" s="11"/>
      <c r="E32" s="11"/>
      <c r="F32" s="11"/>
      <c r="I32" s="11"/>
      <c r="J32" s="102" t="s">
        <v>284</v>
      </c>
      <c r="K32" s="11"/>
      <c r="L32" s="51">
        <f>SUM(L30:Y30)</f>
        <v>0</v>
      </c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</row>
    <row r="33" spans="1:44" ht="20.149999999999999" customHeight="1" x14ac:dyDescent="0.35">
      <c r="A33" s="137"/>
      <c r="D33" s="11"/>
      <c r="E33" s="11"/>
      <c r="F33" s="11"/>
      <c r="I33" s="11"/>
      <c r="J33" s="103" t="s">
        <v>261</v>
      </c>
      <c r="K33" s="11"/>
      <c r="L33" s="105">
        <f>L32/$C$50</f>
        <v>0</v>
      </c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</row>
    <row r="34" spans="1:44" ht="20.149999999999999" customHeight="1" x14ac:dyDescent="0.35">
      <c r="A34" s="137"/>
      <c r="D34" s="11"/>
      <c r="E34" s="11"/>
      <c r="F34" s="11"/>
      <c r="I34" s="11"/>
      <c r="J34" s="11"/>
      <c r="K34" s="11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</row>
    <row r="35" spans="1:44" ht="20.149999999999999" customHeight="1" x14ac:dyDescent="0.35">
      <c r="A35" s="137"/>
      <c r="D35" s="11"/>
      <c r="E35" s="11"/>
      <c r="F35" s="11"/>
      <c r="I35" s="11"/>
      <c r="J35" s="11"/>
      <c r="K35" s="11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</row>
    <row r="36" spans="1:44" ht="20.149999999999999" customHeight="1" x14ac:dyDescent="0.35">
      <c r="A36" s="137"/>
      <c r="B36" s="101" t="s">
        <v>378</v>
      </c>
      <c r="D36" s="11"/>
      <c r="E36" s="11"/>
      <c r="F36" s="11"/>
      <c r="I36" s="11"/>
      <c r="J36" s="102" t="s">
        <v>262</v>
      </c>
      <c r="K36" s="11"/>
      <c r="L36" s="51">
        <f t="shared" ref="L36:W36" si="14">L21+L12+L30</f>
        <v>0</v>
      </c>
      <c r="M36" s="51">
        <f t="shared" si="14"/>
        <v>0</v>
      </c>
      <c r="N36" s="51">
        <f t="shared" si="14"/>
        <v>0</v>
      </c>
      <c r="O36" s="51">
        <f t="shared" si="14"/>
        <v>0</v>
      </c>
      <c r="P36" s="51">
        <f t="shared" si="14"/>
        <v>0</v>
      </c>
      <c r="Q36" s="51">
        <f t="shared" si="14"/>
        <v>0</v>
      </c>
      <c r="R36" s="51">
        <f t="shared" si="14"/>
        <v>0</v>
      </c>
      <c r="S36" s="51">
        <f t="shared" si="14"/>
        <v>0</v>
      </c>
      <c r="T36" s="51">
        <f t="shared" si="14"/>
        <v>0</v>
      </c>
      <c r="U36" s="51">
        <f t="shared" si="14"/>
        <v>0</v>
      </c>
      <c r="V36" s="51">
        <f t="shared" si="14"/>
        <v>0</v>
      </c>
      <c r="W36" s="51">
        <f t="shared" si="14"/>
        <v>0</v>
      </c>
      <c r="X36" s="51">
        <f>X21+X12+X30</f>
        <v>0</v>
      </c>
      <c r="Y36" s="51">
        <f>Y21+Y12+Y30</f>
        <v>0</v>
      </c>
    </row>
    <row r="37" spans="1:44" ht="20.149999999999999" customHeight="1" x14ac:dyDescent="0.35">
      <c r="A37" s="137"/>
      <c r="D37" s="11"/>
      <c r="E37" s="11"/>
      <c r="F37" s="11"/>
      <c r="I37" s="11"/>
      <c r="J37" s="103" t="s">
        <v>263</v>
      </c>
      <c r="K37" s="11"/>
      <c r="L37" s="104">
        <f t="shared" ref="L37:W37" si="15">L36/$C$50</f>
        <v>0</v>
      </c>
      <c r="M37" s="104">
        <f t="shared" si="15"/>
        <v>0</v>
      </c>
      <c r="N37" s="104">
        <f t="shared" si="15"/>
        <v>0</v>
      </c>
      <c r="O37" s="104">
        <f t="shared" si="15"/>
        <v>0</v>
      </c>
      <c r="P37" s="104">
        <f t="shared" si="15"/>
        <v>0</v>
      </c>
      <c r="Q37" s="104">
        <f t="shared" si="15"/>
        <v>0</v>
      </c>
      <c r="R37" s="104">
        <f t="shared" si="15"/>
        <v>0</v>
      </c>
      <c r="S37" s="104">
        <f t="shared" si="15"/>
        <v>0</v>
      </c>
      <c r="T37" s="104">
        <f t="shared" si="15"/>
        <v>0</v>
      </c>
      <c r="U37" s="104">
        <f t="shared" si="15"/>
        <v>0</v>
      </c>
      <c r="V37" s="104">
        <f t="shared" si="15"/>
        <v>0</v>
      </c>
      <c r="W37" s="104">
        <f t="shared" si="15"/>
        <v>0</v>
      </c>
      <c r="X37" s="104">
        <f>X36/$C$50</f>
        <v>0</v>
      </c>
      <c r="Y37" s="104">
        <f>Y36/$C$50</f>
        <v>0</v>
      </c>
    </row>
    <row r="38" spans="1:44" ht="20.149999999999999" customHeight="1" x14ac:dyDescent="0.35">
      <c r="A38" s="137"/>
      <c r="D38" s="11"/>
      <c r="E38" s="11"/>
      <c r="F38" s="11"/>
      <c r="I38" s="11"/>
      <c r="J38" s="102" t="s">
        <v>284</v>
      </c>
      <c r="K38" s="11"/>
      <c r="L38" s="51">
        <f>SUM(L36:Y36)</f>
        <v>0</v>
      </c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</row>
    <row r="39" spans="1:44" ht="20.149999999999999" customHeight="1" x14ac:dyDescent="0.35">
      <c r="A39" s="137"/>
      <c r="D39" s="11"/>
      <c r="E39" s="11"/>
      <c r="F39" s="11"/>
      <c r="I39" s="11"/>
      <c r="J39" s="103" t="s">
        <v>261</v>
      </c>
      <c r="K39" s="11"/>
      <c r="L39" s="105">
        <f>L38/$C$50</f>
        <v>0</v>
      </c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</row>
    <row r="40" spans="1:44" ht="20.149999999999999" customHeight="1" x14ac:dyDescent="0.35">
      <c r="A40" s="137"/>
      <c r="D40" s="11"/>
      <c r="E40" s="11"/>
      <c r="F40" s="11"/>
      <c r="I40" s="11"/>
      <c r="J40" s="11"/>
      <c r="K40" s="11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</row>
    <row r="41" spans="1:44" ht="20.149999999999999" customHeight="1" x14ac:dyDescent="0.35">
      <c r="A41" s="137"/>
      <c r="B41" s="471" t="s">
        <v>10</v>
      </c>
      <c r="C41" s="471"/>
      <c r="D41" s="471"/>
      <c r="E41" s="471"/>
      <c r="F41" s="471"/>
      <c r="G41" s="471"/>
      <c r="H41" s="471"/>
      <c r="I41" s="471"/>
      <c r="J41" s="471"/>
      <c r="L41" s="390"/>
      <c r="M41" s="390"/>
      <c r="N41" s="391"/>
      <c r="O41" s="390"/>
      <c r="P41" s="390"/>
      <c r="Q41" s="390"/>
      <c r="R41" s="390"/>
      <c r="S41" s="390"/>
      <c r="T41" s="390"/>
      <c r="U41" s="390"/>
      <c r="V41" s="390"/>
      <c r="W41" s="390"/>
      <c r="X41" s="283"/>
      <c r="Y41" s="283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</row>
    <row r="42" spans="1:44" ht="20.149999999999999" customHeight="1" x14ac:dyDescent="0.35">
      <c r="A42" s="137"/>
      <c r="B42" s="458" t="s">
        <v>285</v>
      </c>
      <c r="C42" s="458" t="s">
        <v>266</v>
      </c>
      <c r="D42" s="458" t="s">
        <v>28</v>
      </c>
      <c r="E42" s="458" t="s">
        <v>264</v>
      </c>
      <c r="F42" s="472" t="s">
        <v>430</v>
      </c>
      <c r="G42" s="472" t="s">
        <v>355</v>
      </c>
      <c r="H42" s="474" t="s">
        <v>335</v>
      </c>
      <c r="I42" s="474" t="s">
        <v>356</v>
      </c>
      <c r="J42" s="476" t="s">
        <v>265</v>
      </c>
      <c r="L42" s="390" t="s">
        <v>84</v>
      </c>
      <c r="M42" s="390" t="s">
        <v>84</v>
      </c>
      <c r="N42" s="391" t="s">
        <v>66</v>
      </c>
      <c r="O42" s="390" t="s">
        <v>67</v>
      </c>
      <c r="P42" s="390" t="s">
        <v>68</v>
      </c>
      <c r="Q42" s="390" t="s">
        <v>69</v>
      </c>
      <c r="R42" s="390" t="s">
        <v>70</v>
      </c>
      <c r="S42" s="390" t="s">
        <v>71</v>
      </c>
      <c r="T42" s="390" t="s">
        <v>72</v>
      </c>
      <c r="U42" s="390" t="s">
        <v>73</v>
      </c>
      <c r="V42" s="390" t="s">
        <v>74</v>
      </c>
      <c r="W42" s="390" t="s">
        <v>75</v>
      </c>
      <c r="X42" s="283" t="s">
        <v>76</v>
      </c>
      <c r="Y42" s="283" t="s">
        <v>77</v>
      </c>
      <c r="Z42" s="2"/>
      <c r="AA42" s="2"/>
    </row>
    <row r="43" spans="1:44" ht="20.149999999999999" customHeight="1" x14ac:dyDescent="0.35">
      <c r="A43" s="137"/>
      <c r="B43" s="458"/>
      <c r="C43" s="458"/>
      <c r="D43" s="458"/>
      <c r="E43" s="458"/>
      <c r="F43" s="473"/>
      <c r="G43" s="473"/>
      <c r="H43" s="475"/>
      <c r="I43" s="475"/>
      <c r="J43" s="477"/>
      <c r="L43" s="392"/>
      <c r="M43" s="392"/>
      <c r="N43" s="392" t="s">
        <v>436</v>
      </c>
      <c r="O43" s="392" t="s">
        <v>437</v>
      </c>
      <c r="P43" s="392" t="s">
        <v>438</v>
      </c>
      <c r="Q43" s="392" t="s">
        <v>439</v>
      </c>
      <c r="R43" s="392" t="s">
        <v>392</v>
      </c>
      <c r="S43" s="392" t="s">
        <v>393</v>
      </c>
      <c r="T43" s="392" t="s">
        <v>394</v>
      </c>
      <c r="U43" s="392" t="s">
        <v>395</v>
      </c>
      <c r="V43" s="392" t="s">
        <v>396</v>
      </c>
      <c r="W43" s="392" t="s">
        <v>397</v>
      </c>
      <c r="X43" s="285" t="s">
        <v>391</v>
      </c>
      <c r="Y43" s="285" t="s">
        <v>392</v>
      </c>
      <c r="Z43" s="2"/>
      <c r="AA43" s="2"/>
    </row>
    <row r="44" spans="1:44" ht="20.149999999999999" customHeight="1" x14ac:dyDescent="0.35">
      <c r="A44" s="137"/>
      <c r="B44" s="458"/>
      <c r="C44" s="458"/>
      <c r="D44" s="458"/>
      <c r="E44" s="458"/>
      <c r="F44" s="369" t="s">
        <v>259</v>
      </c>
      <c r="G44" s="370" t="s">
        <v>259</v>
      </c>
      <c r="H44" s="371" t="s">
        <v>260</v>
      </c>
      <c r="I44" s="372" t="s">
        <v>260</v>
      </c>
      <c r="J44" s="373" t="s">
        <v>260</v>
      </c>
      <c r="L44" s="393"/>
      <c r="M44" s="393"/>
      <c r="N44" s="393">
        <v>31</v>
      </c>
      <c r="O44" s="393">
        <v>29</v>
      </c>
      <c r="P44" s="393">
        <v>31</v>
      </c>
      <c r="Q44" s="393">
        <v>30</v>
      </c>
      <c r="R44" s="393">
        <v>30</v>
      </c>
      <c r="S44" s="393">
        <v>31</v>
      </c>
      <c r="T44" s="393">
        <v>31</v>
      </c>
      <c r="U44" s="393">
        <v>31</v>
      </c>
      <c r="V44" s="393">
        <v>30</v>
      </c>
      <c r="W44" s="393">
        <v>31</v>
      </c>
      <c r="X44" s="286">
        <v>31</v>
      </c>
      <c r="Y44" s="286">
        <v>31</v>
      </c>
      <c r="Z44" s="2"/>
      <c r="AA44" s="2"/>
    </row>
    <row r="45" spans="1:44" ht="20.149999999999999" customHeight="1" x14ac:dyDescent="0.35">
      <c r="A45" s="137"/>
      <c r="B45" s="101" t="s">
        <v>129</v>
      </c>
      <c r="C45" s="101"/>
      <c r="D45" s="39"/>
      <c r="E45" s="39">
        <v>1</v>
      </c>
      <c r="F45" s="42">
        <v>1800</v>
      </c>
      <c r="G45" s="42">
        <f>E45*F45</f>
        <v>1800</v>
      </c>
      <c r="H45" s="42">
        <f>F45*$C$50</f>
        <v>32526</v>
      </c>
      <c r="I45" s="42">
        <f>(E45*H45)</f>
        <v>32526</v>
      </c>
      <c r="J45" s="42">
        <f>I45*1.16</f>
        <v>37730.159999999996</v>
      </c>
      <c r="L45" s="139">
        <v>0</v>
      </c>
      <c r="M45" s="139">
        <f>I45</f>
        <v>32526</v>
      </c>
      <c r="N45" s="139">
        <v>0</v>
      </c>
      <c r="O45" s="139">
        <v>0</v>
      </c>
      <c r="P45" s="139">
        <v>0</v>
      </c>
      <c r="Q45" s="139">
        <v>0</v>
      </c>
      <c r="R45" s="139">
        <v>0</v>
      </c>
      <c r="S45" s="139">
        <v>0</v>
      </c>
      <c r="T45" s="139">
        <v>0</v>
      </c>
      <c r="U45" s="139">
        <v>0</v>
      </c>
      <c r="V45" s="139">
        <v>0</v>
      </c>
      <c r="W45" s="139">
        <v>0</v>
      </c>
      <c r="X45" s="139">
        <v>0</v>
      </c>
      <c r="Y45" s="139">
        <v>0</v>
      </c>
    </row>
    <row r="46" spans="1:44" ht="20.149999999999999" customHeight="1" x14ac:dyDescent="0.35">
      <c r="A46" s="137"/>
      <c r="B46" s="101" t="s">
        <v>130</v>
      </c>
      <c r="C46" s="101"/>
      <c r="D46" s="39"/>
      <c r="E46" s="39">
        <v>0</v>
      </c>
      <c r="F46" s="42">
        <v>0</v>
      </c>
      <c r="G46" s="42">
        <f>E46*F46</f>
        <v>0</v>
      </c>
      <c r="H46" s="42">
        <f>F46*$C$50</f>
        <v>0</v>
      </c>
      <c r="I46" s="42">
        <f>(E46*H46)</f>
        <v>0</v>
      </c>
      <c r="J46" s="42">
        <f>I46*1.16</f>
        <v>0</v>
      </c>
      <c r="L46" s="139">
        <f>I46</f>
        <v>0</v>
      </c>
      <c r="M46" s="139">
        <f>L46</f>
        <v>0</v>
      </c>
      <c r="N46" s="139">
        <f>M46</f>
        <v>0</v>
      </c>
      <c r="O46" s="139">
        <f t="shared" ref="O46:W46" si="16">N46</f>
        <v>0</v>
      </c>
      <c r="P46" s="139">
        <f t="shared" si="16"/>
        <v>0</v>
      </c>
      <c r="Q46" s="139">
        <f t="shared" si="16"/>
        <v>0</v>
      </c>
      <c r="R46" s="139">
        <f t="shared" si="16"/>
        <v>0</v>
      </c>
      <c r="S46" s="139">
        <f t="shared" si="16"/>
        <v>0</v>
      </c>
      <c r="T46" s="139">
        <f t="shared" si="16"/>
        <v>0</v>
      </c>
      <c r="U46" s="139">
        <f t="shared" si="16"/>
        <v>0</v>
      </c>
      <c r="V46" s="139">
        <f t="shared" si="16"/>
        <v>0</v>
      </c>
      <c r="W46" s="139">
        <f t="shared" si="16"/>
        <v>0</v>
      </c>
      <c r="X46" s="139">
        <f>W46</f>
        <v>0</v>
      </c>
      <c r="Y46" s="139">
        <f>X46</f>
        <v>0</v>
      </c>
    </row>
    <row r="47" spans="1:44" ht="20.149999999999999" customHeight="1" x14ac:dyDescent="0.35">
      <c r="A47" s="137"/>
      <c r="D47" s="13"/>
      <c r="E47" s="11"/>
      <c r="F47" s="159"/>
      <c r="G47" s="158"/>
      <c r="H47" s="158"/>
      <c r="I47" s="158"/>
      <c r="J47" s="159"/>
      <c r="L47" s="158"/>
      <c r="M47" s="158"/>
      <c r="N47" s="158"/>
      <c r="O47" s="158"/>
      <c r="P47" s="158"/>
      <c r="Q47" s="158"/>
      <c r="R47" s="158"/>
      <c r="S47" s="158"/>
      <c r="T47" s="158"/>
      <c r="U47" s="158"/>
      <c r="V47" s="158"/>
      <c r="W47" s="158"/>
      <c r="X47" s="158"/>
      <c r="Y47" s="158"/>
    </row>
    <row r="48" spans="1:44" ht="20.149999999999999" customHeight="1" x14ac:dyDescent="0.35">
      <c r="A48" s="160"/>
      <c r="D48" s="13"/>
      <c r="E48" s="11"/>
      <c r="F48" s="159"/>
      <c r="G48" s="158"/>
      <c r="H48" s="158"/>
      <c r="I48" s="158"/>
      <c r="J48" s="159"/>
      <c r="L48" s="158"/>
      <c r="M48" s="158"/>
      <c r="N48" s="158"/>
      <c r="O48" s="158"/>
      <c r="P48" s="158"/>
      <c r="Q48" s="158"/>
      <c r="R48" s="158"/>
      <c r="S48" s="158"/>
      <c r="T48" s="158"/>
      <c r="U48" s="158"/>
      <c r="V48" s="158"/>
      <c r="W48" s="158"/>
      <c r="X48" s="158"/>
      <c r="Y48" s="158"/>
    </row>
    <row r="49" spans="1:25" ht="20.149999999999999" customHeight="1" x14ac:dyDescent="0.35">
      <c r="A49" s="160"/>
      <c r="B49" s="5" t="str">
        <f>'F02 INMUEBLES Y S'!B18</f>
        <v>Premisas</v>
      </c>
      <c r="C49" s="5"/>
      <c r="D49" s="13"/>
      <c r="E49" s="11"/>
      <c r="F49" s="159"/>
      <c r="G49" s="159"/>
      <c r="H49" s="159"/>
      <c r="I49" s="159"/>
      <c r="J49" s="102" t="s">
        <v>262</v>
      </c>
      <c r="K49" s="11"/>
      <c r="L49" s="161">
        <f>SUM(L45:L46)</f>
        <v>0</v>
      </c>
      <c r="M49" s="161">
        <f t="shared" ref="M49:W49" si="17">SUM(M45:M46)</f>
        <v>32526</v>
      </c>
      <c r="N49" s="161">
        <f t="shared" si="17"/>
        <v>0</v>
      </c>
      <c r="O49" s="161">
        <f t="shared" si="17"/>
        <v>0</v>
      </c>
      <c r="P49" s="161">
        <f t="shared" si="17"/>
        <v>0</v>
      </c>
      <c r="Q49" s="161">
        <f t="shared" si="17"/>
        <v>0</v>
      </c>
      <c r="R49" s="161">
        <f t="shared" si="17"/>
        <v>0</v>
      </c>
      <c r="S49" s="161">
        <f t="shared" si="17"/>
        <v>0</v>
      </c>
      <c r="T49" s="161">
        <f t="shared" si="17"/>
        <v>0</v>
      </c>
      <c r="U49" s="161">
        <f t="shared" si="17"/>
        <v>0</v>
      </c>
      <c r="V49" s="161">
        <f t="shared" si="17"/>
        <v>0</v>
      </c>
      <c r="W49" s="161">
        <f t="shared" si="17"/>
        <v>0</v>
      </c>
      <c r="X49" s="161">
        <f>SUM(X45:X46)</f>
        <v>0</v>
      </c>
      <c r="Y49" s="161">
        <f>SUM(Y45:Y46)</f>
        <v>0</v>
      </c>
    </row>
    <row r="50" spans="1:25" ht="20.149999999999999" customHeight="1" x14ac:dyDescent="0.35">
      <c r="B50" s="6" t="str">
        <f>'F02 INMUEBLES Y S'!B19</f>
        <v>Paridad</v>
      </c>
      <c r="C50" s="162">
        <f>'F02 INMUEBLES Y S'!C19</f>
        <v>18.07</v>
      </c>
      <c r="G50" s="140"/>
      <c r="H50" s="140"/>
      <c r="J50" s="103" t="s">
        <v>263</v>
      </c>
      <c r="K50" s="11"/>
      <c r="L50" s="104">
        <f>L49/$C$50</f>
        <v>0</v>
      </c>
    </row>
    <row r="51" spans="1:25" ht="20.149999999999999" customHeight="1" x14ac:dyDescent="0.35">
      <c r="B51" s="7" t="str">
        <f>'F02 INMUEBLES Y S'!B20</f>
        <v xml:space="preserve">Mes </v>
      </c>
      <c r="C51" s="8">
        <f>'F02 INMUEBLES Y S'!C20</f>
        <v>30.4</v>
      </c>
      <c r="G51" s="140"/>
      <c r="H51" s="140"/>
      <c r="J51" s="102" t="s">
        <v>284</v>
      </c>
      <c r="K51" s="11"/>
      <c r="L51" s="51">
        <f>SUM(L49:Y49)</f>
        <v>32526</v>
      </c>
    </row>
    <row r="52" spans="1:25" ht="20.149999999999999" customHeight="1" x14ac:dyDescent="0.35">
      <c r="B52" s="9" t="str">
        <f>'F02 INMUEBLES Y S'!B21</f>
        <v>Periodo Pago (días)</v>
      </c>
      <c r="C52" s="10">
        <f>'F02 INMUEBLES Y S'!C21</f>
        <v>30</v>
      </c>
      <c r="G52" s="140"/>
      <c r="H52" s="140"/>
      <c r="J52" s="103" t="s">
        <v>261</v>
      </c>
      <c r="K52" s="11"/>
      <c r="L52" s="105">
        <f>L51/$C$50</f>
        <v>1800</v>
      </c>
    </row>
    <row r="53" spans="1:25" ht="20.149999999999999" customHeight="1" x14ac:dyDescent="0.35">
      <c r="B53" s="12" t="str">
        <f>'F02 INMUEBLES Y S'!B22</f>
        <v>Gas lp</v>
      </c>
      <c r="C53" s="163">
        <f>'F02 INMUEBLES Y S'!C22</f>
        <v>0</v>
      </c>
      <c r="G53" s="140"/>
      <c r="H53" s="140"/>
    </row>
    <row r="54" spans="1:25" ht="20.149999999999999" customHeight="1" x14ac:dyDescent="0.35">
      <c r="B54" s="164" t="str">
        <f>'F02 INMUEBLES Y S'!B23</f>
        <v>Gasolina Magna</v>
      </c>
      <c r="C54" s="165">
        <f>'F02 INMUEBLES Y S'!C23</f>
        <v>22</v>
      </c>
      <c r="D54" s="11"/>
      <c r="J54"/>
      <c r="K54"/>
      <c r="L54"/>
      <c r="M54"/>
      <c r="N54"/>
      <c r="O54"/>
      <c r="P54"/>
      <c r="Q54"/>
      <c r="R54"/>
      <c r="S54"/>
      <c r="T54"/>
      <c r="U54"/>
      <c r="V54"/>
      <c r="W54"/>
    </row>
    <row r="55" spans="1:25" ht="20.149999999999999" customHeight="1" x14ac:dyDescent="0.35">
      <c r="B55" s="166" t="str">
        <f>'F02 INMUEBLES Y S'!B24</f>
        <v>Diesel</v>
      </c>
      <c r="C55" s="167">
        <f>'F02 INMUEBLES Y S'!C24</f>
        <v>23</v>
      </c>
      <c r="D55" s="11"/>
      <c r="J55"/>
      <c r="K55"/>
      <c r="L55"/>
      <c r="M55"/>
      <c r="N55"/>
      <c r="O55"/>
      <c r="P55"/>
      <c r="Q55"/>
      <c r="R55"/>
      <c r="S55"/>
      <c r="T55"/>
      <c r="U55"/>
      <c r="V55"/>
      <c r="W55"/>
    </row>
    <row r="56" spans="1:25" ht="20.149999999999999" customHeight="1" x14ac:dyDescent="0.35">
      <c r="D56" s="11"/>
      <c r="J56"/>
      <c r="K56"/>
      <c r="L56"/>
      <c r="M56"/>
      <c r="N56"/>
      <c r="O56"/>
      <c r="P56"/>
      <c r="Q56"/>
      <c r="R56"/>
      <c r="S56"/>
      <c r="T56"/>
      <c r="U56"/>
      <c r="V56"/>
      <c r="W56"/>
    </row>
    <row r="57" spans="1:25" ht="20.149999999999999" customHeight="1" x14ac:dyDescent="0.35">
      <c r="D57" s="11"/>
      <c r="J57"/>
      <c r="K57"/>
      <c r="L57"/>
      <c r="M57"/>
      <c r="N57"/>
      <c r="O57"/>
      <c r="P57"/>
      <c r="Q57"/>
      <c r="R57"/>
      <c r="S57"/>
      <c r="T57"/>
      <c r="U57"/>
      <c r="V57"/>
      <c r="W57"/>
    </row>
    <row r="58" spans="1:25" ht="20.149999999999999" customHeight="1" x14ac:dyDescent="0.35">
      <c r="D58" s="11"/>
      <c r="J58"/>
      <c r="K58"/>
      <c r="L58"/>
      <c r="M58"/>
      <c r="N58"/>
      <c r="O58"/>
      <c r="P58"/>
      <c r="Q58"/>
      <c r="R58"/>
      <c r="S58"/>
      <c r="T58"/>
      <c r="U58"/>
      <c r="V58"/>
      <c r="W58"/>
    </row>
    <row r="59" spans="1:25" ht="20.149999999999999" customHeight="1" x14ac:dyDescent="0.35">
      <c r="D59" s="11"/>
      <c r="V59" s="18"/>
      <c r="W59" s="18"/>
    </row>
    <row r="60" spans="1:25" ht="20.149999999999999" customHeight="1" x14ac:dyDescent="0.35">
      <c r="D60" s="11"/>
    </row>
  </sheetData>
  <mergeCells count="19">
    <mergeCell ref="C5:C7"/>
    <mergeCell ref="D5:D7"/>
    <mergeCell ref="E5:E7"/>
    <mergeCell ref="B5:B7"/>
    <mergeCell ref="B42:B44"/>
    <mergeCell ref="D42:D44"/>
    <mergeCell ref="E42:E44"/>
    <mergeCell ref="C42:C44"/>
    <mergeCell ref="B41:J41"/>
    <mergeCell ref="F42:F43"/>
    <mergeCell ref="G42:G43"/>
    <mergeCell ref="H42:H43"/>
    <mergeCell ref="I42:I43"/>
    <mergeCell ref="J42:J43"/>
    <mergeCell ref="F5:F6"/>
    <mergeCell ref="G5:G6"/>
    <mergeCell ref="H5:H6"/>
    <mergeCell ref="I5:I6"/>
    <mergeCell ref="J5:J6"/>
  </mergeCells>
  <phoneticPr fontId="8" type="noConversion"/>
  <pageMargins left="0.25" right="0.25" top="0.75" bottom="0.75" header="0.3" footer="0.3"/>
  <pageSetup paperSize="3" scale="57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AK87"/>
  <sheetViews>
    <sheetView zoomScale="70" zoomScaleNormal="70" workbookViewId="0">
      <pane xSplit="10" ySplit="7" topLeftCell="N8" activePane="bottomRight" state="frozen"/>
      <selection pane="topRight" activeCell="R1" sqref="R1"/>
      <selection pane="bottomLeft" activeCell="A10" sqref="A10"/>
      <selection pane="bottomRight" activeCell="V27" sqref="V27"/>
    </sheetView>
  </sheetViews>
  <sheetFormatPr baseColWidth="10" defaultColWidth="10.5" defaultRowHeight="20.149999999999999" customHeight="1" x14ac:dyDescent="0.35"/>
  <cols>
    <col min="1" max="1" width="2.58203125" style="11" customWidth="1"/>
    <col min="2" max="2" width="16.58203125" style="11" customWidth="1"/>
    <col min="3" max="3" width="11.83203125" style="11" customWidth="1"/>
    <col min="4" max="4" width="14" style="11" customWidth="1"/>
    <col min="5" max="10" width="11.83203125" style="11" customWidth="1"/>
    <col min="11" max="11" width="2.08203125" style="11" customWidth="1"/>
    <col min="12" max="12" width="15.08203125" style="11" customWidth="1"/>
    <col min="13" max="13" width="2.08203125" style="11" customWidth="1"/>
    <col min="14" max="14" width="16" style="11" customWidth="1"/>
    <col min="15" max="16" width="11.58203125" style="11" customWidth="1"/>
    <col min="17" max="17" width="15.5" style="11" customWidth="1"/>
    <col min="18" max="18" width="12.5" style="185" customWidth="1"/>
    <col min="19" max="19" width="12.5" style="140" customWidth="1"/>
    <col min="20" max="20" width="18.08203125" style="11" customWidth="1"/>
    <col min="21" max="21" width="4" style="140" customWidth="1"/>
    <col min="22" max="22" width="14.58203125" style="11" bestFit="1" customWidth="1"/>
    <col min="23" max="23" width="12.83203125" style="11" bestFit="1" customWidth="1"/>
    <col min="24" max="35" width="12.58203125" style="11" bestFit="1" customWidth="1"/>
    <col min="36" max="16384" width="10.5" style="11"/>
  </cols>
  <sheetData>
    <row r="1" spans="1:37" ht="20.149999999999999" customHeight="1" x14ac:dyDescent="0.35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</row>
    <row r="2" spans="1:37" ht="20.149999999999999" customHeight="1" x14ac:dyDescent="0.35">
      <c r="A2" s="33"/>
      <c r="B2" s="35" t="s">
        <v>5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</row>
    <row r="3" spans="1:37" ht="20.149999999999999" customHeight="1" x14ac:dyDescent="0.35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</row>
    <row r="4" spans="1:37" ht="20.149999999999999" customHeight="1" x14ac:dyDescent="0.35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249"/>
    </row>
    <row r="5" spans="1:37" s="2" customFormat="1" ht="20.149999999999999" customHeight="1" x14ac:dyDescent="0.35">
      <c r="A5" s="37"/>
      <c r="B5" s="458" t="s">
        <v>1</v>
      </c>
      <c r="C5" s="470" t="s">
        <v>111</v>
      </c>
      <c r="D5" s="470" t="s">
        <v>106</v>
      </c>
      <c r="E5" s="470" t="s">
        <v>107</v>
      </c>
      <c r="F5" s="470" t="s">
        <v>105</v>
      </c>
      <c r="G5" s="470" t="s">
        <v>108</v>
      </c>
      <c r="H5" s="470" t="s">
        <v>109</v>
      </c>
      <c r="I5" s="470" t="s">
        <v>282</v>
      </c>
      <c r="J5" s="470" t="s">
        <v>82</v>
      </c>
      <c r="L5" s="470" t="s">
        <v>110</v>
      </c>
      <c r="N5" s="478" t="s">
        <v>26</v>
      </c>
      <c r="O5" s="478" t="s">
        <v>27</v>
      </c>
      <c r="P5" s="478" t="s">
        <v>305</v>
      </c>
      <c r="Q5" s="478" t="s">
        <v>299</v>
      </c>
      <c r="R5" s="478" t="s">
        <v>83</v>
      </c>
      <c r="S5" s="479" t="s">
        <v>58</v>
      </c>
      <c r="T5" s="479" t="s">
        <v>253</v>
      </c>
      <c r="U5" s="13"/>
      <c r="V5" s="390" t="s">
        <v>84</v>
      </c>
      <c r="W5" s="390" t="s">
        <v>84</v>
      </c>
      <c r="X5" s="391" t="s">
        <v>66</v>
      </c>
      <c r="Y5" s="390" t="s">
        <v>67</v>
      </c>
      <c r="Z5" s="390" t="s">
        <v>68</v>
      </c>
      <c r="AA5" s="390" t="s">
        <v>69</v>
      </c>
      <c r="AB5" s="390" t="s">
        <v>70</v>
      </c>
      <c r="AC5" s="390" t="s">
        <v>71</v>
      </c>
      <c r="AD5" s="390" t="s">
        <v>72</v>
      </c>
      <c r="AE5" s="390" t="s">
        <v>73</v>
      </c>
      <c r="AF5" s="390" t="s">
        <v>74</v>
      </c>
      <c r="AG5" s="390" t="s">
        <v>75</v>
      </c>
      <c r="AH5" s="390" t="s">
        <v>76</v>
      </c>
      <c r="AI5" s="390" t="s">
        <v>77</v>
      </c>
    </row>
    <row r="6" spans="1:37" s="2" customFormat="1" ht="20.149999999999999" customHeight="1" x14ac:dyDescent="0.35">
      <c r="A6" s="37"/>
      <c r="B6" s="458"/>
      <c r="C6" s="470"/>
      <c r="D6" s="470"/>
      <c r="E6" s="470"/>
      <c r="F6" s="470"/>
      <c r="G6" s="470"/>
      <c r="H6" s="470"/>
      <c r="I6" s="470"/>
      <c r="J6" s="470"/>
      <c r="L6" s="470"/>
      <c r="N6" s="480"/>
      <c r="O6" s="480"/>
      <c r="P6" s="478"/>
      <c r="Q6" s="480"/>
      <c r="R6" s="480"/>
      <c r="S6" s="479"/>
      <c r="T6" s="479"/>
      <c r="U6" s="168"/>
      <c r="V6" s="392" t="s">
        <v>272</v>
      </c>
      <c r="W6" s="392" t="s">
        <v>272</v>
      </c>
      <c r="X6" s="392" t="s">
        <v>436</v>
      </c>
      <c r="Y6" s="392" t="s">
        <v>437</v>
      </c>
      <c r="Z6" s="392" t="s">
        <v>438</v>
      </c>
      <c r="AA6" s="392" t="s">
        <v>439</v>
      </c>
      <c r="AB6" s="392" t="s">
        <v>392</v>
      </c>
      <c r="AC6" s="392" t="s">
        <v>393</v>
      </c>
      <c r="AD6" s="392" t="s">
        <v>394</v>
      </c>
      <c r="AE6" s="392" t="s">
        <v>395</v>
      </c>
      <c r="AF6" s="392" t="s">
        <v>396</v>
      </c>
      <c r="AG6" s="392" t="s">
        <v>397</v>
      </c>
      <c r="AH6" s="392" t="s">
        <v>398</v>
      </c>
      <c r="AI6" s="392" t="s">
        <v>399</v>
      </c>
    </row>
    <row r="7" spans="1:37" s="131" customFormat="1" ht="20.149999999999999" customHeight="1" x14ac:dyDescent="0.35">
      <c r="A7" s="130"/>
      <c r="B7" s="458"/>
      <c r="C7" s="470"/>
      <c r="D7" s="470"/>
      <c r="E7" s="470"/>
      <c r="F7" s="470"/>
      <c r="G7" s="470"/>
      <c r="H7" s="470"/>
      <c r="I7" s="470"/>
      <c r="J7" s="470"/>
      <c r="K7" s="2"/>
      <c r="L7" s="470"/>
      <c r="M7" s="2"/>
      <c r="N7" s="481"/>
      <c r="O7" s="481"/>
      <c r="P7" s="478"/>
      <c r="Q7" s="481"/>
      <c r="R7" s="481"/>
      <c r="S7" s="479"/>
      <c r="T7" s="479"/>
      <c r="U7" s="168"/>
      <c r="V7" s="393" t="s">
        <v>272</v>
      </c>
      <c r="W7" s="393" t="s">
        <v>272</v>
      </c>
      <c r="X7" s="393">
        <v>31</v>
      </c>
      <c r="Y7" s="393">
        <v>29</v>
      </c>
      <c r="Z7" s="393">
        <v>31</v>
      </c>
      <c r="AA7" s="393">
        <v>30</v>
      </c>
      <c r="AB7" s="393">
        <v>30</v>
      </c>
      <c r="AC7" s="393">
        <v>31</v>
      </c>
      <c r="AD7" s="393">
        <v>31</v>
      </c>
      <c r="AE7" s="393">
        <v>31</v>
      </c>
      <c r="AF7" s="393">
        <v>30</v>
      </c>
      <c r="AG7" s="393">
        <v>31</v>
      </c>
      <c r="AH7" s="393">
        <v>30</v>
      </c>
      <c r="AI7" s="393">
        <v>31</v>
      </c>
      <c r="AJ7" s="2"/>
      <c r="AK7" s="2"/>
    </row>
    <row r="8" spans="1:37" s="2" customFormat="1" ht="20.149999999999999" customHeight="1" x14ac:dyDescent="0.35">
      <c r="A8" s="37"/>
      <c r="B8" s="39" t="s">
        <v>306</v>
      </c>
      <c r="C8" s="169">
        <v>0</v>
      </c>
      <c r="D8" s="169">
        <v>100</v>
      </c>
      <c r="E8" s="169">
        <v>0</v>
      </c>
      <c r="F8" s="169">
        <v>100</v>
      </c>
      <c r="G8" s="169">
        <v>7000</v>
      </c>
      <c r="H8" s="169">
        <v>1000</v>
      </c>
      <c r="I8" s="169">
        <v>500</v>
      </c>
      <c r="J8" s="169">
        <v>2000</v>
      </c>
      <c r="L8" s="170">
        <f t="shared" ref="L8:L13" si="0">SUM(C8:J8)</f>
        <v>10700</v>
      </c>
      <c r="N8" s="275"/>
      <c r="O8" s="275"/>
      <c r="P8" s="275"/>
      <c r="Q8" s="275"/>
      <c r="R8" s="275"/>
      <c r="S8" s="275"/>
      <c r="T8" s="275"/>
      <c r="U8" s="171"/>
      <c r="V8" s="110">
        <v>0</v>
      </c>
      <c r="W8" s="110">
        <v>0</v>
      </c>
      <c r="X8" s="110">
        <v>0</v>
      </c>
      <c r="Y8" s="110">
        <f t="shared" ref="Y8:AG8" si="1">X8</f>
        <v>0</v>
      </c>
      <c r="Z8" s="110">
        <f t="shared" si="1"/>
        <v>0</v>
      </c>
      <c r="AA8" s="110">
        <v>0</v>
      </c>
      <c r="AB8" s="110">
        <f t="shared" si="1"/>
        <v>0</v>
      </c>
      <c r="AC8" s="110">
        <f t="shared" si="1"/>
        <v>0</v>
      </c>
      <c r="AD8" s="110">
        <f t="shared" si="1"/>
        <v>0</v>
      </c>
      <c r="AE8" s="110">
        <f t="shared" si="1"/>
        <v>0</v>
      </c>
      <c r="AF8" s="110">
        <f t="shared" si="1"/>
        <v>0</v>
      </c>
      <c r="AG8" s="110">
        <f t="shared" si="1"/>
        <v>0</v>
      </c>
      <c r="AH8" s="110">
        <v>0</v>
      </c>
      <c r="AI8" s="110">
        <f t="shared" ref="AI8:AI18" si="2">AH8</f>
        <v>0</v>
      </c>
    </row>
    <row r="9" spans="1:37" s="2" customFormat="1" ht="20.149999999999999" customHeight="1" x14ac:dyDescent="0.35">
      <c r="A9" s="37"/>
      <c r="B9" s="39" t="s">
        <v>306</v>
      </c>
      <c r="C9" s="169">
        <v>0</v>
      </c>
      <c r="D9" s="169">
        <v>100</v>
      </c>
      <c r="E9" s="169">
        <v>0</v>
      </c>
      <c r="F9" s="169">
        <v>100</v>
      </c>
      <c r="G9" s="169">
        <v>7000</v>
      </c>
      <c r="H9" s="169">
        <v>1000</v>
      </c>
      <c r="I9" s="169">
        <v>500</v>
      </c>
      <c r="J9" s="169">
        <v>2000</v>
      </c>
      <c r="L9" s="170">
        <f t="shared" si="0"/>
        <v>10700</v>
      </c>
      <c r="N9" s="275"/>
      <c r="O9" s="275"/>
      <c r="P9" s="275"/>
      <c r="Q9" s="275"/>
      <c r="R9" s="275"/>
      <c r="S9" s="275"/>
      <c r="T9" s="275"/>
      <c r="U9" s="172"/>
      <c r="V9" s="110">
        <v>0</v>
      </c>
      <c r="W9" s="110">
        <v>0</v>
      </c>
      <c r="X9" s="110">
        <v>0</v>
      </c>
      <c r="Y9" s="110">
        <f>X9</f>
        <v>0</v>
      </c>
      <c r="Z9" s="110">
        <f>Y9</f>
        <v>0</v>
      </c>
      <c r="AA9" s="110">
        <v>0</v>
      </c>
      <c r="AB9" s="110">
        <f t="shared" ref="AB9:AD10" si="3">AA9</f>
        <v>0</v>
      </c>
      <c r="AC9" s="110">
        <f t="shared" si="3"/>
        <v>0</v>
      </c>
      <c r="AD9" s="110">
        <f t="shared" si="3"/>
        <v>0</v>
      </c>
      <c r="AE9" s="110">
        <v>0</v>
      </c>
      <c r="AF9" s="110">
        <f>AE9</f>
        <v>0</v>
      </c>
      <c r="AG9" s="110">
        <f>AF9</f>
        <v>0</v>
      </c>
      <c r="AH9" s="110">
        <f t="shared" ref="AH9:AH18" si="4">AG9</f>
        <v>0</v>
      </c>
      <c r="AI9" s="110">
        <f t="shared" si="2"/>
        <v>0</v>
      </c>
    </row>
    <row r="10" spans="1:37" s="2" customFormat="1" ht="20.149999999999999" customHeight="1" x14ac:dyDescent="0.35">
      <c r="A10" s="37"/>
      <c r="B10" s="39" t="s">
        <v>306</v>
      </c>
      <c r="C10" s="169">
        <v>0</v>
      </c>
      <c r="D10" s="169">
        <v>100</v>
      </c>
      <c r="E10" s="169">
        <v>0</v>
      </c>
      <c r="F10" s="169">
        <v>100</v>
      </c>
      <c r="G10" s="169">
        <v>7000</v>
      </c>
      <c r="H10" s="169">
        <v>1000</v>
      </c>
      <c r="I10" s="169">
        <v>500</v>
      </c>
      <c r="J10" s="169">
        <v>2000</v>
      </c>
      <c r="L10" s="170">
        <f t="shared" si="0"/>
        <v>10700</v>
      </c>
      <c r="N10" s="275"/>
      <c r="O10" s="275"/>
      <c r="P10" s="275"/>
      <c r="Q10" s="275"/>
      <c r="R10" s="275"/>
      <c r="S10" s="275"/>
      <c r="T10" s="275"/>
      <c r="U10" s="172"/>
      <c r="V10" s="110">
        <v>0</v>
      </c>
      <c r="W10" s="110">
        <v>0</v>
      </c>
      <c r="X10" s="110">
        <v>0</v>
      </c>
      <c r="Y10" s="110">
        <f>X10</f>
        <v>0</v>
      </c>
      <c r="Z10" s="110">
        <f>Y10</f>
        <v>0</v>
      </c>
      <c r="AA10" s="110">
        <v>0</v>
      </c>
      <c r="AB10" s="110">
        <f t="shared" si="3"/>
        <v>0</v>
      </c>
      <c r="AC10" s="110">
        <f t="shared" si="3"/>
        <v>0</v>
      </c>
      <c r="AD10" s="110">
        <f t="shared" si="3"/>
        <v>0</v>
      </c>
      <c r="AE10" s="110">
        <v>0</v>
      </c>
      <c r="AF10" s="110">
        <f>AE10</f>
        <v>0</v>
      </c>
      <c r="AG10" s="110">
        <f>AF10</f>
        <v>0</v>
      </c>
      <c r="AH10" s="110">
        <f t="shared" si="4"/>
        <v>0</v>
      </c>
      <c r="AI10" s="110">
        <f t="shared" si="2"/>
        <v>0</v>
      </c>
    </row>
    <row r="11" spans="1:37" s="2" customFormat="1" ht="20.149999999999999" customHeight="1" x14ac:dyDescent="0.35">
      <c r="A11" s="37"/>
      <c r="B11" s="39" t="s">
        <v>306</v>
      </c>
      <c r="C11" s="169">
        <v>0</v>
      </c>
      <c r="D11" s="169">
        <v>100</v>
      </c>
      <c r="E11" s="169">
        <v>0</v>
      </c>
      <c r="F11" s="169">
        <v>100</v>
      </c>
      <c r="G11" s="169">
        <v>7000</v>
      </c>
      <c r="H11" s="169">
        <v>1000</v>
      </c>
      <c r="I11" s="169">
        <v>500</v>
      </c>
      <c r="J11" s="169">
        <v>2000</v>
      </c>
      <c r="L11" s="170">
        <f t="shared" si="0"/>
        <v>10700</v>
      </c>
      <c r="N11" s="275"/>
      <c r="O11" s="275"/>
      <c r="P11" s="275"/>
      <c r="Q11" s="275"/>
      <c r="R11" s="275"/>
      <c r="S11" s="275"/>
      <c r="T11" s="275"/>
      <c r="U11" s="172"/>
      <c r="V11" s="110">
        <v>0</v>
      </c>
      <c r="W11" s="110">
        <v>0</v>
      </c>
      <c r="X11" s="110">
        <v>0</v>
      </c>
      <c r="Y11" s="110">
        <f t="shared" ref="Y11:AI11" si="5">X11</f>
        <v>0</v>
      </c>
      <c r="Z11" s="110">
        <f t="shared" si="5"/>
        <v>0</v>
      </c>
      <c r="AA11" s="110">
        <v>0</v>
      </c>
      <c r="AB11" s="110">
        <f t="shared" si="5"/>
        <v>0</v>
      </c>
      <c r="AC11" s="110">
        <f t="shared" si="5"/>
        <v>0</v>
      </c>
      <c r="AD11" s="110">
        <f t="shared" si="5"/>
        <v>0</v>
      </c>
      <c r="AE11" s="110">
        <v>0</v>
      </c>
      <c r="AF11" s="110">
        <f t="shared" si="5"/>
        <v>0</v>
      </c>
      <c r="AG11" s="110">
        <f t="shared" si="5"/>
        <v>0</v>
      </c>
      <c r="AH11" s="110">
        <f t="shared" si="5"/>
        <v>0</v>
      </c>
      <c r="AI11" s="110">
        <f t="shared" si="5"/>
        <v>0</v>
      </c>
    </row>
    <row r="12" spans="1:37" s="2" customFormat="1" ht="20.149999999999999" customHeight="1" x14ac:dyDescent="0.35">
      <c r="A12" s="37"/>
      <c r="B12" s="39" t="s">
        <v>447</v>
      </c>
      <c r="C12" s="169"/>
      <c r="D12" s="169">
        <v>100</v>
      </c>
      <c r="E12" s="169"/>
      <c r="F12" s="169">
        <v>100</v>
      </c>
      <c r="G12" s="169">
        <v>7000</v>
      </c>
      <c r="H12" s="169">
        <v>1000</v>
      </c>
      <c r="I12" s="169">
        <v>500</v>
      </c>
      <c r="J12" s="169">
        <v>2000</v>
      </c>
      <c r="L12" s="170">
        <f t="shared" si="0"/>
        <v>10700</v>
      </c>
      <c r="N12" s="275"/>
      <c r="O12" s="275"/>
      <c r="P12" s="275"/>
      <c r="Q12" s="275"/>
      <c r="R12" s="275"/>
      <c r="S12" s="275"/>
      <c r="T12" s="275"/>
      <c r="U12" s="172"/>
      <c r="V12" s="110">
        <v>0</v>
      </c>
      <c r="W12" s="110">
        <v>0</v>
      </c>
      <c r="X12" s="110">
        <v>0</v>
      </c>
      <c r="Y12" s="110">
        <f t="shared" ref="Y12:AI12" si="6">X12</f>
        <v>0</v>
      </c>
      <c r="Z12" s="110">
        <f t="shared" si="6"/>
        <v>0</v>
      </c>
      <c r="AA12" s="110">
        <v>0</v>
      </c>
      <c r="AB12" s="110">
        <f t="shared" si="6"/>
        <v>0</v>
      </c>
      <c r="AC12" s="110">
        <f t="shared" si="6"/>
        <v>0</v>
      </c>
      <c r="AD12" s="110">
        <f t="shared" si="6"/>
        <v>0</v>
      </c>
      <c r="AE12" s="110">
        <v>0</v>
      </c>
      <c r="AF12" s="110">
        <f t="shared" si="6"/>
        <v>0</v>
      </c>
      <c r="AG12" s="110">
        <f t="shared" si="6"/>
        <v>0</v>
      </c>
      <c r="AH12" s="110">
        <f t="shared" si="6"/>
        <v>0</v>
      </c>
      <c r="AI12" s="110">
        <f t="shared" si="6"/>
        <v>0</v>
      </c>
    </row>
    <row r="13" spans="1:37" s="2" customFormat="1" ht="20.149999999999999" customHeight="1" x14ac:dyDescent="0.35">
      <c r="A13" s="37"/>
      <c r="B13" s="39" t="s">
        <v>441</v>
      </c>
      <c r="C13" s="169"/>
      <c r="D13" s="169">
        <v>100</v>
      </c>
      <c r="E13" s="169">
        <v>0</v>
      </c>
      <c r="F13" s="169">
        <v>100</v>
      </c>
      <c r="G13" s="169">
        <v>7000</v>
      </c>
      <c r="H13" s="169">
        <v>1000</v>
      </c>
      <c r="I13" s="169">
        <v>500</v>
      </c>
      <c r="J13" s="169">
        <v>2000</v>
      </c>
      <c r="L13" s="170">
        <f t="shared" si="0"/>
        <v>10700</v>
      </c>
      <c r="N13" s="275"/>
      <c r="O13" s="275"/>
      <c r="P13" s="275"/>
      <c r="Q13" s="275"/>
      <c r="R13" s="275"/>
      <c r="S13" s="275"/>
      <c r="T13" s="275"/>
      <c r="U13" s="172"/>
      <c r="V13" s="110">
        <v>0</v>
      </c>
      <c r="W13" s="110">
        <f>V13</f>
        <v>0</v>
      </c>
      <c r="X13" s="110">
        <v>0</v>
      </c>
      <c r="Y13" s="110">
        <f>X13</f>
        <v>0</v>
      </c>
      <c r="Z13" s="110">
        <f>Y13</f>
        <v>0</v>
      </c>
      <c r="AA13" s="110">
        <v>0</v>
      </c>
      <c r="AB13" s="110">
        <f>AA13</f>
        <v>0</v>
      </c>
      <c r="AC13" s="110">
        <f>AB13</f>
        <v>0</v>
      </c>
      <c r="AD13" s="110">
        <f>AC13</f>
        <v>0</v>
      </c>
      <c r="AE13" s="110">
        <v>0</v>
      </c>
      <c r="AF13" s="110">
        <f>AE13</f>
        <v>0</v>
      </c>
      <c r="AG13" s="110">
        <f>AF13</f>
        <v>0</v>
      </c>
      <c r="AH13" s="110">
        <f t="shared" si="4"/>
        <v>0</v>
      </c>
      <c r="AI13" s="110">
        <f t="shared" si="2"/>
        <v>0</v>
      </c>
    </row>
    <row r="14" spans="1:37" s="2" customFormat="1" ht="20.149999999999999" customHeight="1" x14ac:dyDescent="0.35">
      <c r="A14" s="37"/>
      <c r="B14" s="13"/>
      <c r="C14" s="173"/>
      <c r="D14" s="173"/>
      <c r="E14" s="173"/>
      <c r="F14" s="173"/>
      <c r="G14" s="173"/>
      <c r="H14" s="173"/>
      <c r="I14" s="173"/>
      <c r="J14" s="173"/>
      <c r="K14" s="173"/>
      <c r="L14" s="173"/>
      <c r="M14" s="173"/>
      <c r="N14" s="173"/>
      <c r="O14" s="173"/>
      <c r="P14" s="173"/>
      <c r="Q14" s="173"/>
      <c r="R14" s="173"/>
      <c r="S14" s="173"/>
      <c r="T14" s="173"/>
      <c r="U14" s="173"/>
      <c r="V14" s="173"/>
      <c r="W14" s="173"/>
      <c r="X14" s="173"/>
      <c r="Y14" s="173"/>
      <c r="Z14" s="173"/>
      <c r="AA14" s="173"/>
      <c r="AB14" s="173"/>
      <c r="AC14" s="173"/>
      <c r="AD14" s="173"/>
      <c r="AE14" s="173"/>
      <c r="AF14" s="173"/>
      <c r="AG14" s="173"/>
      <c r="AH14" s="173"/>
      <c r="AI14" s="173"/>
      <c r="AJ14" s="173"/>
    </row>
    <row r="15" spans="1:37" s="2" customFormat="1" ht="20.149999999999999" customHeight="1" x14ac:dyDescent="0.35">
      <c r="A15" s="37"/>
      <c r="B15" s="276"/>
      <c r="C15" s="375"/>
      <c r="D15" s="375"/>
      <c r="E15" s="375"/>
      <c r="F15" s="375"/>
      <c r="G15" s="375"/>
      <c r="H15" s="376"/>
      <c r="I15" s="376"/>
      <c r="J15" s="377"/>
      <c r="L15" s="374"/>
      <c r="N15" s="174" t="s">
        <v>480</v>
      </c>
      <c r="O15" s="110">
        <f>$C$30</f>
        <v>23.5</v>
      </c>
      <c r="P15" s="174">
        <v>200</v>
      </c>
      <c r="Q15" s="175">
        <f>O15*P15*4</f>
        <v>18800</v>
      </c>
      <c r="R15" s="110">
        <f>Q15*1.16</f>
        <v>21808</v>
      </c>
      <c r="S15" s="110">
        <f>L8+Q15</f>
        <v>29500</v>
      </c>
      <c r="T15" s="175">
        <f>S15/$C$26</f>
        <v>1632.5401217487549</v>
      </c>
      <c r="U15" s="176"/>
      <c r="V15" s="110">
        <f>Q15</f>
        <v>18800</v>
      </c>
      <c r="W15" s="110">
        <f>Q15</f>
        <v>18800</v>
      </c>
      <c r="X15" s="110">
        <v>0</v>
      </c>
      <c r="Y15" s="110">
        <f t="shared" ref="Y15:AG15" si="7">X15</f>
        <v>0</v>
      </c>
      <c r="Z15" s="110">
        <f t="shared" si="7"/>
        <v>0</v>
      </c>
      <c r="AA15" s="110">
        <v>0</v>
      </c>
      <c r="AB15" s="110">
        <f t="shared" si="7"/>
        <v>0</v>
      </c>
      <c r="AC15" s="110">
        <f t="shared" si="7"/>
        <v>0</v>
      </c>
      <c r="AD15" s="110">
        <f t="shared" si="7"/>
        <v>0</v>
      </c>
      <c r="AE15" s="110">
        <f t="shared" si="7"/>
        <v>0</v>
      </c>
      <c r="AF15" s="110">
        <f t="shared" si="7"/>
        <v>0</v>
      </c>
      <c r="AG15" s="110">
        <f t="shared" si="7"/>
        <v>0</v>
      </c>
      <c r="AH15" s="110">
        <f t="shared" si="4"/>
        <v>0</v>
      </c>
      <c r="AI15" s="110">
        <f t="shared" si="2"/>
        <v>0</v>
      </c>
    </row>
    <row r="16" spans="1:37" s="2" customFormat="1" ht="20.149999999999999" customHeight="1" x14ac:dyDescent="0.35">
      <c r="A16" s="37"/>
      <c r="B16" s="276"/>
      <c r="C16" s="375"/>
      <c r="D16" s="375"/>
      <c r="E16" s="375"/>
      <c r="F16" s="375"/>
      <c r="G16" s="375"/>
      <c r="H16" s="376"/>
      <c r="I16" s="376"/>
      <c r="J16" s="276"/>
      <c r="L16" s="374"/>
      <c r="N16" s="174" t="s">
        <v>457</v>
      </c>
      <c r="O16" s="110">
        <f>$C$30</f>
        <v>23.5</v>
      </c>
      <c r="P16" s="174">
        <v>1200</v>
      </c>
      <c r="Q16" s="175">
        <f>O16*P16*4</f>
        <v>112800</v>
      </c>
      <c r="R16" s="110">
        <f>Q16*1.16</f>
        <v>130847.99999999999</v>
      </c>
      <c r="S16" s="110">
        <f>L9+R16</f>
        <v>141548</v>
      </c>
      <c r="T16" s="175">
        <f>S16/$C$26</f>
        <v>7833.3148865522962</v>
      </c>
      <c r="U16" s="176"/>
      <c r="V16" s="110">
        <f>Q16</f>
        <v>112800</v>
      </c>
      <c r="W16" s="110">
        <f>Q16</f>
        <v>112800</v>
      </c>
      <c r="X16" s="110">
        <v>0</v>
      </c>
      <c r="Y16" s="110">
        <f t="shared" ref="Y16:AG17" si="8">X16</f>
        <v>0</v>
      </c>
      <c r="Z16" s="110">
        <f t="shared" si="8"/>
        <v>0</v>
      </c>
      <c r="AA16" s="110">
        <v>0</v>
      </c>
      <c r="AB16" s="110">
        <f t="shared" si="8"/>
        <v>0</v>
      </c>
      <c r="AC16" s="110">
        <f t="shared" si="8"/>
        <v>0</v>
      </c>
      <c r="AD16" s="110">
        <f t="shared" si="8"/>
        <v>0</v>
      </c>
      <c r="AE16" s="110">
        <f t="shared" si="8"/>
        <v>0</v>
      </c>
      <c r="AF16" s="110">
        <f t="shared" si="8"/>
        <v>0</v>
      </c>
      <c r="AG16" s="110">
        <f t="shared" si="8"/>
        <v>0</v>
      </c>
      <c r="AH16" s="110">
        <f t="shared" si="4"/>
        <v>0</v>
      </c>
      <c r="AI16" s="110">
        <f t="shared" si="2"/>
        <v>0</v>
      </c>
    </row>
    <row r="17" spans="1:35" s="2" customFormat="1" ht="20.149999999999999" customHeight="1" x14ac:dyDescent="0.35">
      <c r="A17" s="37"/>
      <c r="B17" s="276"/>
      <c r="C17" s="375"/>
      <c r="D17" s="375"/>
      <c r="E17" s="375"/>
      <c r="F17" s="375"/>
      <c r="G17" s="375"/>
      <c r="H17" s="376"/>
      <c r="I17" s="376"/>
      <c r="J17" s="276"/>
      <c r="L17" s="374"/>
      <c r="N17" s="174" t="s">
        <v>479</v>
      </c>
      <c r="O17" s="110">
        <f>$C$30</f>
        <v>23.5</v>
      </c>
      <c r="P17" s="174">
        <v>200</v>
      </c>
      <c r="Q17" s="175">
        <f>O17*P17*4</f>
        <v>18800</v>
      </c>
      <c r="R17" s="110">
        <f>Q17*1.16</f>
        <v>21808</v>
      </c>
      <c r="S17" s="110">
        <f>L11+R17</f>
        <v>32508</v>
      </c>
      <c r="T17" s="175">
        <f>S17/$C$26</f>
        <v>1799.0038738240178</v>
      </c>
      <c r="U17" s="176"/>
      <c r="V17" s="110">
        <f>Q17</f>
        <v>18800</v>
      </c>
      <c r="W17" s="110">
        <f>Q17</f>
        <v>18800</v>
      </c>
      <c r="X17" s="110">
        <v>0</v>
      </c>
      <c r="Y17" s="110">
        <f t="shared" si="8"/>
        <v>0</v>
      </c>
      <c r="Z17" s="110">
        <f t="shared" si="8"/>
        <v>0</v>
      </c>
      <c r="AA17" s="110">
        <v>0</v>
      </c>
      <c r="AB17" s="110">
        <f t="shared" si="8"/>
        <v>0</v>
      </c>
      <c r="AC17" s="110">
        <f t="shared" si="8"/>
        <v>0</v>
      </c>
      <c r="AD17" s="110">
        <f t="shared" si="8"/>
        <v>0</v>
      </c>
      <c r="AE17" s="110">
        <f t="shared" si="8"/>
        <v>0</v>
      </c>
      <c r="AF17" s="110">
        <f t="shared" si="8"/>
        <v>0</v>
      </c>
      <c r="AG17" s="110">
        <f t="shared" si="8"/>
        <v>0</v>
      </c>
      <c r="AH17" s="110">
        <f>AG17</f>
        <v>0</v>
      </c>
      <c r="AI17" s="110">
        <f>AH17</f>
        <v>0</v>
      </c>
    </row>
    <row r="18" spans="1:35" s="2" customFormat="1" ht="20.149999999999999" customHeight="1" x14ac:dyDescent="0.35">
      <c r="A18" s="37"/>
      <c r="B18" s="276"/>
      <c r="C18" s="375"/>
      <c r="D18" s="375"/>
      <c r="E18" s="375"/>
      <c r="F18" s="375"/>
      <c r="G18" s="375"/>
      <c r="H18" s="376"/>
      <c r="I18" s="376"/>
      <c r="J18" s="276"/>
      <c r="L18" s="374"/>
      <c r="N18" s="174"/>
      <c r="O18" s="110">
        <f>$C$30</f>
        <v>23.5</v>
      </c>
      <c r="P18" s="174">
        <v>0</v>
      </c>
      <c r="Q18" s="175">
        <f>O18*P18*4</f>
        <v>0</v>
      </c>
      <c r="R18" s="110">
        <f>Q18*1.16</f>
        <v>0</v>
      </c>
      <c r="S18" s="110">
        <f>L13+R18</f>
        <v>10700</v>
      </c>
      <c r="T18" s="175">
        <f>S18/$C$26</f>
        <v>592.14167127836197</v>
      </c>
      <c r="U18" s="176"/>
      <c r="V18" s="110">
        <v>0</v>
      </c>
      <c r="W18" s="110">
        <f t="shared" ref="W18:AG18" si="9">V18</f>
        <v>0</v>
      </c>
      <c r="X18" s="110">
        <f>Q18</f>
        <v>0</v>
      </c>
      <c r="Y18" s="110">
        <f t="shared" si="9"/>
        <v>0</v>
      </c>
      <c r="Z18" s="110">
        <f t="shared" si="9"/>
        <v>0</v>
      </c>
      <c r="AA18" s="110">
        <f t="shared" si="9"/>
        <v>0</v>
      </c>
      <c r="AB18" s="110">
        <f t="shared" si="9"/>
        <v>0</v>
      </c>
      <c r="AC18" s="110">
        <f t="shared" si="9"/>
        <v>0</v>
      </c>
      <c r="AD18" s="110">
        <f t="shared" si="9"/>
        <v>0</v>
      </c>
      <c r="AE18" s="110">
        <f t="shared" si="9"/>
        <v>0</v>
      </c>
      <c r="AF18" s="110">
        <f t="shared" si="9"/>
        <v>0</v>
      </c>
      <c r="AG18" s="110">
        <f t="shared" si="9"/>
        <v>0</v>
      </c>
      <c r="AH18" s="110">
        <f t="shared" si="4"/>
        <v>0</v>
      </c>
      <c r="AI18" s="110">
        <f t="shared" si="2"/>
        <v>0</v>
      </c>
    </row>
    <row r="19" spans="1:35" s="2" customFormat="1" ht="20.149999999999999" customHeight="1" x14ac:dyDescent="0.35">
      <c r="A19" s="37"/>
      <c r="B19" s="13"/>
      <c r="C19" s="173"/>
      <c r="D19" s="173"/>
      <c r="E19" s="173"/>
      <c r="F19" s="173"/>
      <c r="G19" s="177"/>
      <c r="H19" s="116"/>
      <c r="I19" s="116"/>
      <c r="J19" s="178"/>
      <c r="L19" s="179"/>
      <c r="N19" s="180"/>
      <c r="O19" s="136"/>
      <c r="P19" s="136"/>
      <c r="Q19" s="136"/>
      <c r="R19" s="136"/>
      <c r="S19" s="172"/>
      <c r="T19" s="172"/>
      <c r="U19" s="172"/>
      <c r="V19" s="171"/>
      <c r="W19" s="171"/>
      <c r="X19" s="171"/>
      <c r="Y19" s="171"/>
      <c r="Z19" s="171"/>
      <c r="AA19" s="171"/>
      <c r="AB19" s="171"/>
      <c r="AC19" s="171"/>
      <c r="AD19" s="171"/>
      <c r="AE19" s="171"/>
      <c r="AF19" s="171"/>
      <c r="AG19" s="171"/>
      <c r="AH19" s="171"/>
      <c r="AI19" s="171"/>
    </row>
    <row r="20" spans="1:35" s="2" customFormat="1" ht="20.149999999999999" customHeight="1" x14ac:dyDescent="0.35">
      <c r="A20" s="11"/>
      <c r="B20" s="13"/>
      <c r="C20" s="173"/>
      <c r="D20" s="173"/>
      <c r="E20" s="173"/>
      <c r="F20" s="173"/>
      <c r="G20" s="177"/>
      <c r="H20" s="116"/>
      <c r="I20" s="116"/>
      <c r="J20" s="178"/>
      <c r="L20" s="179"/>
      <c r="N20" s="180"/>
      <c r="O20" s="136"/>
      <c r="P20" s="136"/>
      <c r="Q20" s="136"/>
      <c r="R20" s="136"/>
      <c r="S20"/>
      <c r="T20" s="102" t="s">
        <v>262</v>
      </c>
      <c r="V20" s="181">
        <f>SUM(V8:V13)</f>
        <v>0</v>
      </c>
      <c r="W20" s="181">
        <f>SUM(W8:W13)</f>
        <v>0</v>
      </c>
      <c r="X20" s="181">
        <f>SUM(X8:X13)</f>
        <v>0</v>
      </c>
      <c r="Y20" s="181">
        <f t="shared" ref="Y20:AI20" si="10">SUM(Y8:Y13)</f>
        <v>0</v>
      </c>
      <c r="Z20" s="181">
        <f t="shared" si="10"/>
        <v>0</v>
      </c>
      <c r="AA20" s="181">
        <f>SUM(AA8:AA13)</f>
        <v>0</v>
      </c>
      <c r="AB20" s="181">
        <f t="shared" si="10"/>
        <v>0</v>
      </c>
      <c r="AC20" s="181">
        <f t="shared" si="10"/>
        <v>0</v>
      </c>
      <c r="AD20" s="181">
        <f t="shared" si="10"/>
        <v>0</v>
      </c>
      <c r="AE20" s="181">
        <f t="shared" si="10"/>
        <v>0</v>
      </c>
      <c r="AF20" s="181">
        <f t="shared" si="10"/>
        <v>0</v>
      </c>
      <c r="AG20" s="181">
        <f t="shared" si="10"/>
        <v>0</v>
      </c>
      <c r="AH20" s="181">
        <f t="shared" si="10"/>
        <v>0</v>
      </c>
      <c r="AI20" s="181">
        <f t="shared" si="10"/>
        <v>0</v>
      </c>
    </row>
    <row r="21" spans="1:35" s="2" customFormat="1" ht="20.149999999999999" customHeight="1" x14ac:dyDescent="0.35">
      <c r="A21" s="11"/>
      <c r="B21" s="13"/>
      <c r="C21" s="173"/>
      <c r="D21" s="173"/>
      <c r="E21" s="173"/>
      <c r="F21" s="173"/>
      <c r="G21" s="177"/>
      <c r="H21" s="116"/>
      <c r="I21" s="116"/>
      <c r="J21" s="178"/>
      <c r="L21" s="179"/>
      <c r="N21" s="180"/>
      <c r="O21" s="136"/>
      <c r="P21" s="136"/>
      <c r="Q21"/>
      <c r="R21"/>
      <c r="S21"/>
      <c r="T21" s="103" t="s">
        <v>263</v>
      </c>
      <c r="V21" s="182">
        <f t="shared" ref="V21:AI21" si="11">V20/$C$26</f>
        <v>0</v>
      </c>
      <c r="W21" s="182">
        <f t="shared" si="11"/>
        <v>0</v>
      </c>
      <c r="X21" s="182">
        <f t="shared" si="11"/>
        <v>0</v>
      </c>
      <c r="Y21" s="182">
        <f t="shared" si="11"/>
        <v>0</v>
      </c>
      <c r="Z21" s="182">
        <f t="shared" si="11"/>
        <v>0</v>
      </c>
      <c r="AA21" s="182">
        <f t="shared" si="11"/>
        <v>0</v>
      </c>
      <c r="AB21" s="182">
        <f t="shared" si="11"/>
        <v>0</v>
      </c>
      <c r="AC21" s="182">
        <f t="shared" si="11"/>
        <v>0</v>
      </c>
      <c r="AD21" s="182">
        <f t="shared" si="11"/>
        <v>0</v>
      </c>
      <c r="AE21" s="182">
        <f t="shared" si="11"/>
        <v>0</v>
      </c>
      <c r="AF21" s="182">
        <f t="shared" si="11"/>
        <v>0</v>
      </c>
      <c r="AG21" s="182">
        <f t="shared" si="11"/>
        <v>0</v>
      </c>
      <c r="AH21" s="182">
        <f t="shared" si="11"/>
        <v>0</v>
      </c>
      <c r="AI21" s="182">
        <f t="shared" si="11"/>
        <v>0</v>
      </c>
    </row>
    <row r="22" spans="1:35" ht="20.149999999999999" customHeight="1" x14ac:dyDescent="0.35">
      <c r="L22" s="179"/>
      <c r="M22" s="2"/>
      <c r="N22" s="180"/>
      <c r="O22" s="136"/>
      <c r="Q22"/>
      <c r="R22"/>
      <c r="S22"/>
      <c r="T22" s="102" t="s">
        <v>284</v>
      </c>
      <c r="U22" s="176"/>
      <c r="V22" s="181">
        <f>SUM(V15:V18)</f>
        <v>150400</v>
      </c>
      <c r="W22" s="181">
        <f t="shared" ref="W22:AG22" si="12">SUM(W15:W18)</f>
        <v>150400</v>
      </c>
      <c r="X22" s="181">
        <f t="shared" si="12"/>
        <v>0</v>
      </c>
      <c r="Y22" s="181">
        <f t="shared" si="12"/>
        <v>0</v>
      </c>
      <c r="Z22" s="181">
        <f t="shared" si="12"/>
        <v>0</v>
      </c>
      <c r="AA22" s="181">
        <f t="shared" si="12"/>
        <v>0</v>
      </c>
      <c r="AB22" s="181">
        <f t="shared" si="12"/>
        <v>0</v>
      </c>
      <c r="AC22" s="181">
        <f t="shared" si="12"/>
        <v>0</v>
      </c>
      <c r="AD22" s="181">
        <f t="shared" si="12"/>
        <v>0</v>
      </c>
      <c r="AE22" s="181">
        <f t="shared" si="12"/>
        <v>0</v>
      </c>
      <c r="AF22" s="181">
        <f t="shared" si="12"/>
        <v>0</v>
      </c>
      <c r="AG22" s="181">
        <f t="shared" si="12"/>
        <v>0</v>
      </c>
      <c r="AH22" s="181">
        <f>SUM(AH15:AH18)</f>
        <v>0</v>
      </c>
      <c r="AI22" s="181">
        <f>SUM(AI15:AI18)</f>
        <v>0</v>
      </c>
    </row>
    <row r="23" spans="1:35" ht="20.149999999999999" customHeight="1" x14ac:dyDescent="0.35">
      <c r="L23" s="179"/>
      <c r="M23" s="2"/>
      <c r="N23" s="180"/>
      <c r="O23" s="136"/>
      <c r="Q23"/>
      <c r="R23"/>
      <c r="S23"/>
      <c r="T23" s="103" t="s">
        <v>261</v>
      </c>
      <c r="U23" s="136"/>
      <c r="V23" s="182">
        <f t="shared" ref="V23:AI23" si="13">V22/$C$26</f>
        <v>8323.1876037631428</v>
      </c>
      <c r="W23" s="182">
        <f t="shared" si="13"/>
        <v>8323.1876037631428</v>
      </c>
      <c r="X23" s="182">
        <f t="shared" si="13"/>
        <v>0</v>
      </c>
      <c r="Y23" s="182">
        <f t="shared" si="13"/>
        <v>0</v>
      </c>
      <c r="Z23" s="182">
        <f t="shared" si="13"/>
        <v>0</v>
      </c>
      <c r="AA23" s="182">
        <f t="shared" si="13"/>
        <v>0</v>
      </c>
      <c r="AB23" s="182">
        <f t="shared" si="13"/>
        <v>0</v>
      </c>
      <c r="AC23" s="182">
        <f t="shared" si="13"/>
        <v>0</v>
      </c>
      <c r="AD23" s="182">
        <f t="shared" si="13"/>
        <v>0</v>
      </c>
      <c r="AE23" s="182">
        <f t="shared" si="13"/>
        <v>0</v>
      </c>
      <c r="AF23" s="182">
        <f t="shared" si="13"/>
        <v>0</v>
      </c>
      <c r="AG23" s="182">
        <f t="shared" si="13"/>
        <v>0</v>
      </c>
      <c r="AH23" s="182">
        <f t="shared" si="13"/>
        <v>0</v>
      </c>
      <c r="AI23" s="182">
        <f t="shared" si="13"/>
        <v>0</v>
      </c>
    </row>
    <row r="24" spans="1:35" s="140" customFormat="1" ht="20.149999999999999" customHeight="1" x14ac:dyDescent="0.35"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79"/>
      <c r="M24" s="2"/>
      <c r="N24" s="180"/>
      <c r="O24" s="136"/>
      <c r="P24" s="11"/>
      <c r="Q24"/>
      <c r="R24"/>
      <c r="S24"/>
      <c r="T24" s="11"/>
    </row>
    <row r="25" spans="1:35" s="140" customFormat="1" ht="20.149999999999999" customHeight="1" x14ac:dyDescent="0.35">
      <c r="B25" s="49" t="str">
        <f>'F03 COM Y EQ COM'!B49</f>
        <v>Premisas</v>
      </c>
      <c r="C25" s="49"/>
      <c r="F25" s="11"/>
      <c r="G25" s="11"/>
      <c r="H25" s="11"/>
      <c r="I25" s="11"/>
      <c r="J25" s="11"/>
      <c r="K25" s="11"/>
      <c r="M25" s="2"/>
      <c r="N25" s="180"/>
      <c r="O25" s="136"/>
      <c r="P25" s="11"/>
      <c r="Q25"/>
      <c r="R25"/>
      <c r="S25"/>
      <c r="T25" s="102" t="s">
        <v>262</v>
      </c>
      <c r="V25" s="181">
        <f>SUM(V20+V22)</f>
        <v>150400</v>
      </c>
      <c r="W25" s="181">
        <f>SUM(W20+W22)</f>
        <v>150400</v>
      </c>
      <c r="X25" s="181">
        <f>SUM(X20,X22)</f>
        <v>0</v>
      </c>
      <c r="Y25" s="181">
        <f t="shared" ref="Y25:AI25" si="14">SUM(Y20,Y22)</f>
        <v>0</v>
      </c>
      <c r="Z25" s="181">
        <f t="shared" si="14"/>
        <v>0</v>
      </c>
      <c r="AA25" s="181">
        <f t="shared" si="14"/>
        <v>0</v>
      </c>
      <c r="AB25" s="181">
        <f t="shared" si="14"/>
        <v>0</v>
      </c>
      <c r="AC25" s="181">
        <f t="shared" si="14"/>
        <v>0</v>
      </c>
      <c r="AD25" s="181">
        <f t="shared" si="14"/>
        <v>0</v>
      </c>
      <c r="AE25" s="181">
        <f t="shared" si="14"/>
        <v>0</v>
      </c>
      <c r="AF25" s="181">
        <f t="shared" si="14"/>
        <v>0</v>
      </c>
      <c r="AG25" s="181">
        <f t="shared" si="14"/>
        <v>0</v>
      </c>
      <c r="AH25" s="181">
        <f t="shared" si="14"/>
        <v>0</v>
      </c>
      <c r="AI25" s="181">
        <f t="shared" si="14"/>
        <v>0</v>
      </c>
    </row>
    <row r="26" spans="1:35" s="140" customFormat="1" ht="20.149999999999999" customHeight="1" x14ac:dyDescent="0.35">
      <c r="A26" s="131"/>
      <c r="B26" s="20" t="str">
        <f>'F03 COM Y EQ COM'!B50</f>
        <v>Paridad</v>
      </c>
      <c r="C26" s="52">
        <f>'F03 COM Y EQ COM'!C50</f>
        <v>18.07</v>
      </c>
      <c r="F26" s="11"/>
      <c r="G26" s="11"/>
      <c r="H26" s="11"/>
      <c r="I26" s="11"/>
      <c r="J26" s="11"/>
      <c r="K26" s="11"/>
      <c r="M26" s="2"/>
      <c r="N26" s="180"/>
      <c r="O26" s="136"/>
      <c r="P26" s="11"/>
      <c r="Q26"/>
      <c r="R26"/>
      <c r="S26"/>
      <c r="T26" s="103" t="s">
        <v>263</v>
      </c>
      <c r="V26" s="182">
        <f t="shared" ref="V26:AI26" si="15">V25/$C$26</f>
        <v>8323.1876037631428</v>
      </c>
      <c r="W26" s="182">
        <f t="shared" si="15"/>
        <v>8323.1876037631428</v>
      </c>
      <c r="X26" s="182">
        <f t="shared" si="15"/>
        <v>0</v>
      </c>
      <c r="Y26" s="182">
        <f t="shared" si="15"/>
        <v>0</v>
      </c>
      <c r="Z26" s="182">
        <f t="shared" si="15"/>
        <v>0</v>
      </c>
      <c r="AA26" s="182">
        <f t="shared" si="15"/>
        <v>0</v>
      </c>
      <c r="AB26" s="182">
        <f t="shared" si="15"/>
        <v>0</v>
      </c>
      <c r="AC26" s="182">
        <f t="shared" si="15"/>
        <v>0</v>
      </c>
      <c r="AD26" s="182">
        <f t="shared" si="15"/>
        <v>0</v>
      </c>
      <c r="AE26" s="182">
        <f t="shared" si="15"/>
        <v>0</v>
      </c>
      <c r="AF26" s="182">
        <f t="shared" si="15"/>
        <v>0</v>
      </c>
      <c r="AG26" s="182">
        <f t="shared" si="15"/>
        <v>0</v>
      </c>
      <c r="AH26" s="182">
        <f t="shared" si="15"/>
        <v>0</v>
      </c>
      <c r="AI26" s="182">
        <f t="shared" si="15"/>
        <v>0</v>
      </c>
    </row>
    <row r="27" spans="1:35" ht="20.149999999999999" customHeight="1" x14ac:dyDescent="0.35">
      <c r="A27" s="131"/>
      <c r="B27" s="22" t="str">
        <f>'F03 COM Y EQ COM'!B51</f>
        <v xml:space="preserve">Mes </v>
      </c>
      <c r="C27" s="54">
        <f>'F03 COM Y EQ COM'!C51</f>
        <v>30.4</v>
      </c>
      <c r="M27" s="2"/>
      <c r="Q27"/>
      <c r="R27"/>
      <c r="S27"/>
      <c r="T27" s="102" t="s">
        <v>284</v>
      </c>
      <c r="U27" s="11"/>
      <c r="V27" s="51">
        <f>SUM(V25:AI25)</f>
        <v>300800</v>
      </c>
    </row>
    <row r="28" spans="1:35" ht="20.149999999999999" customHeight="1" x14ac:dyDescent="0.35">
      <c r="A28" s="131"/>
      <c r="B28" s="24" t="str">
        <f>'F03 COM Y EQ COM'!B52</f>
        <v>Periodo Pago (días)</v>
      </c>
      <c r="C28" s="55">
        <f>'F03 COM Y EQ COM'!C52</f>
        <v>30</v>
      </c>
      <c r="M28" s="2"/>
      <c r="Q28"/>
      <c r="R28"/>
      <c r="S28"/>
      <c r="T28" s="103" t="s">
        <v>261</v>
      </c>
      <c r="U28" s="11"/>
      <c r="V28" s="182">
        <f>V27/$C$26</f>
        <v>16646.375207526286</v>
      </c>
      <c r="AF28" s="183"/>
      <c r="AG28" s="183"/>
    </row>
    <row r="29" spans="1:35" ht="20.149999999999999" customHeight="1" x14ac:dyDescent="0.35">
      <c r="B29" s="26" t="str">
        <f>'F03 COM Y EQ COM'!B53</f>
        <v>Gas lp</v>
      </c>
      <c r="C29" s="58">
        <f>'F03 COM Y EQ COM'!C53</f>
        <v>0</v>
      </c>
      <c r="M29" s="2"/>
      <c r="R29" s="11"/>
      <c r="S29" s="11"/>
      <c r="U29" s="11"/>
    </row>
    <row r="30" spans="1:35" s="140" customFormat="1" ht="20.149999999999999" customHeight="1" x14ac:dyDescent="0.35">
      <c r="B30" s="28" t="str">
        <f>'F03 COM Y EQ COM'!B54</f>
        <v>Gasolina Magna</v>
      </c>
      <c r="C30" s="59">
        <v>23.5</v>
      </c>
      <c r="F30" s="11"/>
      <c r="G30" s="11"/>
      <c r="H30" s="11"/>
      <c r="I30" s="11"/>
      <c r="J30" s="11"/>
      <c r="K30" s="11"/>
      <c r="M30" s="11"/>
      <c r="N30" s="11"/>
      <c r="O30" s="11"/>
      <c r="P30" s="11"/>
      <c r="Q30" s="11"/>
      <c r="R30" s="11"/>
      <c r="T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84"/>
      <c r="AH30" s="11"/>
      <c r="AI30" s="11"/>
    </row>
    <row r="31" spans="1:35" s="140" customFormat="1" ht="20.149999999999999" customHeight="1" x14ac:dyDescent="0.35">
      <c r="B31" s="30" t="str">
        <f>'F03 COM Y EQ COM'!B55</f>
        <v>Diesel</v>
      </c>
      <c r="C31" s="60">
        <f>'F03 COM Y EQ COM'!C55</f>
        <v>23</v>
      </c>
      <c r="F31" s="11"/>
      <c r="G31" s="11"/>
      <c r="H31" s="11"/>
      <c r="I31" s="11"/>
      <c r="J31" s="11"/>
      <c r="K31" s="11"/>
      <c r="M31" s="11"/>
      <c r="N31" s="11"/>
      <c r="O31" s="11"/>
      <c r="P31" s="11"/>
      <c r="Q31" s="11"/>
      <c r="R31" s="11"/>
      <c r="T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83"/>
      <c r="AG31" s="183"/>
      <c r="AH31" s="11"/>
      <c r="AI31" s="11"/>
    </row>
    <row r="32" spans="1:35" s="140" customFormat="1" ht="20.149999999999999" customHeight="1" x14ac:dyDescent="0.35"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T32" s="11"/>
      <c r="AH32" s="11"/>
      <c r="AI32" s="11"/>
    </row>
    <row r="33" spans="2:35" s="140" customFormat="1" ht="20.149999999999999" customHeight="1" x14ac:dyDescent="0.35"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T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</row>
    <row r="34" spans="2:35" s="140" customFormat="1" ht="20.149999999999999" customHeight="1" x14ac:dyDescent="0.35">
      <c r="D34"/>
      <c r="E34"/>
      <c r="F34"/>
      <c r="G34" s="11"/>
      <c r="H34" s="11"/>
      <c r="I34" s="11"/>
      <c r="J34" s="11"/>
      <c r="K34"/>
      <c r="L34"/>
      <c r="M34"/>
      <c r="N34"/>
      <c r="O34" s="11"/>
      <c r="P34" s="11"/>
      <c r="Q34" s="11"/>
      <c r="R34" s="11"/>
      <c r="T34" s="11"/>
      <c r="AH34" s="11"/>
      <c r="AI34" s="11"/>
    </row>
    <row r="35" spans="2:35" s="140" customFormat="1" ht="20.149999999999999" customHeight="1" x14ac:dyDescent="0.35">
      <c r="D35"/>
      <c r="E35"/>
      <c r="F35"/>
      <c r="G35" s="11"/>
      <c r="H35" s="11"/>
      <c r="I35" s="11"/>
      <c r="J35" s="11"/>
      <c r="K35"/>
      <c r="L35"/>
      <c r="M35"/>
      <c r="N35"/>
      <c r="O35" s="11"/>
      <c r="P35" s="11"/>
      <c r="Q35" s="11"/>
      <c r="R35" s="11"/>
      <c r="T35" s="11"/>
      <c r="AH35" s="11"/>
      <c r="AI35" s="11"/>
    </row>
    <row r="36" spans="2:35" s="140" customFormat="1" ht="20.149999999999999" customHeight="1" x14ac:dyDescent="0.35">
      <c r="B36" s="11"/>
      <c r="C36" s="11"/>
      <c r="D36"/>
      <c r="E36"/>
      <c r="F36"/>
      <c r="G36"/>
      <c r="H36"/>
      <c r="I36"/>
      <c r="J36"/>
      <c r="K36"/>
      <c r="L36"/>
      <c r="M36"/>
      <c r="N36"/>
      <c r="O36" s="11"/>
      <c r="P36" s="11"/>
      <c r="Q36" s="11"/>
      <c r="R36" s="11"/>
      <c r="T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</row>
    <row r="37" spans="2:35" s="140" customFormat="1" ht="20.149999999999999" customHeight="1" x14ac:dyDescent="0.35">
      <c r="B37" s="13"/>
      <c r="C37" s="173" t="s">
        <v>272</v>
      </c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</row>
    <row r="38" spans="2:35" s="140" customFormat="1" ht="20.149999999999999" customHeight="1" x14ac:dyDescent="0.35">
      <c r="B38" s="13"/>
      <c r="C38" s="173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</row>
    <row r="39" spans="2:35" s="140" customFormat="1" ht="20.149999999999999" customHeight="1" x14ac:dyDescent="0.35">
      <c r="B39" s="11"/>
      <c r="C39" s="11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</row>
    <row r="40" spans="2:35" s="140" customFormat="1" ht="20.149999999999999" customHeight="1" x14ac:dyDescent="0.35">
      <c r="B40" s="11"/>
      <c r="C40" s="11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</row>
    <row r="41" spans="2:35" s="140" customFormat="1" ht="20.149999999999999" customHeight="1" x14ac:dyDescent="0.35">
      <c r="B41" s="11"/>
      <c r="C41" s="11"/>
      <c r="D41"/>
      <c r="E41"/>
      <c r="F41"/>
      <c r="G41"/>
      <c r="H41"/>
      <c r="I41"/>
      <c r="J41"/>
      <c r="K41"/>
      <c r="L41"/>
      <c r="M41"/>
      <c r="N41"/>
      <c r="O41" s="11"/>
      <c r="P41" s="11"/>
      <c r="Q41" s="11"/>
      <c r="R41" s="11"/>
      <c r="T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</row>
    <row r="42" spans="2:35" s="140" customFormat="1" ht="20.149999999999999" customHeight="1" x14ac:dyDescent="0.35">
      <c r="B42" s="11"/>
      <c r="C42" s="11"/>
      <c r="D42"/>
      <c r="E42"/>
      <c r="F42"/>
      <c r="G42"/>
      <c r="H42"/>
      <c r="I42"/>
      <c r="J42"/>
      <c r="K42"/>
      <c r="L42"/>
      <c r="M42"/>
      <c r="N42"/>
      <c r="O42" s="11"/>
      <c r="P42" s="11"/>
      <c r="Q42" s="11"/>
      <c r="R42" s="11"/>
      <c r="T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</row>
    <row r="43" spans="2:35" s="140" customFormat="1" ht="20.149999999999999" customHeight="1" x14ac:dyDescent="0.35">
      <c r="B43" s="11"/>
      <c r="C43" s="11"/>
      <c r="D43"/>
      <c r="E43"/>
      <c r="F43"/>
      <c r="G43"/>
      <c r="H43"/>
      <c r="I43"/>
      <c r="J43"/>
      <c r="K43"/>
      <c r="L43"/>
      <c r="M43"/>
      <c r="N43"/>
      <c r="O43" s="11"/>
      <c r="P43" s="11"/>
      <c r="Q43" s="11"/>
      <c r="R43" s="11"/>
      <c r="T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</row>
    <row r="44" spans="2:35" s="140" customFormat="1" ht="20.149999999999999" customHeight="1" x14ac:dyDescent="0.35">
      <c r="B44" s="11"/>
      <c r="C44" s="11"/>
      <c r="D44"/>
      <c r="E44"/>
      <c r="F44"/>
      <c r="G44"/>
      <c r="H44"/>
      <c r="I44"/>
      <c r="J44"/>
      <c r="K44"/>
      <c r="L44"/>
      <c r="M44"/>
      <c r="N44"/>
      <c r="R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</row>
    <row r="45" spans="2:35" s="140" customFormat="1" ht="20.149999999999999" customHeight="1" x14ac:dyDescent="0.35">
      <c r="B45" s="11"/>
      <c r="C45" s="11"/>
      <c r="D45"/>
      <c r="E45"/>
      <c r="F45"/>
      <c r="G45"/>
      <c r="H45"/>
      <c r="I45"/>
      <c r="J45"/>
      <c r="K45"/>
      <c r="L45"/>
      <c r="M45"/>
      <c r="N45"/>
      <c r="O45" s="11"/>
      <c r="P45" s="11"/>
      <c r="Q45" s="11"/>
      <c r="R45" s="11"/>
      <c r="T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</row>
    <row r="46" spans="2:35" s="140" customFormat="1" ht="20.149999999999999" customHeight="1" x14ac:dyDescent="0.35">
      <c r="B46" s="11"/>
      <c r="C46" s="11"/>
      <c r="D46"/>
      <c r="E46"/>
      <c r="F46"/>
      <c r="G46"/>
      <c r="H46"/>
      <c r="I46"/>
      <c r="J46"/>
      <c r="K46"/>
      <c r="L46"/>
      <c r="M46"/>
      <c r="N46"/>
      <c r="O46" s="11"/>
      <c r="P46" s="11"/>
      <c r="Q46" s="11"/>
      <c r="R46" s="11"/>
      <c r="T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</row>
    <row r="47" spans="2:35" s="140" customFormat="1" ht="20.149999999999999" customHeight="1" x14ac:dyDescent="0.35">
      <c r="B47" s="11"/>
      <c r="C47" s="11"/>
      <c r="D47"/>
      <c r="E47"/>
      <c r="F47"/>
      <c r="G47"/>
      <c r="H47"/>
      <c r="I47"/>
      <c r="J47"/>
      <c r="K47"/>
      <c r="L47"/>
      <c r="M47"/>
      <c r="N47"/>
      <c r="O47" s="11"/>
      <c r="P47" s="11"/>
      <c r="Q47" s="11"/>
      <c r="R47" s="11"/>
      <c r="T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</row>
    <row r="48" spans="2:35" s="140" customFormat="1" ht="20.149999999999999" customHeight="1" x14ac:dyDescent="0.35">
      <c r="B48" s="11"/>
      <c r="C48" s="11"/>
      <c r="D48"/>
      <c r="E48"/>
      <c r="F48"/>
      <c r="G48"/>
      <c r="H48"/>
      <c r="I48"/>
      <c r="J48"/>
      <c r="K48"/>
      <c r="L48"/>
      <c r="M48"/>
      <c r="N48"/>
      <c r="O48" s="11"/>
      <c r="P48" s="11"/>
      <c r="Q48" s="11"/>
      <c r="R48" s="11"/>
      <c r="T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</row>
    <row r="49" spans="2:35" s="140" customFormat="1" ht="20.149999999999999" customHeight="1" x14ac:dyDescent="0.35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T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</row>
    <row r="50" spans="2:35" s="140" customFormat="1" ht="20.149999999999999" customHeight="1" x14ac:dyDescent="0.35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T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</row>
    <row r="51" spans="2:35" s="140" customFormat="1" ht="20.149999999999999" customHeight="1" x14ac:dyDescent="0.35"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T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</row>
    <row r="52" spans="2:35" s="140" customFormat="1" ht="20.149999999999999" customHeight="1" x14ac:dyDescent="0.35"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T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</row>
    <row r="53" spans="2:35" s="140" customFormat="1" ht="20.149999999999999" customHeight="1" x14ac:dyDescent="0.35"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T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</row>
    <row r="54" spans="2:35" s="140" customFormat="1" ht="20.149999999999999" customHeight="1" x14ac:dyDescent="0.35"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T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</row>
    <row r="55" spans="2:35" s="140" customFormat="1" ht="20.149999999999999" customHeight="1" x14ac:dyDescent="0.35"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T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</row>
    <row r="56" spans="2:35" s="140" customFormat="1" ht="20.149999999999999" customHeight="1" x14ac:dyDescent="0.35"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T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</row>
    <row r="57" spans="2:35" s="140" customFormat="1" ht="20.149999999999999" customHeight="1" x14ac:dyDescent="0.35"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T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</row>
    <row r="58" spans="2:35" s="140" customFormat="1" ht="20.149999999999999" customHeight="1" x14ac:dyDescent="0.35"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T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</row>
    <row r="59" spans="2:35" s="140" customFormat="1" ht="20.149999999999999" customHeight="1" x14ac:dyDescent="0.35"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T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</row>
    <row r="60" spans="2:35" s="140" customFormat="1" ht="20.149999999999999" customHeight="1" x14ac:dyDescent="0.35"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T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</row>
    <row r="61" spans="2:35" s="140" customFormat="1" ht="20.149999999999999" customHeight="1" x14ac:dyDescent="0.35"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T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</row>
    <row r="62" spans="2:35" s="140" customFormat="1" ht="20.149999999999999" customHeight="1" x14ac:dyDescent="0.35"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T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</row>
    <row r="63" spans="2:35" s="140" customFormat="1" ht="20.149999999999999" customHeight="1" x14ac:dyDescent="0.35"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T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</row>
    <row r="64" spans="2:35" s="140" customFormat="1" ht="20.149999999999999" customHeight="1" x14ac:dyDescent="0.35"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T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</row>
    <row r="65" spans="2:35" s="140" customFormat="1" ht="20.149999999999999" customHeight="1" x14ac:dyDescent="0.35"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T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</row>
    <row r="66" spans="2:35" s="140" customFormat="1" ht="20.149999999999999" customHeight="1" x14ac:dyDescent="0.35"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T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</row>
    <row r="67" spans="2:35" s="140" customFormat="1" ht="20.149999999999999" customHeight="1" x14ac:dyDescent="0.35"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T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</row>
    <row r="68" spans="2:35" s="140" customFormat="1" ht="20.149999999999999" customHeight="1" x14ac:dyDescent="0.35"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T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</row>
    <row r="69" spans="2:35" s="140" customFormat="1" ht="20.149999999999999" customHeight="1" x14ac:dyDescent="0.35"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T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</row>
    <row r="70" spans="2:35" s="140" customFormat="1" ht="20.149999999999999" customHeight="1" x14ac:dyDescent="0.35"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T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</row>
    <row r="71" spans="2:35" s="140" customFormat="1" ht="20.149999999999999" customHeight="1" x14ac:dyDescent="0.35"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T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</row>
    <row r="72" spans="2:35" s="140" customFormat="1" ht="20.149999999999999" customHeight="1" x14ac:dyDescent="0.35"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T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</row>
    <row r="73" spans="2:35" s="140" customFormat="1" ht="20.149999999999999" customHeight="1" x14ac:dyDescent="0.35"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T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</row>
    <row r="74" spans="2:35" s="140" customFormat="1" ht="20.149999999999999" customHeight="1" x14ac:dyDescent="0.35"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T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</row>
    <row r="75" spans="2:35" s="140" customFormat="1" ht="20.149999999999999" customHeight="1" x14ac:dyDescent="0.35"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T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</row>
    <row r="76" spans="2:35" s="140" customFormat="1" ht="20.149999999999999" customHeight="1" x14ac:dyDescent="0.35"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T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</row>
    <row r="77" spans="2:35" s="140" customFormat="1" ht="20.149999999999999" customHeight="1" x14ac:dyDescent="0.35"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T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</row>
    <row r="78" spans="2:35" s="140" customFormat="1" ht="20.149999999999999" customHeight="1" x14ac:dyDescent="0.35"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T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</row>
    <row r="79" spans="2:35" s="140" customFormat="1" ht="20.149999999999999" customHeight="1" x14ac:dyDescent="0.35"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T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</row>
    <row r="80" spans="2:35" s="140" customFormat="1" ht="20.149999999999999" customHeight="1" x14ac:dyDescent="0.35"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T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</row>
    <row r="81" spans="2:35" s="140" customFormat="1" ht="20.149999999999999" customHeight="1" x14ac:dyDescent="0.35"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T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</row>
    <row r="82" spans="2:35" s="140" customFormat="1" ht="20.149999999999999" customHeight="1" x14ac:dyDescent="0.35"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T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</row>
    <row r="83" spans="2:35" s="140" customFormat="1" ht="20.149999999999999" customHeight="1" x14ac:dyDescent="0.35"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T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</row>
    <row r="84" spans="2:35" s="140" customFormat="1" ht="20.149999999999999" customHeight="1" x14ac:dyDescent="0.35"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85"/>
      <c r="T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</row>
    <row r="85" spans="2:35" s="140" customFormat="1" ht="20.149999999999999" customHeight="1" x14ac:dyDescent="0.35"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85"/>
      <c r="T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</row>
    <row r="86" spans="2:35" s="140" customFormat="1" ht="20.149999999999999" customHeight="1" x14ac:dyDescent="0.35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85"/>
      <c r="T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</row>
    <row r="87" spans="2:35" s="140" customFormat="1" ht="20.149999999999999" customHeight="1" x14ac:dyDescent="0.35"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85"/>
      <c r="T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</row>
  </sheetData>
  <mergeCells count="17">
    <mergeCell ref="O5:O7"/>
    <mergeCell ref="N5:N7"/>
    <mergeCell ref="B5:B7"/>
    <mergeCell ref="C5:C7"/>
    <mergeCell ref="D5:D7"/>
    <mergeCell ref="L5:L7"/>
    <mergeCell ref="J5:J7"/>
    <mergeCell ref="I5:I7"/>
    <mergeCell ref="H5:H7"/>
    <mergeCell ref="G5:G7"/>
    <mergeCell ref="F5:F7"/>
    <mergeCell ref="E5:E7"/>
    <mergeCell ref="P5:P7"/>
    <mergeCell ref="T5:T7"/>
    <mergeCell ref="S5:S7"/>
    <mergeCell ref="R5:R7"/>
    <mergeCell ref="Q5:Q7"/>
  </mergeCells>
  <phoneticPr fontId="8" type="noConversion"/>
  <pageMargins left="0.25" right="0.25" top="0.75" bottom="0.75" header="0.3" footer="0.3"/>
  <pageSetup paperSize="3" scale="48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Z36"/>
  <sheetViews>
    <sheetView topLeftCell="B1" zoomScale="90" zoomScaleNormal="90" workbookViewId="0">
      <pane xSplit="9" ySplit="7" topLeftCell="K8" activePane="bottomRight" state="frozen"/>
      <selection activeCell="B1" sqref="B1"/>
      <selection pane="topRight" activeCell="J1" sqref="J1"/>
      <selection pane="bottomLeft" activeCell="B8" sqref="B8"/>
      <selection pane="bottomRight" activeCell="I14" sqref="I14"/>
    </sheetView>
  </sheetViews>
  <sheetFormatPr baseColWidth="10" defaultColWidth="10.5" defaultRowHeight="20.149999999999999" customHeight="1" x14ac:dyDescent="0.35"/>
  <cols>
    <col min="1" max="1" width="4" style="2" customWidth="1"/>
    <col min="2" max="2" width="34.83203125" style="13" bestFit="1" customWidth="1"/>
    <col min="3" max="3" width="15.08203125" style="14" customWidth="1"/>
    <col min="4" max="4" width="12.08203125" style="14" customWidth="1"/>
    <col min="5" max="5" width="16.33203125" style="14" customWidth="1"/>
    <col min="6" max="6" width="16.08203125" style="14" bestFit="1" customWidth="1"/>
    <col min="7" max="7" width="12.25" style="14" bestFit="1" customWidth="1"/>
    <col min="8" max="8" width="16.58203125" style="14" bestFit="1" customWidth="1"/>
    <col min="9" max="9" width="19.83203125" style="188" customWidth="1"/>
    <col min="10" max="10" width="1.5" style="2" customWidth="1"/>
    <col min="11" max="11" width="14.58203125" style="2" bestFit="1" customWidth="1"/>
    <col min="12" max="21" width="12.5" style="2" customWidth="1"/>
    <col min="22" max="24" width="14.08203125" style="2" customWidth="1"/>
    <col min="25" max="16384" width="10.5" style="2"/>
  </cols>
  <sheetData>
    <row r="1" spans="1:26" ht="20.149999999999999" customHeight="1" x14ac:dyDescent="0.35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spans="1:26" ht="20.149999999999999" customHeight="1" x14ac:dyDescent="0.35">
      <c r="A2" s="33"/>
      <c r="B2" s="35" t="s">
        <v>11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 spans="1:26" ht="20.149999999999999" customHeight="1" x14ac:dyDescent="0.35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</row>
    <row r="4" spans="1:26" ht="20.149999999999999" customHeight="1" x14ac:dyDescent="0.35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249"/>
    </row>
    <row r="5" spans="1:26" ht="20.149999999999999" customHeight="1" x14ac:dyDescent="0.35">
      <c r="A5" s="37"/>
      <c r="B5" s="465" t="s">
        <v>285</v>
      </c>
      <c r="C5" s="465" t="s">
        <v>28</v>
      </c>
      <c r="D5" s="465" t="s">
        <v>264</v>
      </c>
      <c r="E5" s="472" t="s">
        <v>430</v>
      </c>
      <c r="F5" s="472" t="s">
        <v>355</v>
      </c>
      <c r="G5" s="474" t="s">
        <v>335</v>
      </c>
      <c r="H5" s="474" t="s">
        <v>356</v>
      </c>
      <c r="I5" s="476" t="s">
        <v>265</v>
      </c>
      <c r="K5" s="390" t="s">
        <v>84</v>
      </c>
      <c r="L5" s="390" t="s">
        <v>84</v>
      </c>
      <c r="M5" s="391" t="s">
        <v>66</v>
      </c>
      <c r="N5" s="390" t="s">
        <v>67</v>
      </c>
      <c r="O5" s="390" t="s">
        <v>68</v>
      </c>
      <c r="P5" s="390" t="s">
        <v>69</v>
      </c>
      <c r="Q5" s="390" t="s">
        <v>70</v>
      </c>
      <c r="R5" s="390" t="s">
        <v>71</v>
      </c>
      <c r="S5" s="390" t="s">
        <v>72</v>
      </c>
      <c r="T5" s="390" t="s">
        <v>73</v>
      </c>
      <c r="U5" s="390" t="s">
        <v>74</v>
      </c>
      <c r="V5" s="390" t="s">
        <v>75</v>
      </c>
      <c r="W5" s="390" t="s">
        <v>76</v>
      </c>
      <c r="X5" s="390" t="s">
        <v>77</v>
      </c>
    </row>
    <row r="6" spans="1:26" s="3" customFormat="1" ht="20.149999999999999" customHeight="1" x14ac:dyDescent="0.35">
      <c r="A6" s="186"/>
      <c r="B6" s="465"/>
      <c r="C6" s="465"/>
      <c r="D6" s="465"/>
      <c r="E6" s="473"/>
      <c r="F6" s="473"/>
      <c r="G6" s="475"/>
      <c r="H6" s="475"/>
      <c r="I6" s="477"/>
      <c r="K6" s="392" t="s">
        <v>272</v>
      </c>
      <c r="L6" s="392" t="s">
        <v>272</v>
      </c>
      <c r="M6" s="392" t="s">
        <v>436</v>
      </c>
      <c r="N6" s="392" t="s">
        <v>437</v>
      </c>
      <c r="O6" s="392" t="s">
        <v>438</v>
      </c>
      <c r="P6" s="392" t="s">
        <v>439</v>
      </c>
      <c r="Q6" s="392" t="s">
        <v>392</v>
      </c>
      <c r="R6" s="392" t="s">
        <v>393</v>
      </c>
      <c r="S6" s="392" t="s">
        <v>394</v>
      </c>
      <c r="T6" s="392" t="s">
        <v>395</v>
      </c>
      <c r="U6" s="392" t="s">
        <v>396</v>
      </c>
      <c r="V6" s="392" t="s">
        <v>397</v>
      </c>
      <c r="W6" s="392" t="s">
        <v>398</v>
      </c>
      <c r="X6" s="392" t="s">
        <v>399</v>
      </c>
      <c r="Y6" s="2"/>
      <c r="Z6" s="2"/>
    </row>
    <row r="7" spans="1:26" s="3" customFormat="1" ht="20.149999999999999" customHeight="1" x14ac:dyDescent="0.35">
      <c r="A7" s="186"/>
      <c r="B7" s="465"/>
      <c r="C7" s="465"/>
      <c r="D7" s="465"/>
      <c r="E7" s="369" t="s">
        <v>259</v>
      </c>
      <c r="F7" s="370" t="s">
        <v>259</v>
      </c>
      <c r="G7" s="371" t="s">
        <v>260</v>
      </c>
      <c r="H7" s="372" t="s">
        <v>260</v>
      </c>
      <c r="I7" s="373" t="s">
        <v>260</v>
      </c>
      <c r="K7" s="393" t="s">
        <v>272</v>
      </c>
      <c r="L7" s="393" t="s">
        <v>272</v>
      </c>
      <c r="M7" s="393">
        <v>31</v>
      </c>
      <c r="N7" s="393">
        <v>29</v>
      </c>
      <c r="O7" s="393">
        <v>31</v>
      </c>
      <c r="P7" s="393">
        <v>30</v>
      </c>
      <c r="Q7" s="393">
        <v>30</v>
      </c>
      <c r="R7" s="393">
        <v>31</v>
      </c>
      <c r="S7" s="393">
        <v>31</v>
      </c>
      <c r="T7" s="393">
        <v>31</v>
      </c>
      <c r="U7" s="393">
        <v>30</v>
      </c>
      <c r="V7" s="393">
        <v>31</v>
      </c>
      <c r="W7" s="393">
        <v>30</v>
      </c>
      <c r="X7" s="393">
        <v>31</v>
      </c>
      <c r="Y7" s="2"/>
      <c r="Z7" s="2"/>
    </row>
    <row r="8" spans="1:26" ht="20.149999999999999" customHeight="1" x14ac:dyDescent="0.35">
      <c r="A8" s="37"/>
      <c r="B8" s="187" t="s">
        <v>241</v>
      </c>
      <c r="C8" s="43"/>
      <c r="D8" s="39">
        <v>15</v>
      </c>
      <c r="E8" s="108">
        <v>1250</v>
      </c>
      <c r="F8" s="42">
        <f>D8*E8</f>
        <v>18750</v>
      </c>
      <c r="G8" s="42">
        <f>E8*$C$29</f>
        <v>22587.5</v>
      </c>
      <c r="H8" s="42">
        <f>(D8*G8)</f>
        <v>338812.5</v>
      </c>
      <c r="I8" s="42">
        <f>H8*1.16</f>
        <v>393022.5</v>
      </c>
      <c r="K8" s="112">
        <f>H8</f>
        <v>338812.5</v>
      </c>
      <c r="L8" s="112">
        <f>H8</f>
        <v>338812.5</v>
      </c>
      <c r="M8" s="112">
        <v>0</v>
      </c>
      <c r="N8" s="112">
        <f t="shared" ref="N8:V8" si="0">M8</f>
        <v>0</v>
      </c>
      <c r="O8" s="112">
        <v>0</v>
      </c>
      <c r="P8" s="112">
        <f t="shared" si="0"/>
        <v>0</v>
      </c>
      <c r="Q8" s="112">
        <f t="shared" si="0"/>
        <v>0</v>
      </c>
      <c r="R8" s="112">
        <f t="shared" si="0"/>
        <v>0</v>
      </c>
      <c r="S8" s="112">
        <f t="shared" si="0"/>
        <v>0</v>
      </c>
      <c r="T8" s="112">
        <f t="shared" si="0"/>
        <v>0</v>
      </c>
      <c r="U8" s="112">
        <f t="shared" si="0"/>
        <v>0</v>
      </c>
      <c r="V8" s="112">
        <f t="shared" si="0"/>
        <v>0</v>
      </c>
      <c r="W8" s="112">
        <f t="shared" ref="W8:X12" si="1">V8</f>
        <v>0</v>
      </c>
      <c r="X8" s="112">
        <f t="shared" si="1"/>
        <v>0</v>
      </c>
    </row>
    <row r="9" spans="1:26" ht="20.149999999999999" customHeight="1" x14ac:dyDescent="0.35">
      <c r="A9" s="37"/>
      <c r="B9" s="187" t="s">
        <v>242</v>
      </c>
      <c r="C9" s="43"/>
      <c r="D9" s="39">
        <v>3</v>
      </c>
      <c r="E9" s="108">
        <v>172.66</v>
      </c>
      <c r="F9" s="42">
        <f>D9*E9</f>
        <v>517.98</v>
      </c>
      <c r="G9" s="42">
        <f>E9*$C$29</f>
        <v>3119.9661999999998</v>
      </c>
      <c r="H9" s="42">
        <f>(D9*G9)</f>
        <v>9359.8986000000004</v>
      </c>
      <c r="I9" s="42">
        <f>H9*1.16</f>
        <v>10857.482376</v>
      </c>
      <c r="K9" s="112">
        <f>H9</f>
        <v>9359.8986000000004</v>
      </c>
      <c r="L9" s="112">
        <f>K9</f>
        <v>9359.8986000000004</v>
      </c>
      <c r="M9" s="112">
        <v>0</v>
      </c>
      <c r="N9" s="112">
        <f t="shared" ref="N9:V12" si="2">M9</f>
        <v>0</v>
      </c>
      <c r="O9" s="112">
        <v>0</v>
      </c>
      <c r="P9" s="112">
        <f t="shared" si="2"/>
        <v>0</v>
      </c>
      <c r="Q9" s="112">
        <f t="shared" si="2"/>
        <v>0</v>
      </c>
      <c r="R9" s="112">
        <f t="shared" si="2"/>
        <v>0</v>
      </c>
      <c r="S9" s="112">
        <f t="shared" si="2"/>
        <v>0</v>
      </c>
      <c r="T9" s="112">
        <f t="shared" si="2"/>
        <v>0</v>
      </c>
      <c r="U9" s="112">
        <f t="shared" si="2"/>
        <v>0</v>
      </c>
      <c r="V9" s="112">
        <f t="shared" si="2"/>
        <v>0</v>
      </c>
      <c r="W9" s="112">
        <f t="shared" si="1"/>
        <v>0</v>
      </c>
      <c r="X9" s="112">
        <f t="shared" si="1"/>
        <v>0</v>
      </c>
    </row>
    <row r="10" spans="1:26" ht="20.149999999999999" customHeight="1" x14ac:dyDescent="0.35">
      <c r="A10" s="37"/>
      <c r="B10" s="187" t="s">
        <v>243</v>
      </c>
      <c r="C10" s="43"/>
      <c r="D10" s="39">
        <v>0</v>
      </c>
      <c r="E10" s="108">
        <v>221.36137244050911</v>
      </c>
      <c r="F10" s="42">
        <f>D10*E10</f>
        <v>0</v>
      </c>
      <c r="G10" s="42">
        <f>E10*$C$29</f>
        <v>3999.9999999999995</v>
      </c>
      <c r="H10" s="42">
        <f>(D10*G10)</f>
        <v>0</v>
      </c>
      <c r="I10" s="42">
        <f>H10*1.16</f>
        <v>0</v>
      </c>
      <c r="K10" s="112">
        <v>0</v>
      </c>
      <c r="L10" s="112">
        <f>K10</f>
        <v>0</v>
      </c>
      <c r="M10" s="112">
        <v>0</v>
      </c>
      <c r="N10" s="112">
        <f t="shared" si="2"/>
        <v>0</v>
      </c>
      <c r="O10" s="112">
        <v>0</v>
      </c>
      <c r="P10" s="112">
        <f t="shared" si="2"/>
        <v>0</v>
      </c>
      <c r="Q10" s="112">
        <f t="shared" si="2"/>
        <v>0</v>
      </c>
      <c r="R10" s="112">
        <f t="shared" si="2"/>
        <v>0</v>
      </c>
      <c r="S10" s="112">
        <f t="shared" si="2"/>
        <v>0</v>
      </c>
      <c r="T10" s="112">
        <f t="shared" si="2"/>
        <v>0</v>
      </c>
      <c r="U10" s="112">
        <f t="shared" si="2"/>
        <v>0</v>
      </c>
      <c r="V10" s="112">
        <f t="shared" si="2"/>
        <v>0</v>
      </c>
      <c r="W10" s="112">
        <f t="shared" si="1"/>
        <v>0</v>
      </c>
      <c r="X10" s="112">
        <f t="shared" si="1"/>
        <v>0</v>
      </c>
    </row>
    <row r="11" spans="1:26" ht="20.149999999999999" customHeight="1" x14ac:dyDescent="0.35">
      <c r="A11" s="37"/>
      <c r="B11" s="187" t="s">
        <v>244</v>
      </c>
      <c r="C11" s="43"/>
      <c r="D11" s="39">
        <v>0</v>
      </c>
      <c r="E11" s="108">
        <v>120</v>
      </c>
      <c r="F11" s="42">
        <f>D11*E11</f>
        <v>0</v>
      </c>
      <c r="G11" s="42">
        <f>E11*$C$29</f>
        <v>2168.4</v>
      </c>
      <c r="H11" s="42">
        <f>(D11*G11)</f>
        <v>0</v>
      </c>
      <c r="I11" s="42">
        <f>H11*1.16</f>
        <v>0</v>
      </c>
      <c r="K11" s="112">
        <v>0</v>
      </c>
      <c r="L11" s="112">
        <f>K11</f>
        <v>0</v>
      </c>
      <c r="M11" s="112">
        <v>0</v>
      </c>
      <c r="N11" s="112">
        <f t="shared" si="2"/>
        <v>0</v>
      </c>
      <c r="O11" s="112">
        <v>0</v>
      </c>
      <c r="P11" s="112">
        <f t="shared" si="2"/>
        <v>0</v>
      </c>
      <c r="Q11" s="112">
        <f t="shared" si="2"/>
        <v>0</v>
      </c>
      <c r="R11" s="112">
        <f t="shared" si="2"/>
        <v>0</v>
      </c>
      <c r="S11" s="112">
        <f t="shared" si="2"/>
        <v>0</v>
      </c>
      <c r="T11" s="112">
        <f t="shared" si="2"/>
        <v>0</v>
      </c>
      <c r="U11" s="112">
        <f t="shared" si="2"/>
        <v>0</v>
      </c>
      <c r="V11" s="112">
        <f t="shared" si="2"/>
        <v>0</v>
      </c>
      <c r="W11" s="112">
        <f t="shared" si="1"/>
        <v>0</v>
      </c>
      <c r="X11" s="112">
        <f t="shared" si="1"/>
        <v>0</v>
      </c>
    </row>
    <row r="12" spans="1:26" ht="20.149999999999999" customHeight="1" x14ac:dyDescent="0.35">
      <c r="A12" s="37"/>
      <c r="B12" s="187" t="s">
        <v>245</v>
      </c>
      <c r="C12" s="43"/>
      <c r="D12" s="39">
        <v>15</v>
      </c>
      <c r="E12" s="108">
        <v>1664.81</v>
      </c>
      <c r="F12" s="42">
        <f>D12*E12</f>
        <v>24972.149999999998</v>
      </c>
      <c r="G12" s="42">
        <f>E12*$C$29</f>
        <v>30083.116699999999</v>
      </c>
      <c r="H12" s="42">
        <f>(D12*G12)</f>
        <v>451246.75049999997</v>
      </c>
      <c r="I12" s="42">
        <f>H12*1.16</f>
        <v>523446.23057999992</v>
      </c>
      <c r="K12" s="112">
        <f>H12</f>
        <v>451246.75049999997</v>
      </c>
      <c r="L12" s="112">
        <f>K12</f>
        <v>451246.75049999997</v>
      </c>
      <c r="M12" s="112">
        <v>0</v>
      </c>
      <c r="N12" s="112">
        <f t="shared" si="2"/>
        <v>0</v>
      </c>
      <c r="O12" s="112">
        <v>0</v>
      </c>
      <c r="P12" s="112">
        <f t="shared" si="2"/>
        <v>0</v>
      </c>
      <c r="Q12" s="112">
        <f t="shared" si="2"/>
        <v>0</v>
      </c>
      <c r="R12" s="112">
        <f t="shared" si="2"/>
        <v>0</v>
      </c>
      <c r="S12" s="112">
        <f t="shared" si="2"/>
        <v>0</v>
      </c>
      <c r="T12" s="112">
        <f t="shared" si="2"/>
        <v>0</v>
      </c>
      <c r="U12" s="112">
        <f t="shared" si="2"/>
        <v>0</v>
      </c>
      <c r="V12" s="112">
        <f t="shared" si="2"/>
        <v>0</v>
      </c>
      <c r="W12" s="112">
        <f t="shared" si="1"/>
        <v>0</v>
      </c>
      <c r="X12" s="112">
        <f t="shared" si="1"/>
        <v>0</v>
      </c>
    </row>
    <row r="13" spans="1:26" ht="20.149999999999999" customHeight="1" x14ac:dyDescent="0.35">
      <c r="A13" s="37"/>
      <c r="B13" s="2"/>
      <c r="I13" s="14"/>
      <c r="J13" s="188"/>
      <c r="K13" s="188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</row>
    <row r="14" spans="1:26" ht="20.149999999999999" customHeight="1" x14ac:dyDescent="0.35">
      <c r="A14" s="37"/>
      <c r="B14" s="2"/>
      <c r="C14" s="2"/>
      <c r="D14" s="2"/>
      <c r="E14" s="2"/>
      <c r="F14" s="2"/>
      <c r="G14" s="2"/>
      <c r="H14" s="2"/>
      <c r="I14" s="50" t="s">
        <v>262</v>
      </c>
      <c r="K14" s="51">
        <f>SUM(K8:K12)</f>
        <v>799419.14910000004</v>
      </c>
      <c r="L14" s="51">
        <f t="shared" ref="L14:V14" si="3">SUM(L8:L12)</f>
        <v>799419.14910000004</v>
      </c>
      <c r="M14" s="51">
        <f t="shared" si="3"/>
        <v>0</v>
      </c>
      <c r="N14" s="51">
        <f t="shared" si="3"/>
        <v>0</v>
      </c>
      <c r="O14" s="51">
        <f t="shared" si="3"/>
        <v>0</v>
      </c>
      <c r="P14" s="51">
        <f t="shared" si="3"/>
        <v>0</v>
      </c>
      <c r="Q14" s="51">
        <f t="shared" si="3"/>
        <v>0</v>
      </c>
      <c r="R14" s="51">
        <f t="shared" si="3"/>
        <v>0</v>
      </c>
      <c r="S14" s="51">
        <f t="shared" si="3"/>
        <v>0</v>
      </c>
      <c r="T14" s="51">
        <f t="shared" si="3"/>
        <v>0</v>
      </c>
      <c r="U14" s="51">
        <f t="shared" si="3"/>
        <v>0</v>
      </c>
      <c r="V14" s="51">
        <f t="shared" si="3"/>
        <v>0</v>
      </c>
      <c r="W14" s="51">
        <f>SUM(W8:W12)</f>
        <v>0</v>
      </c>
      <c r="X14" s="51">
        <f>SUM(X8:X12)</f>
        <v>0</v>
      </c>
    </row>
    <row r="15" spans="1:26" ht="20.149999999999999" customHeight="1" x14ac:dyDescent="0.35">
      <c r="A15" s="37"/>
      <c r="C15" s="2"/>
      <c r="D15" s="2"/>
      <c r="E15" s="2"/>
      <c r="F15" s="2"/>
      <c r="G15" s="2"/>
      <c r="H15" s="2"/>
      <c r="I15" s="53" t="s">
        <v>263</v>
      </c>
      <c r="K15" s="189">
        <f>K14/$C$29</f>
        <v>44240.130000000005</v>
      </c>
      <c r="L15" s="189">
        <f>L14/20</f>
        <v>39970.957455000003</v>
      </c>
      <c r="M15" s="189">
        <f>M14/20</f>
        <v>0</v>
      </c>
      <c r="N15" s="189">
        <f t="shared" ref="N15:V15" si="4">N14/20</f>
        <v>0</v>
      </c>
      <c r="O15" s="189">
        <f t="shared" si="4"/>
        <v>0</v>
      </c>
      <c r="P15" s="189">
        <f t="shared" si="4"/>
        <v>0</v>
      </c>
      <c r="Q15" s="189">
        <f t="shared" si="4"/>
        <v>0</v>
      </c>
      <c r="R15" s="189">
        <f t="shared" si="4"/>
        <v>0</v>
      </c>
      <c r="S15" s="189">
        <f t="shared" si="4"/>
        <v>0</v>
      </c>
      <c r="T15" s="189">
        <f t="shared" si="4"/>
        <v>0</v>
      </c>
      <c r="U15" s="189">
        <f t="shared" si="4"/>
        <v>0</v>
      </c>
      <c r="V15" s="189">
        <f t="shared" si="4"/>
        <v>0</v>
      </c>
      <c r="W15" s="189">
        <f>W14/20</f>
        <v>0</v>
      </c>
      <c r="X15" s="189">
        <f>X14/20</f>
        <v>0</v>
      </c>
    </row>
    <row r="16" spans="1:26" ht="20.149999999999999" customHeight="1" x14ac:dyDescent="0.35">
      <c r="A16" s="37"/>
      <c r="C16" s="2"/>
      <c r="D16" s="2"/>
      <c r="E16" s="2"/>
      <c r="F16" s="2"/>
      <c r="G16" s="2"/>
      <c r="H16" s="2"/>
      <c r="I16" s="50" t="s">
        <v>284</v>
      </c>
      <c r="K16" s="51">
        <f>SUM(K14:X14)</f>
        <v>1598838.2982000001</v>
      </c>
      <c r="L16" s="188"/>
      <c r="M16" s="188"/>
      <c r="N16" s="188"/>
      <c r="O16" s="188"/>
      <c r="P16" s="188"/>
      <c r="Q16" s="188"/>
      <c r="R16" s="188"/>
      <c r="S16" s="188"/>
      <c r="T16" s="188"/>
      <c r="U16" s="188"/>
      <c r="V16" s="188"/>
      <c r="W16" s="188"/>
      <c r="X16" s="188"/>
    </row>
    <row r="17" spans="1:24" ht="20.149999999999999" customHeight="1" x14ac:dyDescent="0.35">
      <c r="A17" s="37"/>
      <c r="C17" s="2"/>
      <c r="D17" s="2"/>
      <c r="E17" s="2"/>
      <c r="F17" s="2"/>
      <c r="G17" s="2"/>
      <c r="H17" s="2"/>
      <c r="I17" s="53" t="s">
        <v>261</v>
      </c>
      <c r="K17" s="112">
        <f>K16/$C$29</f>
        <v>88480.260000000009</v>
      </c>
      <c r="L17" s="188"/>
      <c r="M17" s="188"/>
      <c r="N17" s="188"/>
      <c r="O17" s="188"/>
      <c r="P17" s="188"/>
      <c r="Q17" s="188"/>
      <c r="R17" s="188"/>
      <c r="S17" s="188"/>
      <c r="T17" s="188"/>
      <c r="U17" s="188"/>
      <c r="V17" s="188"/>
      <c r="W17" s="188"/>
      <c r="X17" s="188"/>
    </row>
    <row r="18" spans="1:24" ht="20.149999999999999" customHeight="1" x14ac:dyDescent="0.35">
      <c r="A18" s="37"/>
      <c r="C18" s="2"/>
      <c r="D18" s="2"/>
      <c r="E18" s="2"/>
      <c r="F18" s="2"/>
      <c r="G18" s="2"/>
      <c r="H18" s="2"/>
      <c r="I18" s="2"/>
      <c r="K18" s="188"/>
      <c r="L18" s="188"/>
      <c r="M18" s="188"/>
      <c r="N18" s="188"/>
      <c r="O18" s="188"/>
      <c r="P18" s="188"/>
      <c r="Q18" s="188"/>
      <c r="R18" s="188"/>
      <c r="S18" s="188"/>
      <c r="T18" s="188"/>
      <c r="U18" s="188"/>
      <c r="V18" s="188"/>
      <c r="W18" s="188"/>
      <c r="X18" s="188"/>
    </row>
    <row r="19" spans="1:24" ht="20.149999999999999" customHeight="1" x14ac:dyDescent="0.35">
      <c r="A19" s="37"/>
    </row>
    <row r="20" spans="1:24" s="3" customFormat="1" ht="20.149999999999999" customHeight="1" x14ac:dyDescent="0.35">
      <c r="A20" s="186"/>
      <c r="B20" s="187" t="s">
        <v>251</v>
      </c>
      <c r="C20" s="169"/>
      <c r="D20" s="39">
        <v>0</v>
      </c>
      <c r="E20" s="108">
        <v>2500</v>
      </c>
      <c r="F20" s="108">
        <f>E20*D20</f>
        <v>0</v>
      </c>
      <c r="G20" s="108">
        <f>F20*C29</f>
        <v>0</v>
      </c>
      <c r="H20" s="108">
        <f>G20*D20</f>
        <v>0</v>
      </c>
      <c r="I20" s="108">
        <f>H20*1.16</f>
        <v>0</v>
      </c>
      <c r="J20" s="2"/>
      <c r="K20" s="112">
        <v>0</v>
      </c>
      <c r="L20" s="112">
        <f>K20</f>
        <v>0</v>
      </c>
      <c r="M20" s="112">
        <v>0</v>
      </c>
      <c r="N20" s="112">
        <f t="shared" ref="N20:V20" si="5">M20</f>
        <v>0</v>
      </c>
      <c r="O20" s="112">
        <v>0</v>
      </c>
      <c r="P20" s="112">
        <f t="shared" si="5"/>
        <v>0</v>
      </c>
      <c r="Q20" s="112">
        <f t="shared" si="5"/>
        <v>0</v>
      </c>
      <c r="R20" s="112">
        <f t="shared" si="5"/>
        <v>0</v>
      </c>
      <c r="S20" s="112">
        <f t="shared" si="5"/>
        <v>0</v>
      </c>
      <c r="T20" s="112">
        <f t="shared" si="5"/>
        <v>0</v>
      </c>
      <c r="U20" s="112">
        <f t="shared" si="5"/>
        <v>0</v>
      </c>
      <c r="V20" s="112">
        <f t="shared" si="5"/>
        <v>0</v>
      </c>
      <c r="W20" s="112">
        <f>V20</f>
        <v>0</v>
      </c>
      <c r="X20" s="112">
        <f>W20</f>
        <v>0</v>
      </c>
    </row>
    <row r="21" spans="1:24" s="3" customFormat="1" ht="20.149999999999999" customHeight="1" x14ac:dyDescent="0.35">
      <c r="A21" s="186"/>
      <c r="B21" s="187" t="s">
        <v>252</v>
      </c>
      <c r="C21" s="169"/>
      <c r="D21" s="39">
        <v>1</v>
      </c>
      <c r="E21" s="108">
        <v>400</v>
      </c>
      <c r="F21" s="108">
        <f>E21*D21</f>
        <v>400</v>
      </c>
      <c r="G21" s="108">
        <f>E21*C29</f>
        <v>7228</v>
      </c>
      <c r="H21" s="108">
        <f>G21*D21</f>
        <v>7228</v>
      </c>
      <c r="I21" s="108">
        <f>H21*1.16</f>
        <v>8384.48</v>
      </c>
      <c r="J21" s="2"/>
      <c r="K21" s="112">
        <f>H21</f>
        <v>7228</v>
      </c>
      <c r="L21" s="112">
        <f>H21</f>
        <v>7228</v>
      </c>
      <c r="M21" s="112">
        <v>0</v>
      </c>
      <c r="N21" s="112">
        <f t="shared" ref="N21:V21" si="6">M21</f>
        <v>0</v>
      </c>
      <c r="O21" s="112">
        <f t="shared" si="6"/>
        <v>0</v>
      </c>
      <c r="P21" s="112">
        <v>0</v>
      </c>
      <c r="Q21" s="112">
        <f t="shared" si="6"/>
        <v>0</v>
      </c>
      <c r="R21" s="112">
        <v>0</v>
      </c>
      <c r="S21" s="112">
        <f t="shared" si="6"/>
        <v>0</v>
      </c>
      <c r="T21" s="112">
        <f t="shared" si="6"/>
        <v>0</v>
      </c>
      <c r="U21" s="112">
        <f t="shared" si="6"/>
        <v>0</v>
      </c>
      <c r="V21" s="112">
        <f t="shared" si="6"/>
        <v>0</v>
      </c>
      <c r="W21" s="112">
        <f>V21</f>
        <v>0</v>
      </c>
      <c r="X21" s="112">
        <f>W21</f>
        <v>0</v>
      </c>
    </row>
    <row r="23" spans="1:24" ht="20.149999999999999" customHeight="1" x14ac:dyDescent="0.35">
      <c r="C23" s="2"/>
      <c r="D23" s="2"/>
      <c r="E23" s="2"/>
      <c r="F23" s="2"/>
      <c r="G23" s="2"/>
      <c r="H23" s="2"/>
      <c r="I23" s="50" t="s">
        <v>262</v>
      </c>
      <c r="J23" s="13"/>
      <c r="K23" s="51">
        <f>SUM(K20:K21)</f>
        <v>7228</v>
      </c>
      <c r="L23" s="51">
        <f>SUM(L20:L21)</f>
        <v>7228</v>
      </c>
      <c r="M23" s="51">
        <f t="shared" ref="M23:V23" si="7">SUM(M20:M21)</f>
        <v>0</v>
      </c>
      <c r="N23" s="51">
        <f t="shared" si="7"/>
        <v>0</v>
      </c>
      <c r="O23" s="51">
        <f t="shared" si="7"/>
        <v>0</v>
      </c>
      <c r="P23" s="51">
        <f t="shared" si="7"/>
        <v>0</v>
      </c>
      <c r="Q23" s="51">
        <f t="shared" si="7"/>
        <v>0</v>
      </c>
      <c r="R23" s="51">
        <f t="shared" si="7"/>
        <v>0</v>
      </c>
      <c r="S23" s="51">
        <f t="shared" si="7"/>
        <v>0</v>
      </c>
      <c r="T23" s="51">
        <f t="shared" si="7"/>
        <v>0</v>
      </c>
      <c r="U23" s="51">
        <f t="shared" si="7"/>
        <v>0</v>
      </c>
      <c r="V23" s="51">
        <f t="shared" si="7"/>
        <v>0</v>
      </c>
      <c r="W23" s="51">
        <f>SUM(W20:W21)</f>
        <v>0</v>
      </c>
      <c r="X23" s="51">
        <f>SUM(X20:X21)</f>
        <v>0</v>
      </c>
    </row>
    <row r="24" spans="1:24" ht="20.149999999999999" customHeight="1" x14ac:dyDescent="0.35">
      <c r="C24" s="2"/>
      <c r="D24" s="2"/>
      <c r="E24" s="2"/>
      <c r="F24" s="2"/>
      <c r="G24" s="2"/>
      <c r="H24" s="2"/>
      <c r="I24" s="53" t="s">
        <v>263</v>
      </c>
      <c r="J24" s="13"/>
      <c r="K24" s="190">
        <f t="shared" ref="K24:V24" si="8">K23/$C$29</f>
        <v>400</v>
      </c>
      <c r="L24" s="190">
        <f t="shared" si="8"/>
        <v>400</v>
      </c>
      <c r="M24" s="190">
        <f t="shared" si="8"/>
        <v>0</v>
      </c>
      <c r="N24" s="190">
        <f t="shared" si="8"/>
        <v>0</v>
      </c>
      <c r="O24" s="190">
        <f t="shared" si="8"/>
        <v>0</v>
      </c>
      <c r="P24" s="190">
        <f t="shared" si="8"/>
        <v>0</v>
      </c>
      <c r="Q24" s="190">
        <f t="shared" si="8"/>
        <v>0</v>
      </c>
      <c r="R24" s="190">
        <f t="shared" si="8"/>
        <v>0</v>
      </c>
      <c r="S24" s="190">
        <f t="shared" si="8"/>
        <v>0</v>
      </c>
      <c r="T24" s="190">
        <f t="shared" si="8"/>
        <v>0</v>
      </c>
      <c r="U24" s="190">
        <f t="shared" si="8"/>
        <v>0</v>
      </c>
      <c r="V24" s="190">
        <f t="shared" si="8"/>
        <v>0</v>
      </c>
      <c r="W24" s="190">
        <f>W23/$C$29</f>
        <v>0</v>
      </c>
      <c r="X24" s="190">
        <f>X23/$C$29</f>
        <v>0</v>
      </c>
    </row>
    <row r="25" spans="1:24" ht="20.149999999999999" customHeight="1" x14ac:dyDescent="0.35">
      <c r="C25" s="2"/>
      <c r="D25" s="2"/>
      <c r="E25" s="2"/>
      <c r="F25" s="2"/>
      <c r="G25" s="2"/>
      <c r="H25" s="2"/>
      <c r="I25" s="50" t="s">
        <v>284</v>
      </c>
      <c r="K25" s="51">
        <f>SUM(K23:X23)</f>
        <v>14456</v>
      </c>
    </row>
    <row r="26" spans="1:24" ht="20.149999999999999" customHeight="1" x14ac:dyDescent="0.35">
      <c r="C26" s="2"/>
      <c r="D26" s="2"/>
      <c r="E26" s="2"/>
      <c r="F26" s="2"/>
      <c r="G26" s="2"/>
      <c r="H26" s="2"/>
      <c r="I26" s="53" t="s">
        <v>261</v>
      </c>
      <c r="K26" s="112">
        <f>K25/20</f>
        <v>722.8</v>
      </c>
    </row>
    <row r="27" spans="1:24" ht="20.149999999999999" customHeight="1" x14ac:dyDescent="0.35">
      <c r="C27" s="2"/>
      <c r="D27" s="2"/>
      <c r="E27" s="2"/>
      <c r="F27" s="2"/>
      <c r="G27" s="2"/>
      <c r="H27" s="2"/>
      <c r="I27" s="2"/>
      <c r="K27" s="18"/>
    </row>
    <row r="28" spans="1:24" ht="20.149999999999999" customHeight="1" x14ac:dyDescent="0.35">
      <c r="B28" s="191" t="str">
        <f>'F04 VEHÍCULOS Y COMB. '!B25</f>
        <v>Premisas</v>
      </c>
      <c r="C28" s="191"/>
      <c r="D28" s="2"/>
      <c r="E28" s="2"/>
      <c r="F28" s="2"/>
      <c r="G28" s="2"/>
      <c r="H28" s="2"/>
      <c r="I28" s="50" t="s">
        <v>262</v>
      </c>
      <c r="J28" s="13"/>
      <c r="K28" s="51">
        <f>SUM(K23+K14)</f>
        <v>806647.14910000004</v>
      </c>
      <c r="L28" s="51">
        <f t="shared" ref="L28:V28" si="9">SUM(L23+L14)</f>
        <v>806647.14910000004</v>
      </c>
      <c r="M28" s="51">
        <f>SUM(M23+M14)</f>
        <v>0</v>
      </c>
      <c r="N28" s="51">
        <f t="shared" si="9"/>
        <v>0</v>
      </c>
      <c r="O28" s="51">
        <f t="shared" si="9"/>
        <v>0</v>
      </c>
      <c r="P28" s="51">
        <f t="shared" si="9"/>
        <v>0</v>
      </c>
      <c r="Q28" s="51">
        <f t="shared" si="9"/>
        <v>0</v>
      </c>
      <c r="R28" s="51">
        <f t="shared" si="9"/>
        <v>0</v>
      </c>
      <c r="S28" s="51">
        <f t="shared" si="9"/>
        <v>0</v>
      </c>
      <c r="T28" s="51">
        <f t="shared" si="9"/>
        <v>0</v>
      </c>
      <c r="U28" s="51">
        <f t="shared" si="9"/>
        <v>0</v>
      </c>
      <c r="V28" s="51">
        <f t="shared" si="9"/>
        <v>0</v>
      </c>
      <c r="W28" s="51">
        <f>SUM(W23+W14)</f>
        <v>0</v>
      </c>
      <c r="X28" s="51">
        <f>SUM(X23+X14)</f>
        <v>0</v>
      </c>
    </row>
    <row r="29" spans="1:24" ht="20.149999999999999" customHeight="1" x14ac:dyDescent="0.35">
      <c r="B29" s="20" t="str">
        <f>'F04 VEHÍCULOS Y COMB. '!B26</f>
        <v>Paridad</v>
      </c>
      <c r="C29" s="52">
        <f>'F04 VEHÍCULOS Y COMB. '!C26</f>
        <v>18.07</v>
      </c>
      <c r="D29" s="2"/>
      <c r="E29" s="2"/>
      <c r="F29" s="2"/>
      <c r="G29" s="2"/>
      <c r="H29" s="2"/>
      <c r="I29" s="53" t="s">
        <v>263</v>
      </c>
      <c r="J29" s="13"/>
      <c r="K29" s="190">
        <f t="shared" ref="K29:V29" si="10">K28/$C$29</f>
        <v>44640.130000000005</v>
      </c>
      <c r="L29" s="190">
        <f t="shared" si="10"/>
        <v>44640.130000000005</v>
      </c>
      <c r="M29" s="190">
        <f t="shared" si="10"/>
        <v>0</v>
      </c>
      <c r="N29" s="190">
        <f t="shared" si="10"/>
        <v>0</v>
      </c>
      <c r="O29" s="190">
        <f t="shared" si="10"/>
        <v>0</v>
      </c>
      <c r="P29" s="190">
        <f t="shared" si="10"/>
        <v>0</v>
      </c>
      <c r="Q29" s="190">
        <f t="shared" si="10"/>
        <v>0</v>
      </c>
      <c r="R29" s="190">
        <f t="shared" si="10"/>
        <v>0</v>
      </c>
      <c r="S29" s="190">
        <f t="shared" si="10"/>
        <v>0</v>
      </c>
      <c r="T29" s="190">
        <f t="shared" si="10"/>
        <v>0</v>
      </c>
      <c r="U29" s="190">
        <f t="shared" si="10"/>
        <v>0</v>
      </c>
      <c r="V29" s="190">
        <f t="shared" si="10"/>
        <v>0</v>
      </c>
      <c r="W29" s="190">
        <f>W28/$C$29</f>
        <v>0</v>
      </c>
      <c r="X29" s="190">
        <f>X28/$C$29</f>
        <v>0</v>
      </c>
    </row>
    <row r="30" spans="1:24" ht="20.149999999999999" customHeight="1" x14ac:dyDescent="0.35">
      <c r="B30" s="22" t="str">
        <f>'F04 VEHÍCULOS Y COMB. '!B27</f>
        <v xml:space="preserve">Mes </v>
      </c>
      <c r="C30" s="54">
        <f>'F04 VEHÍCULOS Y COMB. '!C27</f>
        <v>30.4</v>
      </c>
      <c r="D30" s="2"/>
      <c r="E30" s="2"/>
      <c r="F30" s="2"/>
      <c r="G30" s="2"/>
      <c r="H30" s="2"/>
      <c r="I30" s="50" t="s">
        <v>284</v>
      </c>
      <c r="K30" s="51">
        <f>SUM(K28:X28)</f>
        <v>1613294.2982000001</v>
      </c>
    </row>
    <row r="31" spans="1:24" ht="20.149999999999999" customHeight="1" x14ac:dyDescent="0.35">
      <c r="B31" s="24" t="str">
        <f>'F04 VEHÍCULOS Y COMB. '!B28</f>
        <v>Periodo Pago (días)</v>
      </c>
      <c r="C31" s="55">
        <f>'F04 VEHÍCULOS Y COMB. '!C28</f>
        <v>30</v>
      </c>
      <c r="D31" s="2"/>
      <c r="E31" s="2"/>
      <c r="F31" s="2"/>
      <c r="G31" s="2"/>
      <c r="H31" s="2"/>
      <c r="I31" s="53" t="s">
        <v>261</v>
      </c>
      <c r="K31" s="112">
        <f>K30/$C$29</f>
        <v>89280.260000000009</v>
      </c>
    </row>
    <row r="32" spans="1:24" ht="20.149999999999999" customHeight="1" x14ac:dyDescent="0.35">
      <c r="B32" s="26" t="str">
        <f>'F04 VEHÍCULOS Y COMB. '!B29</f>
        <v>Gas lp</v>
      </c>
      <c r="C32" s="58">
        <f>'F04 VEHÍCULOS Y COMB. '!C29</f>
        <v>0</v>
      </c>
      <c r="D32" s="2"/>
      <c r="E32" s="2"/>
      <c r="F32" s="2"/>
      <c r="G32" s="2"/>
      <c r="H32" s="2"/>
      <c r="I32" s="2"/>
      <c r="K32" s="18"/>
    </row>
    <row r="33" spans="2:16" ht="20.149999999999999" customHeight="1" x14ac:dyDescent="0.35">
      <c r="B33" s="28" t="str">
        <f>'F04 VEHÍCULOS Y COMB. '!B30</f>
        <v>Gasolina Magna</v>
      </c>
      <c r="C33" s="59">
        <f>'F04 VEHÍCULOS Y COMB. '!C30</f>
        <v>23.5</v>
      </c>
    </row>
    <row r="34" spans="2:16" ht="20.149999999999999" customHeight="1" x14ac:dyDescent="0.35">
      <c r="B34" s="30" t="str">
        <f>'F04 VEHÍCULOS Y COMB. '!B31</f>
        <v>Diesel</v>
      </c>
      <c r="C34" s="60">
        <f>'F04 VEHÍCULOS Y COMB. '!C31</f>
        <v>23</v>
      </c>
    </row>
    <row r="35" spans="2:16" ht="20.149999999999999" customHeight="1" x14ac:dyDescent="0.35">
      <c r="K35" s="1"/>
      <c r="L35" s="1"/>
      <c r="M35" s="1"/>
      <c r="N35" s="1"/>
      <c r="O35" s="1"/>
      <c r="P35" s="1"/>
    </row>
    <row r="36" spans="2:16" ht="20.149999999999999" customHeight="1" x14ac:dyDescent="0.35">
      <c r="K36" s="1"/>
      <c r="L36" s="1"/>
      <c r="M36" s="1"/>
      <c r="N36" s="1"/>
      <c r="O36" s="1"/>
      <c r="P36" s="1"/>
    </row>
  </sheetData>
  <mergeCells count="8">
    <mergeCell ref="C5:C7"/>
    <mergeCell ref="B5:B7"/>
    <mergeCell ref="I5:I6"/>
    <mergeCell ref="H5:H6"/>
    <mergeCell ref="F5:F6"/>
    <mergeCell ref="E5:E6"/>
    <mergeCell ref="D5:D7"/>
    <mergeCell ref="G5:G6"/>
  </mergeCells>
  <phoneticPr fontId="8" type="noConversion"/>
  <pageMargins left="0.25" right="0.25" top="0.75" bottom="0.75" header="0.3" footer="0.3"/>
  <pageSetup paperSize="3" scale="63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AQ55"/>
  <sheetViews>
    <sheetView zoomScale="50" zoomScaleNormal="50" workbookViewId="0">
      <pane xSplit="11" ySplit="7" topLeftCell="L23" activePane="bottomRight" state="frozen"/>
      <selection pane="topRight" activeCell="K1" sqref="K1"/>
      <selection pane="bottomLeft" activeCell="A8" sqref="A8"/>
      <selection pane="bottomRight" activeCell="F42" sqref="F42"/>
    </sheetView>
  </sheetViews>
  <sheetFormatPr baseColWidth="10" defaultColWidth="10.5" defaultRowHeight="20.149999999999999" customHeight="1" x14ac:dyDescent="0.35"/>
  <cols>
    <col min="1" max="1" width="3.5" customWidth="1"/>
    <col min="2" max="2" width="47.83203125" customWidth="1"/>
    <col min="3" max="3" width="20.58203125" customWidth="1"/>
    <col min="4" max="4" width="15.5" hidden="1" customWidth="1"/>
    <col min="5" max="5" width="9" hidden="1" customWidth="1"/>
    <col min="6" max="6" width="11.08203125" customWidth="1"/>
    <col min="7" max="7" width="18" bestFit="1" customWidth="1"/>
    <col min="8" max="9" width="13.33203125" customWidth="1"/>
    <col min="10" max="10" width="14" style="204" customWidth="1"/>
    <col min="11" max="11" width="16.5" customWidth="1"/>
    <col min="12" max="12" width="1.5" customWidth="1"/>
    <col min="13" max="13" width="14.58203125" customWidth="1"/>
    <col min="14" max="14" width="12.5" bestFit="1" customWidth="1"/>
    <col min="15" max="16" width="13" bestFit="1" customWidth="1"/>
    <col min="17" max="17" width="12.83203125" bestFit="1" customWidth="1"/>
    <col min="18" max="18" width="13.83203125" bestFit="1" customWidth="1"/>
    <col min="19" max="19" width="13" bestFit="1" customWidth="1"/>
    <col min="20" max="20" width="13.5" bestFit="1" customWidth="1"/>
    <col min="21" max="22" width="13" bestFit="1" customWidth="1"/>
    <col min="23" max="23" width="12.83203125" bestFit="1" customWidth="1"/>
    <col min="24" max="24" width="13.83203125" bestFit="1" customWidth="1"/>
    <col min="25" max="25" width="12.5" customWidth="1"/>
    <col min="26" max="26" width="12.75" bestFit="1" customWidth="1"/>
  </cols>
  <sheetData>
    <row r="1" spans="1:43" ht="20.149999999999999" customHeight="1" x14ac:dyDescent="0.35">
      <c r="A1" s="192"/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  <c r="Y1" s="192"/>
      <c r="Z1" s="192"/>
    </row>
    <row r="2" spans="1:43" ht="20.149999999999999" customHeight="1" x14ac:dyDescent="0.35">
      <c r="A2" s="192"/>
      <c r="B2" s="192" t="s">
        <v>18</v>
      </c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</row>
    <row r="3" spans="1:43" ht="20.149999999999999" customHeight="1" x14ac:dyDescent="0.35">
      <c r="A3" s="192"/>
      <c r="B3" s="192"/>
      <c r="C3" s="192"/>
      <c r="D3" s="192"/>
      <c r="E3" s="192"/>
      <c r="F3" s="192"/>
      <c r="G3" s="192"/>
      <c r="H3" s="192"/>
      <c r="I3" s="192"/>
      <c r="J3" s="192"/>
      <c r="K3" s="192"/>
      <c r="L3" s="192"/>
      <c r="M3" s="192"/>
      <c r="N3" s="192"/>
      <c r="O3" s="192"/>
      <c r="P3" s="192"/>
      <c r="Q3" s="192"/>
      <c r="R3" s="192"/>
      <c r="S3" s="192"/>
      <c r="T3" s="192"/>
      <c r="U3" s="192"/>
      <c r="V3" s="192"/>
      <c r="W3" s="192"/>
      <c r="X3" s="192"/>
      <c r="Y3" s="192"/>
      <c r="Z3" s="192"/>
    </row>
    <row r="4" spans="1:43" ht="20.149999999999999" customHeight="1" x14ac:dyDescent="0.35">
      <c r="A4" s="193"/>
      <c r="B4" s="193"/>
      <c r="C4" s="193"/>
      <c r="D4" s="193"/>
      <c r="E4" s="193"/>
      <c r="F4" s="193"/>
      <c r="G4" s="193"/>
      <c r="H4" s="193"/>
      <c r="I4" s="193"/>
      <c r="J4" s="193"/>
      <c r="K4" s="193"/>
      <c r="L4" s="193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249"/>
    </row>
    <row r="5" spans="1:43" ht="20.149999999999999" customHeight="1" x14ac:dyDescent="0.35">
      <c r="A5" s="194"/>
      <c r="B5" s="49" t="s">
        <v>7</v>
      </c>
      <c r="C5" s="49"/>
      <c r="D5" s="49"/>
      <c r="E5" s="49"/>
      <c r="F5" s="49"/>
      <c r="G5" s="472" t="s">
        <v>430</v>
      </c>
      <c r="H5" s="472" t="s">
        <v>355</v>
      </c>
      <c r="I5" s="474" t="s">
        <v>335</v>
      </c>
      <c r="J5" s="474" t="s">
        <v>356</v>
      </c>
      <c r="K5" s="476" t="s">
        <v>265</v>
      </c>
      <c r="M5" s="390" t="s">
        <v>84</v>
      </c>
      <c r="N5" s="390" t="s">
        <v>84</v>
      </c>
      <c r="O5" s="391" t="s">
        <v>66</v>
      </c>
      <c r="P5" s="390" t="s">
        <v>67</v>
      </c>
      <c r="Q5" s="390" t="s">
        <v>68</v>
      </c>
      <c r="R5" s="390" t="s">
        <v>69</v>
      </c>
      <c r="S5" s="390" t="s">
        <v>70</v>
      </c>
      <c r="T5" s="390" t="s">
        <v>71</v>
      </c>
      <c r="U5" s="390" t="s">
        <v>72</v>
      </c>
      <c r="V5" s="390" t="s">
        <v>73</v>
      </c>
      <c r="W5" s="390" t="s">
        <v>74</v>
      </c>
      <c r="X5" s="390" t="s">
        <v>75</v>
      </c>
      <c r="Y5" s="390" t="s">
        <v>76</v>
      </c>
      <c r="Z5" s="390" t="s">
        <v>77</v>
      </c>
      <c r="AA5" s="2"/>
      <c r="AB5" s="2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</row>
    <row r="6" spans="1:43" ht="28" customHeight="1" x14ac:dyDescent="0.35">
      <c r="A6" s="194"/>
      <c r="B6" s="458" t="s">
        <v>285</v>
      </c>
      <c r="C6" s="458" t="s">
        <v>266</v>
      </c>
      <c r="D6" s="458" t="s">
        <v>267</v>
      </c>
      <c r="E6" s="458" t="s">
        <v>28</v>
      </c>
      <c r="F6" s="458" t="s">
        <v>264</v>
      </c>
      <c r="G6" s="473"/>
      <c r="H6" s="473"/>
      <c r="I6" s="475"/>
      <c r="J6" s="475"/>
      <c r="K6" s="477"/>
      <c r="M6" s="392" t="s">
        <v>272</v>
      </c>
      <c r="N6" s="392" t="s">
        <v>272</v>
      </c>
      <c r="O6" s="392" t="s">
        <v>436</v>
      </c>
      <c r="P6" s="392" t="s">
        <v>437</v>
      </c>
      <c r="Q6" s="392" t="s">
        <v>438</v>
      </c>
      <c r="R6" s="392" t="s">
        <v>439</v>
      </c>
      <c r="S6" s="392" t="s">
        <v>392</v>
      </c>
      <c r="T6" s="392" t="s">
        <v>393</v>
      </c>
      <c r="U6" s="392" t="s">
        <v>394</v>
      </c>
      <c r="V6" s="392" t="s">
        <v>395</v>
      </c>
      <c r="W6" s="392" t="s">
        <v>396</v>
      </c>
      <c r="X6" s="392" t="s">
        <v>397</v>
      </c>
      <c r="Y6" s="392" t="s">
        <v>398</v>
      </c>
      <c r="Z6" s="392" t="s">
        <v>399</v>
      </c>
      <c r="AA6" s="2"/>
      <c r="AB6" s="2"/>
    </row>
    <row r="7" spans="1:43" ht="20.149999999999999" customHeight="1" x14ac:dyDescent="0.35">
      <c r="A7" s="194"/>
      <c r="B7" s="458"/>
      <c r="C7" s="458"/>
      <c r="D7" s="458"/>
      <c r="E7" s="458"/>
      <c r="F7" s="458"/>
      <c r="G7" s="369" t="s">
        <v>259</v>
      </c>
      <c r="H7" s="370" t="s">
        <v>259</v>
      </c>
      <c r="I7" s="371" t="s">
        <v>260</v>
      </c>
      <c r="J7" s="372" t="s">
        <v>260</v>
      </c>
      <c r="K7" s="373" t="s">
        <v>260</v>
      </c>
      <c r="M7" s="393" t="s">
        <v>272</v>
      </c>
      <c r="N7" s="393" t="s">
        <v>272</v>
      </c>
      <c r="O7" s="393">
        <v>31</v>
      </c>
      <c r="P7" s="393">
        <v>29</v>
      </c>
      <c r="Q7" s="393">
        <v>31</v>
      </c>
      <c r="R7" s="393">
        <v>30</v>
      </c>
      <c r="S7" s="393">
        <v>30</v>
      </c>
      <c r="T7" s="393">
        <v>31</v>
      </c>
      <c r="U7" s="393">
        <v>31</v>
      </c>
      <c r="V7" s="393">
        <v>31</v>
      </c>
      <c r="W7" s="393">
        <v>30</v>
      </c>
      <c r="X7" s="393">
        <v>31</v>
      </c>
      <c r="Y7" s="393">
        <v>30</v>
      </c>
      <c r="Z7" s="393">
        <v>31</v>
      </c>
      <c r="AA7" s="2"/>
      <c r="AB7" s="2"/>
    </row>
    <row r="8" spans="1:43" s="199" customFormat="1" ht="20.149999999999999" customHeight="1" x14ac:dyDescent="0.35">
      <c r="A8" s="194"/>
      <c r="B8" s="195" t="s">
        <v>278</v>
      </c>
      <c r="C8" s="196" t="s">
        <v>321</v>
      </c>
      <c r="D8" s="196"/>
      <c r="E8" s="196"/>
      <c r="F8" s="133">
        <v>7</v>
      </c>
      <c r="G8" s="108">
        <v>83</v>
      </c>
      <c r="H8" s="42">
        <f>F8*G8</f>
        <v>581</v>
      </c>
      <c r="I8" s="42">
        <f>G8*$C$45</f>
        <v>1499.81</v>
      </c>
      <c r="J8" s="42">
        <f>(F8*I8)</f>
        <v>10498.67</v>
      </c>
      <c r="K8" s="42">
        <f>J8*1.16</f>
        <v>12178.457199999999</v>
      </c>
      <c r="L8" s="198">
        <f>H8</f>
        <v>581</v>
      </c>
      <c r="M8" s="139">
        <f>J8</f>
        <v>10498.67</v>
      </c>
      <c r="N8" s="139">
        <f>J8</f>
        <v>10498.67</v>
      </c>
      <c r="O8" s="139">
        <v>0</v>
      </c>
      <c r="P8" s="139">
        <v>0</v>
      </c>
      <c r="Q8" s="139">
        <v>0</v>
      </c>
      <c r="R8" s="139">
        <v>0</v>
      </c>
      <c r="S8" s="139">
        <v>0</v>
      </c>
      <c r="T8" s="139">
        <v>0</v>
      </c>
      <c r="U8" s="139">
        <v>0</v>
      </c>
      <c r="V8" s="139">
        <v>0</v>
      </c>
      <c r="W8" s="139">
        <v>0</v>
      </c>
      <c r="X8" s="139">
        <v>0</v>
      </c>
      <c r="Y8" s="139">
        <v>0</v>
      </c>
      <c r="Z8" s="139">
        <v>0</v>
      </c>
    </row>
    <row r="9" spans="1:43" s="199" customFormat="1" ht="20.149999999999999" customHeight="1" x14ac:dyDescent="0.35">
      <c r="A9" s="194"/>
      <c r="B9" s="195" t="s">
        <v>279</v>
      </c>
      <c r="C9" s="196"/>
      <c r="D9" s="196"/>
      <c r="E9" s="196"/>
      <c r="F9" s="133">
        <v>0</v>
      </c>
      <c r="G9" s="197">
        <v>5750</v>
      </c>
      <c r="H9" s="42">
        <f t="shared" ref="H9:H42" si="0">F9*G9</f>
        <v>0</v>
      </c>
      <c r="I9" s="42">
        <f t="shared" ref="I9:I42" si="1">G9*$C$45</f>
        <v>103902.5</v>
      </c>
      <c r="J9" s="42">
        <f t="shared" ref="J9:J42" si="2">(F9*I9)</f>
        <v>0</v>
      </c>
      <c r="K9" s="42">
        <f t="shared" ref="K9:K42" si="3">J9*1.16</f>
        <v>0</v>
      </c>
      <c r="L9" s="198">
        <f>H9</f>
        <v>0</v>
      </c>
      <c r="M9" s="139">
        <v>0</v>
      </c>
      <c r="N9" s="139">
        <f>J9</f>
        <v>0</v>
      </c>
      <c r="O9" s="139">
        <v>0</v>
      </c>
      <c r="P9" s="139">
        <v>0</v>
      </c>
      <c r="Q9" s="139">
        <v>0</v>
      </c>
      <c r="R9" s="139">
        <v>0</v>
      </c>
      <c r="S9" s="139">
        <v>0</v>
      </c>
      <c r="T9" s="139">
        <v>0</v>
      </c>
      <c r="U9" s="139">
        <v>0</v>
      </c>
      <c r="V9" s="139">
        <v>0</v>
      </c>
      <c r="W9" s="139">
        <v>0</v>
      </c>
      <c r="X9" s="139">
        <v>0</v>
      </c>
      <c r="Y9" s="139">
        <v>0</v>
      </c>
      <c r="Z9" s="139">
        <v>0</v>
      </c>
    </row>
    <row r="10" spans="1:43" s="199" customFormat="1" ht="20.149999999999999" customHeight="1" x14ac:dyDescent="0.35">
      <c r="A10" s="194"/>
      <c r="B10" s="195" t="s">
        <v>140</v>
      </c>
      <c r="C10" s="196"/>
      <c r="D10" s="196"/>
      <c r="E10" s="196"/>
      <c r="F10" s="133">
        <v>0</v>
      </c>
      <c r="G10" s="197">
        <v>5750</v>
      </c>
      <c r="H10" s="42">
        <f t="shared" si="0"/>
        <v>0</v>
      </c>
      <c r="I10" s="42">
        <f t="shared" si="1"/>
        <v>103902.5</v>
      </c>
      <c r="J10" s="42">
        <f t="shared" si="2"/>
        <v>0</v>
      </c>
      <c r="K10" s="42">
        <f t="shared" si="3"/>
        <v>0</v>
      </c>
      <c r="L10" s="198">
        <f>H10</f>
        <v>0</v>
      </c>
      <c r="M10" s="139">
        <v>0</v>
      </c>
      <c r="N10" s="139">
        <f>J10</f>
        <v>0</v>
      </c>
      <c r="O10" s="139">
        <v>0</v>
      </c>
      <c r="P10" s="139">
        <v>0</v>
      </c>
      <c r="Q10" s="139">
        <v>0</v>
      </c>
      <c r="R10" s="139">
        <v>0</v>
      </c>
      <c r="S10" s="139">
        <v>0</v>
      </c>
      <c r="T10" s="139">
        <v>0</v>
      </c>
      <c r="U10" s="139">
        <v>0</v>
      </c>
      <c r="V10" s="139">
        <v>0</v>
      </c>
      <c r="W10" s="139">
        <v>0</v>
      </c>
      <c r="X10" s="139">
        <v>0</v>
      </c>
      <c r="Y10" s="139">
        <v>0</v>
      </c>
      <c r="Z10" s="139">
        <v>0</v>
      </c>
    </row>
    <row r="11" spans="1:43" s="199" customFormat="1" ht="20.149999999999999" customHeight="1" x14ac:dyDescent="0.35">
      <c r="A11" s="194"/>
      <c r="B11" s="195" t="s">
        <v>141</v>
      </c>
      <c r="C11" s="196"/>
      <c r="D11" s="196"/>
      <c r="E11" s="196"/>
      <c r="F11" s="133">
        <v>0</v>
      </c>
      <c r="G11" s="197">
        <v>0</v>
      </c>
      <c r="H11" s="42">
        <f t="shared" si="0"/>
        <v>0</v>
      </c>
      <c r="I11" s="42">
        <f t="shared" si="1"/>
        <v>0</v>
      </c>
      <c r="J11" s="42">
        <f t="shared" si="2"/>
        <v>0</v>
      </c>
      <c r="K11" s="42">
        <f t="shared" si="3"/>
        <v>0</v>
      </c>
      <c r="L11" s="198">
        <f>H11</f>
        <v>0</v>
      </c>
      <c r="M11" s="139">
        <v>0</v>
      </c>
      <c r="N11" s="139">
        <f t="shared" ref="N11:N42" si="4">M11</f>
        <v>0</v>
      </c>
      <c r="O11" s="139">
        <v>0</v>
      </c>
      <c r="P11" s="139">
        <v>0</v>
      </c>
      <c r="Q11" s="139">
        <v>0</v>
      </c>
      <c r="R11" s="139">
        <v>0</v>
      </c>
      <c r="S11" s="139">
        <v>0</v>
      </c>
      <c r="T11" s="139">
        <v>0</v>
      </c>
      <c r="U11" s="139">
        <v>0</v>
      </c>
      <c r="V11" s="139">
        <v>0</v>
      </c>
      <c r="W11" s="139">
        <v>0</v>
      </c>
      <c r="X11" s="139">
        <v>0</v>
      </c>
      <c r="Y11" s="139">
        <v>0</v>
      </c>
      <c r="Z11" s="139">
        <v>0</v>
      </c>
    </row>
    <row r="12" spans="1:43" s="199" customFormat="1" ht="20.149999999999999" customHeight="1" x14ac:dyDescent="0.35">
      <c r="A12" s="194"/>
      <c r="B12" s="195" t="s">
        <v>142</v>
      </c>
      <c r="C12" s="196"/>
      <c r="D12" s="196"/>
      <c r="E12" s="196"/>
      <c r="F12" s="133">
        <v>0</v>
      </c>
      <c r="G12" s="197">
        <v>0</v>
      </c>
      <c r="H12" s="42">
        <f t="shared" si="0"/>
        <v>0</v>
      </c>
      <c r="I12" s="42">
        <f t="shared" si="1"/>
        <v>0</v>
      </c>
      <c r="J12" s="42">
        <f t="shared" si="2"/>
        <v>0</v>
      </c>
      <c r="K12" s="42">
        <f t="shared" si="3"/>
        <v>0</v>
      </c>
      <c r="L12" s="198">
        <f>H12</f>
        <v>0</v>
      </c>
      <c r="M12" s="139">
        <v>0</v>
      </c>
      <c r="N12" s="139">
        <f t="shared" si="4"/>
        <v>0</v>
      </c>
      <c r="O12" s="139">
        <v>0</v>
      </c>
      <c r="P12" s="139">
        <v>0</v>
      </c>
      <c r="Q12" s="139">
        <v>0</v>
      </c>
      <c r="R12" s="139">
        <v>0</v>
      </c>
      <c r="S12" s="139">
        <v>0</v>
      </c>
      <c r="T12" s="139">
        <v>0</v>
      </c>
      <c r="U12" s="139">
        <v>0</v>
      </c>
      <c r="V12" s="139">
        <v>0</v>
      </c>
      <c r="W12" s="139">
        <v>0</v>
      </c>
      <c r="X12" s="139">
        <v>0</v>
      </c>
      <c r="Y12" s="139">
        <v>0</v>
      </c>
      <c r="Z12" s="139">
        <v>0</v>
      </c>
    </row>
    <row r="13" spans="1:43" s="199" customFormat="1" ht="20.149999999999999" customHeight="1" x14ac:dyDescent="0.35">
      <c r="A13" s="194"/>
      <c r="B13" s="195" t="s">
        <v>143</v>
      </c>
      <c r="C13" s="196" t="s">
        <v>454</v>
      </c>
      <c r="D13" s="196"/>
      <c r="E13" s="196"/>
      <c r="F13" s="133">
        <v>0</v>
      </c>
      <c r="G13" s="197">
        <v>4722.22</v>
      </c>
      <c r="H13" s="42">
        <f t="shared" si="0"/>
        <v>0</v>
      </c>
      <c r="I13" s="42">
        <f t="shared" si="1"/>
        <v>85330.515400000004</v>
      </c>
      <c r="J13" s="42">
        <f t="shared" si="2"/>
        <v>0</v>
      </c>
      <c r="K13" s="42">
        <f t="shared" si="3"/>
        <v>0</v>
      </c>
      <c r="L13" s="198">
        <f t="shared" ref="L13:L42" si="5">H13</f>
        <v>0</v>
      </c>
      <c r="M13" s="139">
        <v>0</v>
      </c>
      <c r="N13" s="139">
        <f>J13</f>
        <v>0</v>
      </c>
      <c r="O13" s="139">
        <v>0</v>
      </c>
      <c r="P13" s="139">
        <v>0</v>
      </c>
      <c r="Q13" s="139">
        <v>0</v>
      </c>
      <c r="R13" s="139">
        <v>0</v>
      </c>
      <c r="S13" s="139">
        <v>0</v>
      </c>
      <c r="T13" s="139">
        <v>0</v>
      </c>
      <c r="U13" s="139">
        <v>0</v>
      </c>
      <c r="V13" s="139">
        <v>0</v>
      </c>
      <c r="W13" s="139">
        <v>0</v>
      </c>
      <c r="X13" s="139">
        <v>0</v>
      </c>
      <c r="Y13" s="139">
        <v>0</v>
      </c>
      <c r="Z13" s="139">
        <v>0</v>
      </c>
    </row>
    <row r="14" spans="1:43" s="199" customFormat="1" ht="20.149999999999999" customHeight="1" x14ac:dyDescent="0.35">
      <c r="A14" s="194"/>
      <c r="B14" s="195" t="s">
        <v>144</v>
      </c>
      <c r="C14" s="196"/>
      <c r="D14" s="196"/>
      <c r="E14" s="196"/>
      <c r="F14" s="133">
        <v>0</v>
      </c>
      <c r="G14" s="197">
        <v>7194.2446043165464</v>
      </c>
      <c r="H14" s="42">
        <f t="shared" si="0"/>
        <v>0</v>
      </c>
      <c r="I14" s="42">
        <f t="shared" si="1"/>
        <v>130000</v>
      </c>
      <c r="J14" s="42">
        <f t="shared" si="2"/>
        <v>0</v>
      </c>
      <c r="K14" s="42">
        <f t="shared" si="3"/>
        <v>0</v>
      </c>
      <c r="L14" s="198">
        <f t="shared" si="5"/>
        <v>0</v>
      </c>
      <c r="M14" s="139">
        <v>0</v>
      </c>
      <c r="N14" s="139">
        <f t="shared" si="4"/>
        <v>0</v>
      </c>
      <c r="O14" s="139">
        <v>0</v>
      </c>
      <c r="P14" s="139">
        <v>0</v>
      </c>
      <c r="Q14" s="139">
        <v>0</v>
      </c>
      <c r="R14" s="139">
        <v>0</v>
      </c>
      <c r="S14" s="139">
        <v>0</v>
      </c>
      <c r="T14" s="139">
        <v>0</v>
      </c>
      <c r="U14" s="139">
        <v>0</v>
      </c>
      <c r="V14" s="139">
        <v>0</v>
      </c>
      <c r="W14" s="139">
        <v>0</v>
      </c>
      <c r="X14" s="139">
        <v>0</v>
      </c>
      <c r="Y14" s="139">
        <v>0</v>
      </c>
      <c r="Z14" s="139">
        <v>0</v>
      </c>
    </row>
    <row r="15" spans="1:43" s="199" customFormat="1" ht="20.149999999999999" customHeight="1" x14ac:dyDescent="0.35">
      <c r="A15" s="194"/>
      <c r="B15" s="195" t="s">
        <v>145</v>
      </c>
      <c r="C15" s="196"/>
      <c r="D15" s="196"/>
      <c r="E15" s="196"/>
      <c r="F15" s="133">
        <v>0</v>
      </c>
      <c r="G15" s="197">
        <v>0</v>
      </c>
      <c r="H15" s="42">
        <f t="shared" si="0"/>
        <v>0</v>
      </c>
      <c r="I15" s="42">
        <f t="shared" si="1"/>
        <v>0</v>
      </c>
      <c r="J15" s="42">
        <f t="shared" si="2"/>
        <v>0</v>
      </c>
      <c r="K15" s="42">
        <f t="shared" si="3"/>
        <v>0</v>
      </c>
      <c r="L15" s="198">
        <f t="shared" si="5"/>
        <v>0</v>
      </c>
      <c r="M15" s="139">
        <v>0</v>
      </c>
      <c r="N15" s="139">
        <f t="shared" si="4"/>
        <v>0</v>
      </c>
      <c r="O15" s="139">
        <v>0</v>
      </c>
      <c r="P15" s="139">
        <v>0</v>
      </c>
      <c r="Q15" s="139">
        <v>0</v>
      </c>
      <c r="R15" s="139">
        <v>0</v>
      </c>
      <c r="S15" s="139">
        <v>0</v>
      </c>
      <c r="T15" s="139">
        <v>0</v>
      </c>
      <c r="U15" s="139">
        <v>0</v>
      </c>
      <c r="V15" s="139">
        <v>0</v>
      </c>
      <c r="W15" s="139">
        <v>0</v>
      </c>
      <c r="X15" s="139">
        <v>0</v>
      </c>
      <c r="Y15" s="139">
        <v>0</v>
      </c>
      <c r="Z15" s="139">
        <v>0</v>
      </c>
    </row>
    <row r="16" spans="1:43" s="199" customFormat="1" ht="20.149999999999999" customHeight="1" x14ac:dyDescent="0.35">
      <c r="A16" s="194"/>
      <c r="B16" s="195" t="s">
        <v>146</v>
      </c>
      <c r="C16" s="196" t="s">
        <v>322</v>
      </c>
      <c r="D16" s="196"/>
      <c r="E16" s="196"/>
      <c r="F16" s="133">
        <v>0</v>
      </c>
      <c r="G16" s="197">
        <v>27.670171555063639</v>
      </c>
      <c r="H16" s="42">
        <f t="shared" si="0"/>
        <v>0</v>
      </c>
      <c r="I16" s="42">
        <f t="shared" si="1"/>
        <v>499.99999999999994</v>
      </c>
      <c r="J16" s="42">
        <f t="shared" si="2"/>
        <v>0</v>
      </c>
      <c r="K16" s="42">
        <f t="shared" si="3"/>
        <v>0</v>
      </c>
      <c r="L16" s="198">
        <f t="shared" si="5"/>
        <v>0</v>
      </c>
      <c r="M16" s="139">
        <f>J16</f>
        <v>0</v>
      </c>
      <c r="N16" s="139">
        <f t="shared" si="4"/>
        <v>0</v>
      </c>
      <c r="O16" s="139">
        <v>0</v>
      </c>
      <c r="P16" s="139">
        <v>0</v>
      </c>
      <c r="Q16" s="139">
        <v>0</v>
      </c>
      <c r="R16" s="139">
        <v>0</v>
      </c>
      <c r="S16" s="139">
        <v>0</v>
      </c>
      <c r="T16" s="139">
        <v>0</v>
      </c>
      <c r="U16" s="139">
        <v>0</v>
      </c>
      <c r="V16" s="139">
        <v>0</v>
      </c>
      <c r="W16" s="139">
        <v>0</v>
      </c>
      <c r="X16" s="139">
        <v>0</v>
      </c>
      <c r="Y16" s="139">
        <v>0</v>
      </c>
      <c r="Z16" s="139">
        <v>0</v>
      </c>
    </row>
    <row r="17" spans="1:26" s="199" customFormat="1" ht="20.149999999999999" customHeight="1" x14ac:dyDescent="0.35">
      <c r="A17" s="194"/>
      <c r="B17" s="195" t="s">
        <v>147</v>
      </c>
      <c r="C17" s="196"/>
      <c r="D17" s="196"/>
      <c r="E17" s="196"/>
      <c r="F17" s="133">
        <v>0</v>
      </c>
      <c r="G17" s="197">
        <v>150</v>
      </c>
      <c r="H17" s="42">
        <f t="shared" si="0"/>
        <v>0</v>
      </c>
      <c r="I17" s="42">
        <f t="shared" si="1"/>
        <v>2710.5</v>
      </c>
      <c r="J17" s="42">
        <f t="shared" si="2"/>
        <v>0</v>
      </c>
      <c r="K17" s="42">
        <f t="shared" si="3"/>
        <v>0</v>
      </c>
      <c r="L17" s="198">
        <f t="shared" si="5"/>
        <v>0</v>
      </c>
      <c r="M17" s="139">
        <f>J17</f>
        <v>0</v>
      </c>
      <c r="N17" s="139">
        <v>0</v>
      </c>
      <c r="O17" s="139">
        <v>0</v>
      </c>
      <c r="P17" s="139">
        <v>0</v>
      </c>
      <c r="Q17" s="139">
        <v>0</v>
      </c>
      <c r="R17" s="139">
        <v>0</v>
      </c>
      <c r="S17" s="139">
        <v>0</v>
      </c>
      <c r="T17" s="139">
        <v>0</v>
      </c>
      <c r="U17" s="139">
        <v>0</v>
      </c>
      <c r="V17" s="139">
        <v>0</v>
      </c>
      <c r="W17" s="139">
        <v>0</v>
      </c>
      <c r="X17" s="139">
        <v>0</v>
      </c>
      <c r="Y17" s="139">
        <v>0</v>
      </c>
      <c r="Z17" s="139">
        <v>0</v>
      </c>
    </row>
    <row r="18" spans="1:26" s="199" customFormat="1" ht="20.149999999999999" customHeight="1" x14ac:dyDescent="0.35">
      <c r="A18" s="194"/>
      <c r="B18" s="195" t="s">
        <v>148</v>
      </c>
      <c r="C18" s="196" t="s">
        <v>484</v>
      </c>
      <c r="D18" s="196"/>
      <c r="E18" s="196"/>
      <c r="F18" s="133">
        <v>0</v>
      </c>
      <c r="G18" s="197">
        <v>84138.893746541202</v>
      </c>
      <c r="H18" s="42">
        <f t="shared" si="0"/>
        <v>0</v>
      </c>
      <c r="I18" s="42">
        <f t="shared" si="1"/>
        <v>1520389.8099999996</v>
      </c>
      <c r="J18" s="42">
        <f t="shared" si="2"/>
        <v>0</v>
      </c>
      <c r="K18" s="42">
        <f t="shared" si="3"/>
        <v>0</v>
      </c>
      <c r="L18" s="198">
        <f t="shared" si="5"/>
        <v>0</v>
      </c>
      <c r="M18" s="139">
        <f>J18</f>
        <v>0</v>
      </c>
      <c r="N18" s="139">
        <v>0</v>
      </c>
      <c r="O18" s="139">
        <v>0</v>
      </c>
      <c r="P18" s="139">
        <v>0</v>
      </c>
      <c r="Q18" s="139">
        <v>0</v>
      </c>
      <c r="R18" s="139">
        <v>0</v>
      </c>
      <c r="S18" s="139">
        <v>0</v>
      </c>
      <c r="T18" s="139">
        <v>0</v>
      </c>
      <c r="U18" s="139">
        <v>0</v>
      </c>
      <c r="V18" s="139">
        <v>0</v>
      </c>
      <c r="W18" s="139">
        <v>0</v>
      </c>
      <c r="X18" s="139">
        <v>0</v>
      </c>
      <c r="Y18" s="139">
        <v>0</v>
      </c>
      <c r="Z18" s="139">
        <v>0</v>
      </c>
    </row>
    <row r="19" spans="1:26" s="199" customFormat="1" ht="20.149999999999999" customHeight="1" x14ac:dyDescent="0.35">
      <c r="A19" s="194"/>
      <c r="B19" s="195" t="s">
        <v>149</v>
      </c>
      <c r="C19" s="196"/>
      <c r="D19" s="196"/>
      <c r="E19" s="196"/>
      <c r="F19" s="133">
        <v>0</v>
      </c>
      <c r="G19" s="197">
        <v>830.10514665190919</v>
      </c>
      <c r="H19" s="42">
        <f t="shared" si="0"/>
        <v>0</v>
      </c>
      <c r="I19" s="42">
        <f t="shared" si="1"/>
        <v>15000</v>
      </c>
      <c r="J19" s="42">
        <f t="shared" si="2"/>
        <v>0</v>
      </c>
      <c r="K19" s="42">
        <f t="shared" si="3"/>
        <v>0</v>
      </c>
      <c r="L19" s="198">
        <f t="shared" si="5"/>
        <v>0</v>
      </c>
      <c r="M19" s="139">
        <v>0</v>
      </c>
      <c r="N19" s="139">
        <f t="shared" si="4"/>
        <v>0</v>
      </c>
      <c r="O19" s="139">
        <v>0</v>
      </c>
      <c r="P19" s="139">
        <v>0</v>
      </c>
      <c r="Q19" s="139">
        <v>0</v>
      </c>
      <c r="R19" s="139">
        <v>0</v>
      </c>
      <c r="S19" s="139">
        <v>0</v>
      </c>
      <c r="T19" s="139">
        <v>0</v>
      </c>
      <c r="U19" s="139">
        <v>0</v>
      </c>
      <c r="V19" s="139">
        <v>0</v>
      </c>
      <c r="W19" s="139">
        <v>0</v>
      </c>
      <c r="X19" s="139">
        <v>0</v>
      </c>
      <c r="Y19" s="139">
        <v>0</v>
      </c>
      <c r="Z19" s="139">
        <v>0</v>
      </c>
    </row>
    <row r="20" spans="1:26" s="199" customFormat="1" ht="20.149999999999999" customHeight="1" x14ac:dyDescent="0.35">
      <c r="A20" s="194"/>
      <c r="B20" s="195" t="s">
        <v>149</v>
      </c>
      <c r="C20" s="196" t="s">
        <v>446</v>
      </c>
      <c r="D20" s="196"/>
      <c r="E20" s="196"/>
      <c r="F20" s="133">
        <v>0</v>
      </c>
      <c r="G20" s="197">
        <v>1200</v>
      </c>
      <c r="H20" s="42">
        <f t="shared" si="0"/>
        <v>0</v>
      </c>
      <c r="I20" s="42">
        <f t="shared" si="1"/>
        <v>21684</v>
      </c>
      <c r="J20" s="42">
        <f t="shared" si="2"/>
        <v>0</v>
      </c>
      <c r="K20" s="42">
        <f t="shared" si="3"/>
        <v>0</v>
      </c>
      <c r="L20" s="198">
        <f t="shared" si="5"/>
        <v>0</v>
      </c>
      <c r="M20" s="139">
        <f>J20</f>
        <v>0</v>
      </c>
      <c r="N20" s="139">
        <v>0</v>
      </c>
      <c r="O20" s="139">
        <v>0</v>
      </c>
      <c r="P20" s="139">
        <v>0</v>
      </c>
      <c r="Q20" s="139">
        <v>0</v>
      </c>
      <c r="R20" s="139">
        <v>0</v>
      </c>
      <c r="S20" s="139">
        <v>0</v>
      </c>
      <c r="T20" s="139">
        <v>0</v>
      </c>
      <c r="U20" s="139">
        <v>0</v>
      </c>
      <c r="V20" s="139">
        <v>0</v>
      </c>
      <c r="W20" s="139">
        <v>0</v>
      </c>
      <c r="X20" s="139">
        <v>0</v>
      </c>
      <c r="Y20" s="139">
        <v>0</v>
      </c>
      <c r="Z20" s="139">
        <v>0</v>
      </c>
    </row>
    <row r="21" spans="1:26" s="199" customFormat="1" ht="20.149999999999999" customHeight="1" x14ac:dyDescent="0.35">
      <c r="A21" s="194"/>
      <c r="B21" s="195" t="s">
        <v>151</v>
      </c>
      <c r="C21" s="196"/>
      <c r="D21" s="196"/>
      <c r="E21" s="196"/>
      <c r="F21" s="133">
        <v>0</v>
      </c>
      <c r="G21" s="197">
        <v>0</v>
      </c>
      <c r="H21" s="42">
        <f t="shared" si="0"/>
        <v>0</v>
      </c>
      <c r="I21" s="42">
        <f t="shared" si="1"/>
        <v>0</v>
      </c>
      <c r="J21" s="42">
        <f t="shared" si="2"/>
        <v>0</v>
      </c>
      <c r="K21" s="42">
        <f t="shared" si="3"/>
        <v>0</v>
      </c>
      <c r="L21" s="198">
        <f t="shared" si="5"/>
        <v>0</v>
      </c>
      <c r="M21" s="139">
        <v>0</v>
      </c>
      <c r="N21" s="139">
        <f t="shared" si="4"/>
        <v>0</v>
      </c>
      <c r="O21" s="139">
        <v>0</v>
      </c>
      <c r="P21" s="139">
        <v>0</v>
      </c>
      <c r="Q21" s="139">
        <v>0</v>
      </c>
      <c r="R21" s="139">
        <v>0</v>
      </c>
      <c r="S21" s="139">
        <v>0</v>
      </c>
      <c r="T21" s="139">
        <v>0</v>
      </c>
      <c r="U21" s="139">
        <v>0</v>
      </c>
      <c r="V21" s="139">
        <v>0</v>
      </c>
      <c r="W21" s="139">
        <v>0</v>
      </c>
      <c r="X21" s="139">
        <v>0</v>
      </c>
      <c r="Y21" s="139">
        <v>0</v>
      </c>
      <c r="Z21" s="139">
        <v>0</v>
      </c>
    </row>
    <row r="22" spans="1:26" s="199" customFormat="1" ht="20.149999999999999" customHeight="1" x14ac:dyDescent="0.35">
      <c r="A22" s="194"/>
      <c r="B22" s="195" t="s">
        <v>152</v>
      </c>
      <c r="C22" s="196"/>
      <c r="D22" s="196"/>
      <c r="E22" s="196"/>
      <c r="F22" s="133">
        <v>0</v>
      </c>
      <c r="G22" s="197">
        <v>100</v>
      </c>
      <c r="H22" s="42">
        <f t="shared" si="0"/>
        <v>0</v>
      </c>
      <c r="I22" s="42">
        <f t="shared" si="1"/>
        <v>1807</v>
      </c>
      <c r="J22" s="42">
        <f t="shared" si="2"/>
        <v>0</v>
      </c>
      <c r="K22" s="42">
        <f t="shared" si="3"/>
        <v>0</v>
      </c>
      <c r="L22" s="198">
        <f t="shared" si="5"/>
        <v>0</v>
      </c>
      <c r="M22" s="139">
        <v>0</v>
      </c>
      <c r="N22" s="139">
        <f t="shared" si="4"/>
        <v>0</v>
      </c>
      <c r="O22" s="139">
        <v>0</v>
      </c>
      <c r="P22" s="139">
        <v>0</v>
      </c>
      <c r="Q22" s="139">
        <v>0</v>
      </c>
      <c r="R22" s="139">
        <v>0</v>
      </c>
      <c r="S22" s="139">
        <v>0</v>
      </c>
      <c r="T22" s="139">
        <v>0</v>
      </c>
      <c r="U22" s="139">
        <v>0</v>
      </c>
      <c r="V22" s="139">
        <v>0</v>
      </c>
      <c r="W22" s="139">
        <v>0</v>
      </c>
      <c r="X22" s="139">
        <v>0</v>
      </c>
      <c r="Y22" s="139">
        <v>0</v>
      </c>
      <c r="Z22" s="139">
        <v>0</v>
      </c>
    </row>
    <row r="23" spans="1:26" s="199" customFormat="1" ht="20.149999999999999" customHeight="1" x14ac:dyDescent="0.35">
      <c r="A23" s="194"/>
      <c r="B23" s="195" t="s">
        <v>153</v>
      </c>
      <c r="C23" s="196"/>
      <c r="D23" s="196"/>
      <c r="E23" s="196"/>
      <c r="F23" s="133">
        <v>0</v>
      </c>
      <c r="G23" s="197">
        <v>55.340343110127279</v>
      </c>
      <c r="H23" s="42">
        <f t="shared" si="0"/>
        <v>0</v>
      </c>
      <c r="I23" s="42">
        <f t="shared" si="1"/>
        <v>999.99999999999989</v>
      </c>
      <c r="J23" s="42">
        <f t="shared" si="2"/>
        <v>0</v>
      </c>
      <c r="K23" s="42">
        <f t="shared" si="3"/>
        <v>0</v>
      </c>
      <c r="L23" s="198">
        <f t="shared" si="5"/>
        <v>0</v>
      </c>
      <c r="M23" s="139">
        <v>0</v>
      </c>
      <c r="N23" s="139">
        <f t="shared" si="4"/>
        <v>0</v>
      </c>
      <c r="O23" s="139">
        <v>0</v>
      </c>
      <c r="P23" s="139">
        <v>0</v>
      </c>
      <c r="Q23" s="139">
        <v>0</v>
      </c>
      <c r="R23" s="139">
        <v>0</v>
      </c>
      <c r="S23" s="139">
        <v>0</v>
      </c>
      <c r="T23" s="139">
        <v>0</v>
      </c>
      <c r="U23" s="139">
        <v>0</v>
      </c>
      <c r="V23" s="139">
        <v>0</v>
      </c>
      <c r="W23" s="139">
        <v>0</v>
      </c>
      <c r="X23" s="139">
        <v>0</v>
      </c>
      <c r="Y23" s="139">
        <v>0</v>
      </c>
      <c r="Z23" s="139">
        <v>0</v>
      </c>
    </row>
    <row r="24" spans="1:26" s="199" customFormat="1" ht="20.149999999999999" customHeight="1" x14ac:dyDescent="0.35">
      <c r="A24" s="194"/>
      <c r="B24" s="195" t="s">
        <v>154</v>
      </c>
      <c r="C24" s="196"/>
      <c r="D24" s="196"/>
      <c r="E24" s="196"/>
      <c r="F24" s="133">
        <v>0</v>
      </c>
      <c r="G24" s="197">
        <v>55.34</v>
      </c>
      <c r="H24" s="42">
        <f>G24*F24</f>
        <v>0</v>
      </c>
      <c r="I24" s="42">
        <f t="shared" si="1"/>
        <v>999.99380000000008</v>
      </c>
      <c r="J24" s="42">
        <f t="shared" si="2"/>
        <v>0</v>
      </c>
      <c r="K24" s="42">
        <f t="shared" si="3"/>
        <v>0</v>
      </c>
      <c r="L24" s="198">
        <f t="shared" si="5"/>
        <v>0</v>
      </c>
      <c r="M24" s="139">
        <v>0</v>
      </c>
      <c r="N24" s="139">
        <f t="shared" si="4"/>
        <v>0</v>
      </c>
      <c r="O24" s="139">
        <v>0</v>
      </c>
      <c r="P24" s="139">
        <v>0</v>
      </c>
      <c r="Q24" s="139">
        <v>0</v>
      </c>
      <c r="R24" s="139">
        <v>0</v>
      </c>
      <c r="S24" s="139">
        <v>0</v>
      </c>
      <c r="T24" s="139">
        <v>0</v>
      </c>
      <c r="U24" s="139">
        <v>0</v>
      </c>
      <c r="V24" s="139">
        <v>0</v>
      </c>
      <c r="W24" s="139">
        <v>0</v>
      </c>
      <c r="X24" s="139">
        <v>0</v>
      </c>
      <c r="Y24" s="139">
        <v>0</v>
      </c>
      <c r="Z24" s="139">
        <v>0</v>
      </c>
    </row>
    <row r="25" spans="1:26" s="199" customFormat="1" ht="20.149999999999999" customHeight="1" x14ac:dyDescent="0.35">
      <c r="A25" s="194"/>
      <c r="B25" s="195" t="s">
        <v>155</v>
      </c>
      <c r="C25" s="196"/>
      <c r="D25" s="196"/>
      <c r="E25" s="196"/>
      <c r="F25" s="133">
        <v>0</v>
      </c>
      <c r="G25" s="197">
        <v>138.35085777531822</v>
      </c>
      <c r="H25" s="42">
        <f t="shared" si="0"/>
        <v>0</v>
      </c>
      <c r="I25" s="42">
        <f t="shared" si="1"/>
        <v>2500.0000000000005</v>
      </c>
      <c r="J25" s="42">
        <f t="shared" si="2"/>
        <v>0</v>
      </c>
      <c r="K25" s="42">
        <f t="shared" si="3"/>
        <v>0</v>
      </c>
      <c r="L25" s="198">
        <f t="shared" si="5"/>
        <v>0</v>
      </c>
      <c r="M25" s="139">
        <v>0</v>
      </c>
      <c r="N25" s="139">
        <f t="shared" si="4"/>
        <v>0</v>
      </c>
      <c r="O25" s="139">
        <v>0</v>
      </c>
      <c r="P25" s="139">
        <v>0</v>
      </c>
      <c r="Q25" s="139">
        <v>0</v>
      </c>
      <c r="R25" s="139">
        <v>0</v>
      </c>
      <c r="S25" s="139">
        <v>0</v>
      </c>
      <c r="T25" s="139">
        <v>0</v>
      </c>
      <c r="U25" s="139">
        <v>0</v>
      </c>
      <c r="V25" s="139">
        <v>0</v>
      </c>
      <c r="W25" s="139">
        <v>0</v>
      </c>
      <c r="X25" s="139">
        <v>0</v>
      </c>
      <c r="Y25" s="139">
        <v>0</v>
      </c>
      <c r="Z25" s="139">
        <v>0</v>
      </c>
    </row>
    <row r="26" spans="1:26" s="199" customFormat="1" ht="20.149999999999999" customHeight="1" x14ac:dyDescent="0.35">
      <c r="A26" s="194"/>
      <c r="B26" s="195" t="s">
        <v>153</v>
      </c>
      <c r="C26" s="196"/>
      <c r="D26" s="196"/>
      <c r="E26" s="196"/>
      <c r="F26" s="133">
        <v>0</v>
      </c>
      <c r="G26" s="197">
        <v>2500</v>
      </c>
      <c r="H26" s="42">
        <f t="shared" si="0"/>
        <v>0</v>
      </c>
      <c r="I26" s="42">
        <f t="shared" si="1"/>
        <v>45175</v>
      </c>
      <c r="J26" s="42">
        <f t="shared" si="2"/>
        <v>0</v>
      </c>
      <c r="K26" s="42">
        <f t="shared" si="3"/>
        <v>0</v>
      </c>
      <c r="L26" s="198">
        <f t="shared" si="5"/>
        <v>0</v>
      </c>
      <c r="M26" s="139">
        <v>0</v>
      </c>
      <c r="N26" s="139">
        <f t="shared" si="4"/>
        <v>0</v>
      </c>
      <c r="O26" s="139">
        <v>0</v>
      </c>
      <c r="P26" s="139">
        <v>0</v>
      </c>
      <c r="Q26" s="139">
        <v>0</v>
      </c>
      <c r="R26" s="139">
        <v>0</v>
      </c>
      <c r="S26" s="139">
        <v>0</v>
      </c>
      <c r="T26" s="139">
        <v>0</v>
      </c>
      <c r="U26" s="139">
        <v>0</v>
      </c>
      <c r="V26" s="139">
        <v>0</v>
      </c>
      <c r="W26" s="139">
        <v>0</v>
      </c>
      <c r="X26" s="139">
        <v>0</v>
      </c>
      <c r="Y26" s="139">
        <v>0</v>
      </c>
      <c r="Z26" s="139">
        <v>0</v>
      </c>
    </row>
    <row r="27" spans="1:26" s="199" customFormat="1" ht="20.149999999999999" customHeight="1" x14ac:dyDescent="0.35">
      <c r="A27" s="194"/>
      <c r="B27" s="195" t="s">
        <v>157</v>
      </c>
      <c r="C27" s="196"/>
      <c r="D27" s="196"/>
      <c r="E27" s="196"/>
      <c r="F27" s="133">
        <v>0</v>
      </c>
      <c r="G27" s="197">
        <v>0</v>
      </c>
      <c r="H27" s="42">
        <f t="shared" si="0"/>
        <v>0</v>
      </c>
      <c r="I27" s="42">
        <f t="shared" si="1"/>
        <v>0</v>
      </c>
      <c r="J27" s="42">
        <f t="shared" si="2"/>
        <v>0</v>
      </c>
      <c r="K27" s="42">
        <f t="shared" si="3"/>
        <v>0</v>
      </c>
      <c r="L27" s="198">
        <f t="shared" si="5"/>
        <v>0</v>
      </c>
      <c r="M27" s="139">
        <v>0</v>
      </c>
      <c r="N27" s="139">
        <f t="shared" si="4"/>
        <v>0</v>
      </c>
      <c r="O27" s="139">
        <v>0</v>
      </c>
      <c r="P27" s="139">
        <v>0</v>
      </c>
      <c r="Q27" s="139">
        <v>0</v>
      </c>
      <c r="R27" s="139">
        <v>0</v>
      </c>
      <c r="S27" s="139">
        <v>0</v>
      </c>
      <c r="T27" s="139">
        <v>0</v>
      </c>
      <c r="U27" s="139">
        <v>0</v>
      </c>
      <c r="V27" s="139">
        <v>0</v>
      </c>
      <c r="W27" s="139">
        <v>0</v>
      </c>
      <c r="X27" s="139">
        <v>0</v>
      </c>
      <c r="Y27" s="139">
        <v>0</v>
      </c>
      <c r="Z27" s="139">
        <v>0</v>
      </c>
    </row>
    <row r="28" spans="1:26" s="199" customFormat="1" ht="20.149999999999999" customHeight="1" x14ac:dyDescent="0.35">
      <c r="A28" s="194"/>
      <c r="B28" s="195" t="s">
        <v>158</v>
      </c>
      <c r="C28" s="196"/>
      <c r="D28" s="196"/>
      <c r="E28" s="196"/>
      <c r="F28" s="133">
        <v>0</v>
      </c>
      <c r="G28" s="197">
        <v>0</v>
      </c>
      <c r="H28" s="42">
        <f t="shared" si="0"/>
        <v>0</v>
      </c>
      <c r="I28" s="42">
        <f t="shared" si="1"/>
        <v>0</v>
      </c>
      <c r="J28" s="42">
        <f t="shared" si="2"/>
        <v>0</v>
      </c>
      <c r="K28" s="42">
        <f t="shared" si="3"/>
        <v>0</v>
      </c>
      <c r="L28" s="198">
        <f t="shared" si="5"/>
        <v>0</v>
      </c>
      <c r="M28" s="139">
        <v>0</v>
      </c>
      <c r="N28" s="139">
        <f t="shared" si="4"/>
        <v>0</v>
      </c>
      <c r="O28" s="139">
        <v>0</v>
      </c>
      <c r="P28" s="139">
        <v>0</v>
      </c>
      <c r="Q28" s="139">
        <v>0</v>
      </c>
      <c r="R28" s="139">
        <v>0</v>
      </c>
      <c r="S28" s="139">
        <v>0</v>
      </c>
      <c r="T28" s="139">
        <v>0</v>
      </c>
      <c r="U28" s="139">
        <v>0</v>
      </c>
      <c r="V28" s="139">
        <v>0</v>
      </c>
      <c r="W28" s="139">
        <v>0</v>
      </c>
      <c r="X28" s="139">
        <v>0</v>
      </c>
      <c r="Y28" s="139">
        <v>0</v>
      </c>
      <c r="Z28" s="139">
        <v>0</v>
      </c>
    </row>
    <row r="29" spans="1:26" s="199" customFormat="1" ht="20.149999999999999" customHeight="1" x14ac:dyDescent="0.35">
      <c r="A29" s="194"/>
      <c r="B29" s="195" t="s">
        <v>159</v>
      </c>
      <c r="C29" s="196"/>
      <c r="D29" s="196"/>
      <c r="E29" s="196"/>
      <c r="F29" s="133">
        <v>0</v>
      </c>
      <c r="G29" s="197">
        <v>2500</v>
      </c>
      <c r="H29" s="42">
        <f t="shared" si="0"/>
        <v>0</v>
      </c>
      <c r="I29" s="42">
        <f t="shared" si="1"/>
        <v>45175</v>
      </c>
      <c r="J29" s="42">
        <f t="shared" si="2"/>
        <v>0</v>
      </c>
      <c r="K29" s="42">
        <f t="shared" si="3"/>
        <v>0</v>
      </c>
      <c r="L29" s="198">
        <f t="shared" si="5"/>
        <v>0</v>
      </c>
      <c r="M29" s="139">
        <v>0</v>
      </c>
      <c r="N29" s="139">
        <f t="shared" si="4"/>
        <v>0</v>
      </c>
      <c r="O29" s="139">
        <v>0</v>
      </c>
      <c r="P29" s="139">
        <v>0</v>
      </c>
      <c r="Q29" s="139">
        <v>0</v>
      </c>
      <c r="R29" s="139">
        <v>0</v>
      </c>
      <c r="S29" s="139">
        <v>0</v>
      </c>
      <c r="T29" s="139">
        <v>0</v>
      </c>
      <c r="U29" s="139">
        <v>0</v>
      </c>
      <c r="V29" s="139">
        <v>0</v>
      </c>
      <c r="W29" s="139">
        <v>0</v>
      </c>
      <c r="X29" s="139">
        <v>0</v>
      </c>
      <c r="Y29" s="139">
        <v>0</v>
      </c>
      <c r="Z29" s="139">
        <v>0</v>
      </c>
    </row>
    <row r="30" spans="1:26" s="199" customFormat="1" ht="20.149999999999999" customHeight="1" x14ac:dyDescent="0.35">
      <c r="A30" s="194"/>
      <c r="B30" s="195" t="s">
        <v>280</v>
      </c>
      <c r="C30" s="196"/>
      <c r="D30" s="196"/>
      <c r="E30" s="196"/>
      <c r="F30" s="133">
        <v>0</v>
      </c>
      <c r="G30" s="197">
        <v>2000</v>
      </c>
      <c r="H30" s="42">
        <f t="shared" si="0"/>
        <v>0</v>
      </c>
      <c r="I30" s="42">
        <f t="shared" si="1"/>
        <v>36140</v>
      </c>
      <c r="J30" s="42">
        <f t="shared" si="2"/>
        <v>0</v>
      </c>
      <c r="K30" s="42">
        <f t="shared" si="3"/>
        <v>0</v>
      </c>
      <c r="L30" s="198">
        <f t="shared" si="5"/>
        <v>0</v>
      </c>
      <c r="M30" s="139">
        <v>0</v>
      </c>
      <c r="N30" s="139">
        <f t="shared" si="4"/>
        <v>0</v>
      </c>
      <c r="O30" s="139">
        <v>0</v>
      </c>
      <c r="P30" s="139">
        <v>0</v>
      </c>
      <c r="Q30" s="139">
        <v>0</v>
      </c>
      <c r="R30" s="139">
        <v>0</v>
      </c>
      <c r="S30" s="139">
        <v>0</v>
      </c>
      <c r="T30" s="139">
        <v>0</v>
      </c>
      <c r="U30" s="139">
        <v>0</v>
      </c>
      <c r="V30" s="139">
        <v>0</v>
      </c>
      <c r="W30" s="139">
        <v>0</v>
      </c>
      <c r="X30" s="139">
        <v>0</v>
      </c>
      <c r="Y30" s="139">
        <v>0</v>
      </c>
      <c r="Z30" s="139">
        <v>0</v>
      </c>
    </row>
    <row r="31" spans="1:26" s="199" customFormat="1" ht="20.149999999999999" customHeight="1" x14ac:dyDescent="0.35">
      <c r="A31" s="194"/>
      <c r="B31" s="195" t="s">
        <v>161</v>
      </c>
      <c r="C31" s="196"/>
      <c r="D31" s="196"/>
      <c r="E31" s="196"/>
      <c r="F31" s="133">
        <v>0</v>
      </c>
      <c r="G31" s="197">
        <v>0</v>
      </c>
      <c r="H31" s="42">
        <f t="shared" si="0"/>
        <v>0</v>
      </c>
      <c r="I31" s="42">
        <f t="shared" si="1"/>
        <v>0</v>
      </c>
      <c r="J31" s="42">
        <f t="shared" si="2"/>
        <v>0</v>
      </c>
      <c r="K31" s="42">
        <f t="shared" si="3"/>
        <v>0</v>
      </c>
      <c r="L31" s="198">
        <f t="shared" si="5"/>
        <v>0</v>
      </c>
      <c r="M31" s="139">
        <v>0</v>
      </c>
      <c r="N31" s="139">
        <f t="shared" si="4"/>
        <v>0</v>
      </c>
      <c r="O31" s="139">
        <v>0</v>
      </c>
      <c r="P31" s="139">
        <v>0</v>
      </c>
      <c r="Q31" s="139">
        <v>0</v>
      </c>
      <c r="R31" s="139">
        <v>0</v>
      </c>
      <c r="S31" s="139">
        <v>0</v>
      </c>
      <c r="T31" s="139">
        <v>0</v>
      </c>
      <c r="U31" s="139">
        <v>0</v>
      </c>
      <c r="V31" s="139">
        <v>0</v>
      </c>
      <c r="W31" s="139">
        <v>0</v>
      </c>
      <c r="X31" s="139">
        <v>0</v>
      </c>
      <c r="Y31" s="139">
        <v>0</v>
      </c>
      <c r="Z31" s="139">
        <v>0</v>
      </c>
    </row>
    <row r="32" spans="1:26" s="199" customFormat="1" ht="20.149999999999999" customHeight="1" x14ac:dyDescent="0.35">
      <c r="A32" s="194"/>
      <c r="B32" s="195" t="s">
        <v>162</v>
      </c>
      <c r="C32" s="196"/>
      <c r="D32" s="196"/>
      <c r="E32" s="196"/>
      <c r="F32" s="133">
        <v>0</v>
      </c>
      <c r="G32" s="197">
        <v>0</v>
      </c>
      <c r="H32" s="42">
        <f t="shared" si="0"/>
        <v>0</v>
      </c>
      <c r="I32" s="42">
        <f t="shared" si="1"/>
        <v>0</v>
      </c>
      <c r="J32" s="42">
        <f t="shared" si="2"/>
        <v>0</v>
      </c>
      <c r="K32" s="42">
        <f t="shared" si="3"/>
        <v>0</v>
      </c>
      <c r="L32" s="198">
        <f t="shared" si="5"/>
        <v>0</v>
      </c>
      <c r="M32" s="139">
        <v>0</v>
      </c>
      <c r="N32" s="139">
        <f t="shared" si="4"/>
        <v>0</v>
      </c>
      <c r="O32" s="139">
        <v>0</v>
      </c>
      <c r="P32" s="139">
        <v>0</v>
      </c>
      <c r="Q32" s="139">
        <v>0</v>
      </c>
      <c r="R32" s="139">
        <v>0</v>
      </c>
      <c r="S32" s="139">
        <v>0</v>
      </c>
      <c r="T32" s="139">
        <v>0</v>
      </c>
      <c r="U32" s="139">
        <v>0</v>
      </c>
      <c r="V32" s="139">
        <v>0</v>
      </c>
      <c r="W32" s="139">
        <v>0</v>
      </c>
      <c r="X32" s="139">
        <v>0</v>
      </c>
      <c r="Y32" s="139">
        <v>0</v>
      </c>
      <c r="Z32" s="139">
        <v>0</v>
      </c>
    </row>
    <row r="33" spans="1:26" s="199" customFormat="1" ht="20.149999999999999" customHeight="1" x14ac:dyDescent="0.35">
      <c r="A33" s="194"/>
      <c r="B33" s="195" t="s">
        <v>163</v>
      </c>
      <c r="C33" s="196" t="s">
        <v>474</v>
      </c>
      <c r="D33" s="196"/>
      <c r="E33" s="196"/>
      <c r="F33" s="133">
        <v>0</v>
      </c>
      <c r="G33" s="197">
        <v>19421.79</v>
      </c>
      <c r="H33" s="42">
        <f t="shared" si="0"/>
        <v>0</v>
      </c>
      <c r="I33" s="42">
        <f t="shared" si="1"/>
        <v>350951.74530000001</v>
      </c>
      <c r="J33" s="42">
        <f t="shared" si="2"/>
        <v>0</v>
      </c>
      <c r="K33" s="42">
        <f t="shared" si="3"/>
        <v>0</v>
      </c>
      <c r="L33" s="198">
        <f t="shared" si="5"/>
        <v>0</v>
      </c>
      <c r="M33" s="139">
        <f>J33</f>
        <v>0</v>
      </c>
      <c r="N33" s="139">
        <v>0</v>
      </c>
      <c r="O33" s="139">
        <v>0</v>
      </c>
      <c r="P33" s="139">
        <v>0</v>
      </c>
      <c r="Q33" s="139">
        <v>0</v>
      </c>
      <c r="R33" s="139">
        <v>0</v>
      </c>
      <c r="S33" s="139">
        <v>0</v>
      </c>
      <c r="T33" s="139">
        <v>0</v>
      </c>
      <c r="U33" s="139">
        <v>0</v>
      </c>
      <c r="V33" s="139">
        <v>0</v>
      </c>
      <c r="W33" s="139">
        <v>0</v>
      </c>
      <c r="X33" s="139">
        <v>0</v>
      </c>
      <c r="Y33" s="139">
        <v>0</v>
      </c>
      <c r="Z33" s="139">
        <v>0</v>
      </c>
    </row>
    <row r="34" spans="1:26" s="199" customFormat="1" ht="20.149999999999999" customHeight="1" x14ac:dyDescent="0.35">
      <c r="A34" s="194"/>
      <c r="B34" s="195" t="s">
        <v>164</v>
      </c>
      <c r="C34" s="196"/>
      <c r="D34" s="196"/>
      <c r="E34" s="196"/>
      <c r="F34" s="133">
        <v>0</v>
      </c>
      <c r="G34" s="197">
        <v>0</v>
      </c>
      <c r="H34" s="42">
        <f t="shared" si="0"/>
        <v>0</v>
      </c>
      <c r="I34" s="42">
        <f t="shared" si="1"/>
        <v>0</v>
      </c>
      <c r="J34" s="42">
        <f t="shared" si="2"/>
        <v>0</v>
      </c>
      <c r="K34" s="42">
        <f t="shared" si="3"/>
        <v>0</v>
      </c>
      <c r="L34" s="198">
        <f t="shared" si="5"/>
        <v>0</v>
      </c>
      <c r="M34" s="139">
        <v>0</v>
      </c>
      <c r="N34" s="139">
        <f t="shared" si="4"/>
        <v>0</v>
      </c>
      <c r="O34" s="139">
        <v>0</v>
      </c>
      <c r="P34" s="139">
        <v>0</v>
      </c>
      <c r="Q34" s="139">
        <v>0</v>
      </c>
      <c r="R34" s="139">
        <v>0</v>
      </c>
      <c r="S34" s="139">
        <v>0</v>
      </c>
      <c r="T34" s="139">
        <v>0</v>
      </c>
      <c r="U34" s="139">
        <v>0</v>
      </c>
      <c r="V34" s="139">
        <v>0</v>
      </c>
      <c r="W34" s="139">
        <v>0</v>
      </c>
      <c r="X34" s="139">
        <v>0</v>
      </c>
      <c r="Y34" s="139">
        <v>0</v>
      </c>
      <c r="Z34" s="139">
        <v>0</v>
      </c>
    </row>
    <row r="35" spans="1:26" s="199" customFormat="1" ht="20.149999999999999" customHeight="1" x14ac:dyDescent="0.35">
      <c r="A35" s="194"/>
      <c r="B35" s="195" t="s">
        <v>165</v>
      </c>
      <c r="C35" s="196"/>
      <c r="D35" s="196"/>
      <c r="E35" s="196"/>
      <c r="F35" s="133">
        <v>0</v>
      </c>
      <c r="G35" s="197">
        <v>1000</v>
      </c>
      <c r="H35" s="42">
        <f t="shared" si="0"/>
        <v>0</v>
      </c>
      <c r="I35" s="42">
        <f t="shared" si="1"/>
        <v>18070</v>
      </c>
      <c r="J35" s="42">
        <f t="shared" si="2"/>
        <v>0</v>
      </c>
      <c r="K35" s="42">
        <f t="shared" si="3"/>
        <v>0</v>
      </c>
      <c r="L35" s="198">
        <f t="shared" si="5"/>
        <v>0</v>
      </c>
      <c r="M35" s="139">
        <v>0</v>
      </c>
      <c r="N35" s="139">
        <f t="shared" si="4"/>
        <v>0</v>
      </c>
      <c r="O35" s="139">
        <v>0</v>
      </c>
      <c r="P35" s="139">
        <v>0</v>
      </c>
      <c r="Q35" s="139">
        <v>0</v>
      </c>
      <c r="R35" s="139">
        <v>0</v>
      </c>
      <c r="S35" s="139">
        <v>0</v>
      </c>
      <c r="T35" s="139">
        <v>0</v>
      </c>
      <c r="U35" s="139">
        <v>0</v>
      </c>
      <c r="V35" s="139">
        <v>0</v>
      </c>
      <c r="W35" s="139">
        <v>0</v>
      </c>
      <c r="X35" s="139">
        <v>0</v>
      </c>
      <c r="Y35" s="139">
        <v>0</v>
      </c>
      <c r="Z35" s="139">
        <v>0</v>
      </c>
    </row>
    <row r="36" spans="1:26" s="199" customFormat="1" ht="20.149999999999999" customHeight="1" x14ac:dyDescent="0.35">
      <c r="A36" s="194"/>
      <c r="B36" s="195" t="s">
        <v>166</v>
      </c>
      <c r="C36" s="196"/>
      <c r="D36" s="196"/>
      <c r="E36" s="196"/>
      <c r="F36" s="133">
        <v>0</v>
      </c>
      <c r="G36" s="197">
        <v>0</v>
      </c>
      <c r="H36" s="42">
        <f t="shared" si="0"/>
        <v>0</v>
      </c>
      <c r="I36" s="42">
        <f t="shared" si="1"/>
        <v>0</v>
      </c>
      <c r="J36" s="42">
        <f t="shared" si="2"/>
        <v>0</v>
      </c>
      <c r="K36" s="42">
        <f t="shared" si="3"/>
        <v>0</v>
      </c>
      <c r="L36" s="198">
        <f t="shared" si="5"/>
        <v>0</v>
      </c>
      <c r="M36" s="139">
        <v>0</v>
      </c>
      <c r="N36" s="139">
        <f t="shared" si="4"/>
        <v>0</v>
      </c>
      <c r="O36" s="139">
        <v>0</v>
      </c>
      <c r="P36" s="139">
        <v>0</v>
      </c>
      <c r="Q36" s="139">
        <v>0</v>
      </c>
      <c r="R36" s="139">
        <v>0</v>
      </c>
      <c r="S36" s="139">
        <v>0</v>
      </c>
      <c r="T36" s="139">
        <v>0</v>
      </c>
      <c r="U36" s="139">
        <v>0</v>
      </c>
      <c r="V36" s="139">
        <v>0</v>
      </c>
      <c r="W36" s="139">
        <v>0</v>
      </c>
      <c r="X36" s="139">
        <v>0</v>
      </c>
      <c r="Y36" s="139">
        <v>0</v>
      </c>
      <c r="Z36" s="139">
        <v>0</v>
      </c>
    </row>
    <row r="37" spans="1:26" s="199" customFormat="1" ht="20.149999999999999" customHeight="1" x14ac:dyDescent="0.35">
      <c r="A37" s="194"/>
      <c r="B37" s="195" t="s">
        <v>167</v>
      </c>
      <c r="C37" s="196"/>
      <c r="D37" s="196"/>
      <c r="E37" s="196"/>
      <c r="F37" s="133">
        <v>0</v>
      </c>
      <c r="G37" s="197">
        <v>0</v>
      </c>
      <c r="H37" s="42">
        <f t="shared" si="0"/>
        <v>0</v>
      </c>
      <c r="I37" s="42">
        <f t="shared" si="1"/>
        <v>0</v>
      </c>
      <c r="J37" s="42">
        <f t="shared" si="2"/>
        <v>0</v>
      </c>
      <c r="K37" s="42">
        <f t="shared" si="3"/>
        <v>0</v>
      </c>
      <c r="L37" s="198">
        <f t="shared" si="5"/>
        <v>0</v>
      </c>
      <c r="M37" s="139">
        <v>0</v>
      </c>
      <c r="N37" s="139">
        <f t="shared" si="4"/>
        <v>0</v>
      </c>
      <c r="O37" s="139">
        <v>0</v>
      </c>
      <c r="P37" s="139">
        <v>0</v>
      </c>
      <c r="Q37" s="139">
        <v>0</v>
      </c>
      <c r="R37" s="139">
        <v>0</v>
      </c>
      <c r="S37" s="139">
        <v>0</v>
      </c>
      <c r="T37" s="139">
        <v>0</v>
      </c>
      <c r="U37" s="139">
        <v>0</v>
      </c>
      <c r="V37" s="139">
        <v>0</v>
      </c>
      <c r="W37" s="139">
        <v>0</v>
      </c>
      <c r="X37" s="139">
        <v>0</v>
      </c>
      <c r="Y37" s="139">
        <v>0</v>
      </c>
      <c r="Z37" s="139">
        <v>0</v>
      </c>
    </row>
    <row r="38" spans="1:26" s="199" customFormat="1" ht="20.149999999999999" customHeight="1" x14ac:dyDescent="0.35">
      <c r="A38" s="194"/>
      <c r="B38" s="195" t="s">
        <v>168</v>
      </c>
      <c r="C38" s="196"/>
      <c r="D38" s="196"/>
      <c r="E38" s="196"/>
      <c r="F38" s="133">
        <v>0</v>
      </c>
      <c r="G38" s="197">
        <v>0</v>
      </c>
      <c r="H38" s="42">
        <f t="shared" si="0"/>
        <v>0</v>
      </c>
      <c r="I38" s="42">
        <f t="shared" si="1"/>
        <v>0</v>
      </c>
      <c r="J38" s="42">
        <f t="shared" si="2"/>
        <v>0</v>
      </c>
      <c r="K38" s="42">
        <f t="shared" si="3"/>
        <v>0</v>
      </c>
      <c r="L38" s="198">
        <f t="shared" si="5"/>
        <v>0</v>
      </c>
      <c r="M38" s="139">
        <v>0</v>
      </c>
      <c r="N38" s="139">
        <f t="shared" si="4"/>
        <v>0</v>
      </c>
      <c r="O38" s="139">
        <v>0</v>
      </c>
      <c r="P38" s="139">
        <v>0</v>
      </c>
      <c r="Q38" s="139">
        <v>0</v>
      </c>
      <c r="R38" s="139">
        <v>0</v>
      </c>
      <c r="S38" s="139">
        <v>0</v>
      </c>
      <c r="T38" s="139">
        <v>0</v>
      </c>
      <c r="U38" s="139">
        <v>0</v>
      </c>
      <c r="V38" s="139">
        <v>0</v>
      </c>
      <c r="W38" s="139">
        <v>0</v>
      </c>
      <c r="X38" s="139">
        <v>0</v>
      </c>
      <c r="Y38" s="139">
        <v>0</v>
      </c>
      <c r="Z38" s="139">
        <v>0</v>
      </c>
    </row>
    <row r="39" spans="1:26" s="199" customFormat="1" ht="20.149999999999999" customHeight="1" x14ac:dyDescent="0.35">
      <c r="A39" s="194"/>
      <c r="B39" s="195" t="s">
        <v>169</v>
      </c>
      <c r="C39" s="196"/>
      <c r="D39" s="196"/>
      <c r="E39" s="196"/>
      <c r="F39" s="133">
        <v>0</v>
      </c>
      <c r="G39" s="197">
        <v>0</v>
      </c>
      <c r="H39" s="42">
        <f t="shared" si="0"/>
        <v>0</v>
      </c>
      <c r="I39" s="42">
        <f t="shared" si="1"/>
        <v>0</v>
      </c>
      <c r="J39" s="42">
        <f t="shared" si="2"/>
        <v>0</v>
      </c>
      <c r="K39" s="42">
        <f t="shared" si="3"/>
        <v>0</v>
      </c>
      <c r="L39" s="198">
        <f t="shared" si="5"/>
        <v>0</v>
      </c>
      <c r="M39" s="139">
        <v>0</v>
      </c>
      <c r="N39" s="139">
        <f t="shared" si="4"/>
        <v>0</v>
      </c>
      <c r="O39" s="139">
        <v>0</v>
      </c>
      <c r="P39" s="139">
        <v>0</v>
      </c>
      <c r="Q39" s="139">
        <v>0</v>
      </c>
      <c r="R39" s="139">
        <v>0</v>
      </c>
      <c r="S39" s="139">
        <v>0</v>
      </c>
      <c r="T39" s="139">
        <v>0</v>
      </c>
      <c r="U39" s="139">
        <v>0</v>
      </c>
      <c r="V39" s="139">
        <v>0</v>
      </c>
      <c r="W39" s="139">
        <v>0</v>
      </c>
      <c r="X39" s="139">
        <v>0</v>
      </c>
      <c r="Y39" s="139">
        <v>0</v>
      </c>
      <c r="Z39" s="139">
        <v>0</v>
      </c>
    </row>
    <row r="40" spans="1:26" s="199" customFormat="1" ht="20.149999999999999" customHeight="1" x14ac:dyDescent="0.35">
      <c r="A40" s="194"/>
      <c r="B40" s="195" t="s">
        <v>170</v>
      </c>
      <c r="C40" s="196"/>
      <c r="D40" s="196"/>
      <c r="E40" s="196"/>
      <c r="F40" s="133">
        <v>0</v>
      </c>
      <c r="G40" s="197">
        <v>0</v>
      </c>
      <c r="H40" s="42">
        <f t="shared" si="0"/>
        <v>0</v>
      </c>
      <c r="I40" s="42">
        <f t="shared" si="1"/>
        <v>0</v>
      </c>
      <c r="J40" s="42">
        <f t="shared" si="2"/>
        <v>0</v>
      </c>
      <c r="K40" s="42">
        <f t="shared" si="3"/>
        <v>0</v>
      </c>
      <c r="L40" s="198">
        <f t="shared" si="5"/>
        <v>0</v>
      </c>
      <c r="M40" s="139">
        <v>0</v>
      </c>
      <c r="N40" s="139">
        <f t="shared" si="4"/>
        <v>0</v>
      </c>
      <c r="O40" s="139">
        <v>0</v>
      </c>
      <c r="P40" s="139">
        <v>0</v>
      </c>
      <c r="Q40" s="139">
        <v>0</v>
      </c>
      <c r="R40" s="139">
        <v>0</v>
      </c>
      <c r="S40" s="139">
        <v>0</v>
      </c>
      <c r="T40" s="139">
        <v>0</v>
      </c>
      <c r="U40" s="139">
        <v>0</v>
      </c>
      <c r="V40" s="139">
        <v>0</v>
      </c>
      <c r="W40" s="139">
        <v>0</v>
      </c>
      <c r="X40" s="139">
        <v>0</v>
      </c>
      <c r="Y40" s="139">
        <v>0</v>
      </c>
      <c r="Z40" s="139">
        <v>0</v>
      </c>
    </row>
    <row r="41" spans="1:26" s="199" customFormat="1" ht="20.149999999999999" customHeight="1" x14ac:dyDescent="0.35">
      <c r="A41" s="194"/>
      <c r="B41" s="195" t="s">
        <v>171</v>
      </c>
      <c r="C41" s="196" t="s">
        <v>483</v>
      </c>
      <c r="D41" s="196"/>
      <c r="E41" s="196"/>
      <c r="F41" s="133">
        <v>0</v>
      </c>
      <c r="G41" s="197">
        <v>3320.43</v>
      </c>
      <c r="H41" s="42">
        <f t="shared" si="0"/>
        <v>0</v>
      </c>
      <c r="I41" s="42">
        <f t="shared" si="1"/>
        <v>60000.170099999996</v>
      </c>
      <c r="J41" s="42">
        <f t="shared" si="2"/>
        <v>0</v>
      </c>
      <c r="K41" s="42">
        <f t="shared" si="3"/>
        <v>0</v>
      </c>
      <c r="L41" s="198">
        <f t="shared" si="5"/>
        <v>0</v>
      </c>
      <c r="M41" s="139">
        <v>0</v>
      </c>
      <c r="N41" s="139">
        <f>J41</f>
        <v>0</v>
      </c>
      <c r="O41" s="139">
        <v>0</v>
      </c>
      <c r="P41" s="139">
        <v>0</v>
      </c>
      <c r="Q41" s="139">
        <v>0</v>
      </c>
      <c r="R41" s="139">
        <v>0</v>
      </c>
      <c r="S41" s="139">
        <v>0</v>
      </c>
      <c r="T41" s="139">
        <v>0</v>
      </c>
      <c r="U41" s="139">
        <v>0</v>
      </c>
      <c r="V41" s="139">
        <v>0</v>
      </c>
      <c r="W41" s="139">
        <v>0</v>
      </c>
      <c r="X41" s="139">
        <v>0</v>
      </c>
      <c r="Y41" s="139">
        <v>0</v>
      </c>
      <c r="Z41" s="139">
        <v>0</v>
      </c>
    </row>
    <row r="42" spans="1:26" s="199" customFormat="1" ht="20.149999999999999" customHeight="1" x14ac:dyDescent="0.35">
      <c r="A42" s="194"/>
      <c r="B42" s="195" t="s">
        <v>172</v>
      </c>
      <c r="C42" s="196"/>
      <c r="D42" s="196"/>
      <c r="E42" s="196"/>
      <c r="F42" s="133">
        <v>0</v>
      </c>
      <c r="G42" s="197">
        <v>100</v>
      </c>
      <c r="H42" s="42">
        <f t="shared" si="0"/>
        <v>0</v>
      </c>
      <c r="I42" s="42">
        <f t="shared" si="1"/>
        <v>1807</v>
      </c>
      <c r="J42" s="42">
        <f t="shared" si="2"/>
        <v>0</v>
      </c>
      <c r="K42" s="42">
        <f t="shared" si="3"/>
        <v>0</v>
      </c>
      <c r="L42" s="198">
        <f t="shared" si="5"/>
        <v>0</v>
      </c>
      <c r="M42" s="139">
        <v>0</v>
      </c>
      <c r="N42" s="139">
        <f t="shared" si="4"/>
        <v>0</v>
      </c>
      <c r="O42" s="139">
        <v>0</v>
      </c>
      <c r="P42" s="139">
        <v>0</v>
      </c>
      <c r="Q42" s="139">
        <v>0</v>
      </c>
      <c r="R42" s="139">
        <v>0</v>
      </c>
      <c r="S42" s="139">
        <v>0</v>
      </c>
      <c r="T42" s="139">
        <v>0</v>
      </c>
      <c r="U42" s="139">
        <v>0</v>
      </c>
      <c r="V42" s="139">
        <v>0</v>
      </c>
      <c r="W42" s="139">
        <v>0</v>
      </c>
      <c r="X42" s="139">
        <v>0</v>
      </c>
      <c r="Y42" s="139">
        <v>0</v>
      </c>
      <c r="Z42" s="139">
        <v>0</v>
      </c>
    </row>
    <row r="43" spans="1:26" s="11" customFormat="1" ht="20.149999999999999" customHeight="1" x14ac:dyDescent="0.35">
      <c r="A43" s="194"/>
      <c r="C43" s="123"/>
      <c r="D43" s="123"/>
      <c r="E43" s="200"/>
      <c r="F43" s="123" t="s">
        <v>448</v>
      </c>
      <c r="G43" s="123"/>
      <c r="H43" s="123"/>
      <c r="I43" s="123"/>
      <c r="J43" s="123"/>
      <c r="K43" s="123"/>
      <c r="L43" s="123"/>
      <c r="M43" s="123"/>
      <c r="N43" s="123"/>
      <c r="O43" s="123"/>
      <c r="P43" s="123"/>
      <c r="Q43" s="123"/>
      <c r="R43" s="123"/>
      <c r="S43" s="123"/>
      <c r="T43" s="123"/>
      <c r="U43" s="123"/>
      <c r="V43" s="123"/>
      <c r="W43" s="123"/>
      <c r="X43" s="123"/>
      <c r="Y43" s="123"/>
      <c r="Z43" s="123"/>
    </row>
    <row r="44" spans="1:26" ht="20.149999999999999" customHeight="1" x14ac:dyDescent="0.45">
      <c r="A44" s="63"/>
      <c r="B44" s="191" t="str">
        <f>'F05 VIÁTICOS'!B28</f>
        <v>Premisas</v>
      </c>
      <c r="C44" s="191"/>
      <c r="E44" s="201"/>
      <c r="J44"/>
      <c r="K44" s="50" t="s">
        <v>262</v>
      </c>
      <c r="M44" s="161">
        <f>SUM(M8:M42)</f>
        <v>10498.67</v>
      </c>
      <c r="N44" s="161">
        <f t="shared" ref="N44:X44" si="6">SUM(N8:N42)</f>
        <v>10498.67</v>
      </c>
      <c r="O44" s="161">
        <f t="shared" si="6"/>
        <v>0</v>
      </c>
      <c r="P44" s="161">
        <f t="shared" si="6"/>
        <v>0</v>
      </c>
      <c r="Q44" s="161">
        <f t="shared" si="6"/>
        <v>0</v>
      </c>
      <c r="R44" s="161">
        <f t="shared" si="6"/>
        <v>0</v>
      </c>
      <c r="S44" s="161">
        <f t="shared" si="6"/>
        <v>0</v>
      </c>
      <c r="T44" s="161">
        <f t="shared" si="6"/>
        <v>0</v>
      </c>
      <c r="U44" s="161">
        <f t="shared" si="6"/>
        <v>0</v>
      </c>
      <c r="V44" s="161">
        <f t="shared" si="6"/>
        <v>0</v>
      </c>
      <c r="W44" s="161">
        <f t="shared" si="6"/>
        <v>0</v>
      </c>
      <c r="X44" s="161">
        <f t="shared" si="6"/>
        <v>0</v>
      </c>
      <c r="Y44" s="161">
        <f>SUM(Y8:Y42)</f>
        <v>0</v>
      </c>
      <c r="Z44" s="161">
        <f>SUM(Z8:Z42)</f>
        <v>0</v>
      </c>
    </row>
    <row r="45" spans="1:26" ht="20.149999999999999" customHeight="1" x14ac:dyDescent="0.45">
      <c r="A45" s="63"/>
      <c r="B45" s="20" t="str">
        <f>'F05 VIÁTICOS'!B29</f>
        <v>Paridad</v>
      </c>
      <c r="C45" s="202">
        <f>'F05 VIÁTICOS'!C29</f>
        <v>18.07</v>
      </c>
      <c r="J45"/>
      <c r="K45" s="53" t="s">
        <v>263</v>
      </c>
      <c r="M45" s="203">
        <f t="shared" ref="M45:X45" si="7">M44/$C$45</f>
        <v>581</v>
      </c>
      <c r="N45" s="203">
        <f t="shared" si="7"/>
        <v>581</v>
      </c>
      <c r="O45" s="203">
        <f t="shared" si="7"/>
        <v>0</v>
      </c>
      <c r="P45" s="203">
        <f t="shared" si="7"/>
        <v>0</v>
      </c>
      <c r="Q45" s="203">
        <f t="shared" si="7"/>
        <v>0</v>
      </c>
      <c r="R45" s="203">
        <f t="shared" si="7"/>
        <v>0</v>
      </c>
      <c r="S45" s="203">
        <f t="shared" si="7"/>
        <v>0</v>
      </c>
      <c r="T45" s="203">
        <f t="shared" si="7"/>
        <v>0</v>
      </c>
      <c r="U45" s="203">
        <f t="shared" si="7"/>
        <v>0</v>
      </c>
      <c r="V45" s="203">
        <f t="shared" si="7"/>
        <v>0</v>
      </c>
      <c r="W45" s="203">
        <f t="shared" si="7"/>
        <v>0</v>
      </c>
      <c r="X45" s="203">
        <f t="shared" si="7"/>
        <v>0</v>
      </c>
      <c r="Y45" s="203">
        <f>Y44/$C$45</f>
        <v>0</v>
      </c>
      <c r="Z45" s="203">
        <f>Z44/$C$45</f>
        <v>0</v>
      </c>
    </row>
    <row r="46" spans="1:26" ht="20.149999999999999" customHeight="1" x14ac:dyDescent="0.45">
      <c r="A46" s="63"/>
      <c r="B46" s="22" t="str">
        <f>'F05 VIÁTICOS'!B30</f>
        <v xml:space="preserve">Mes </v>
      </c>
      <c r="C46" s="54">
        <f>'F05 VIÁTICOS'!C30</f>
        <v>30.4</v>
      </c>
      <c r="J46"/>
      <c r="K46" s="50" t="s">
        <v>284</v>
      </c>
      <c r="M46" s="51">
        <f>SUM(M44:Z44)</f>
        <v>20997.34</v>
      </c>
      <c r="R46" s="15"/>
      <c r="S46" s="15"/>
      <c r="T46" s="15"/>
      <c r="U46" s="15"/>
      <c r="V46" s="15"/>
      <c r="W46" s="15"/>
      <c r="X46" s="15"/>
    </row>
    <row r="47" spans="1:26" ht="20.149999999999999" customHeight="1" x14ac:dyDescent="0.45">
      <c r="A47" s="63"/>
      <c r="B47" s="24" t="str">
        <f>'F05 VIÁTICOS'!B31</f>
        <v>Periodo Pago (días)</v>
      </c>
      <c r="C47" s="55">
        <f>'F05 VIÁTICOS'!C31</f>
        <v>30</v>
      </c>
      <c r="J47"/>
      <c r="K47" s="53" t="s">
        <v>261</v>
      </c>
      <c r="M47" s="112">
        <f>M46/$C$45</f>
        <v>1162</v>
      </c>
      <c r="R47" s="15"/>
      <c r="S47" s="15"/>
      <c r="T47" s="15"/>
      <c r="U47" s="15"/>
      <c r="V47" s="15"/>
      <c r="W47" s="15"/>
      <c r="X47" s="15"/>
    </row>
    <row r="48" spans="1:26" ht="20.149999999999999" customHeight="1" x14ac:dyDescent="0.45">
      <c r="A48" s="63"/>
      <c r="B48" s="26" t="str">
        <f>'F05 VIÁTICOS'!B32</f>
        <v>Gas lp</v>
      </c>
      <c r="C48" s="58">
        <f>'F05 VIÁTICOS'!C32</f>
        <v>0</v>
      </c>
      <c r="J48"/>
      <c r="R48" s="15"/>
      <c r="S48" s="15"/>
      <c r="T48" s="15"/>
      <c r="U48" s="15"/>
      <c r="V48" s="15"/>
      <c r="W48" s="15"/>
      <c r="X48" s="15"/>
    </row>
    <row r="49" spans="1:15" ht="20.149999999999999" customHeight="1" x14ac:dyDescent="0.45">
      <c r="A49" s="63"/>
      <c r="B49" s="28" t="str">
        <f>'F05 VIÁTICOS'!B33</f>
        <v>Gasolina Magna</v>
      </c>
      <c r="C49" s="59">
        <f>'F05 VIÁTICOS'!C33</f>
        <v>23.5</v>
      </c>
      <c r="M49" s="239"/>
    </row>
    <row r="50" spans="1:15" ht="20.149999999999999" customHeight="1" x14ac:dyDescent="0.35">
      <c r="B50" s="30" t="str">
        <f>'F05 VIÁTICOS'!B34</f>
        <v>Diesel</v>
      </c>
      <c r="C50" s="60">
        <f>'F05 VIÁTICOS'!C34</f>
        <v>23</v>
      </c>
      <c r="M50" s="239"/>
    </row>
    <row r="52" spans="1:15" ht="20.149999999999999" customHeight="1" x14ac:dyDescent="0.35">
      <c r="O52" s="205"/>
    </row>
    <row r="55" spans="1:15" ht="20.149999999999999" customHeight="1" x14ac:dyDescent="0.35">
      <c r="K55" s="205"/>
    </row>
  </sheetData>
  <mergeCells count="10">
    <mergeCell ref="G5:G6"/>
    <mergeCell ref="H5:H6"/>
    <mergeCell ref="I5:I6"/>
    <mergeCell ref="J5:J6"/>
    <mergeCell ref="K5:K6"/>
    <mergeCell ref="F6:F7"/>
    <mergeCell ref="E6:E7"/>
    <mergeCell ref="D6:D7"/>
    <mergeCell ref="C6:C7"/>
    <mergeCell ref="B6:B7"/>
  </mergeCells>
  <phoneticPr fontId="8" type="noConversion"/>
  <pageMargins left="0.25" right="0.25" top="0.75" bottom="0.75" header="0.3" footer="0.3"/>
  <pageSetup paperSize="3" scale="38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AK287"/>
  <sheetViews>
    <sheetView tabSelected="1" zoomScale="50" zoomScaleNormal="50" workbookViewId="0">
      <pane xSplit="11" ySplit="7" topLeftCell="L92" activePane="bottomRight" state="frozen"/>
      <selection activeCell="M74" sqref="M74"/>
      <selection pane="topRight" activeCell="M74" sqref="M74"/>
      <selection pane="bottomLeft" activeCell="M74" sqref="M74"/>
      <selection pane="bottomRight" activeCell="E105" sqref="E105"/>
    </sheetView>
  </sheetViews>
  <sheetFormatPr baseColWidth="10" defaultColWidth="10.5" defaultRowHeight="20.149999999999999" customHeight="1" x14ac:dyDescent="0.35"/>
  <cols>
    <col min="1" max="1" width="4" customWidth="1"/>
    <col min="2" max="2" width="31.58203125" customWidth="1"/>
    <col min="3" max="3" width="28.83203125" customWidth="1"/>
    <col min="4" max="4" width="22.58203125" bestFit="1" customWidth="1"/>
    <col min="5" max="5" width="12.33203125" customWidth="1"/>
    <col min="6" max="6" width="18.83203125" customWidth="1"/>
    <col min="7" max="7" width="19.08203125" customWidth="1"/>
    <col min="8" max="9" width="15.33203125" style="204" customWidth="1"/>
    <col min="10" max="10" width="16.08203125" customWidth="1"/>
    <col min="11" max="11" width="2" customWidth="1"/>
    <col min="12" max="12" width="16.33203125" bestFit="1" customWidth="1"/>
    <col min="13" max="25" width="14.83203125" customWidth="1"/>
    <col min="26" max="122" width="10.5" customWidth="1"/>
  </cols>
  <sheetData>
    <row r="1" spans="1:27" ht="20.149999999999999" customHeight="1" x14ac:dyDescent="0.35">
      <c r="A1" s="192"/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  <c r="Y1" s="192"/>
    </row>
    <row r="2" spans="1:27" ht="20.149999999999999" customHeight="1" x14ac:dyDescent="0.35">
      <c r="A2" s="192"/>
      <c r="B2" s="192" t="s">
        <v>17</v>
      </c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</row>
    <row r="3" spans="1:27" ht="20.149999999999999" customHeight="1" x14ac:dyDescent="0.35">
      <c r="A3" s="192"/>
      <c r="B3" s="192"/>
      <c r="C3" s="192"/>
      <c r="D3" s="192"/>
      <c r="E3" s="192"/>
      <c r="F3" s="192"/>
      <c r="G3" s="192"/>
      <c r="H3" s="192"/>
      <c r="I3" s="192"/>
      <c r="J3" s="192"/>
      <c r="K3" s="192"/>
      <c r="L3" s="192"/>
      <c r="M3" s="192"/>
      <c r="N3" s="192"/>
      <c r="O3" s="192"/>
      <c r="P3" s="192"/>
      <c r="Q3" s="192"/>
      <c r="R3" s="192"/>
      <c r="S3" s="192"/>
      <c r="T3" s="192"/>
      <c r="U3" s="192"/>
      <c r="V3" s="192"/>
      <c r="W3" s="192"/>
      <c r="X3" s="192"/>
      <c r="Y3" s="192"/>
    </row>
    <row r="4" spans="1:27" ht="20.149999999999999" customHeight="1" x14ac:dyDescent="0.35">
      <c r="A4" s="193"/>
      <c r="B4" s="193"/>
      <c r="C4" s="193"/>
      <c r="D4" s="193"/>
      <c r="E4" s="193"/>
      <c r="F4" s="193"/>
      <c r="G4" s="193"/>
      <c r="H4" s="193"/>
      <c r="I4" s="193"/>
      <c r="J4" s="193"/>
      <c r="K4" s="193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249"/>
    </row>
    <row r="5" spans="1:27" ht="20.149999999999999" customHeight="1" x14ac:dyDescent="0.45">
      <c r="A5" s="193"/>
      <c r="B5" s="482" t="s">
        <v>285</v>
      </c>
      <c r="C5" s="482" t="s">
        <v>266</v>
      </c>
      <c r="D5" s="487" t="s">
        <v>24</v>
      </c>
      <c r="E5" s="487" t="s">
        <v>264</v>
      </c>
      <c r="F5" s="472" t="s">
        <v>430</v>
      </c>
      <c r="G5" s="472" t="s">
        <v>355</v>
      </c>
      <c r="H5" s="474" t="s">
        <v>335</v>
      </c>
      <c r="I5" s="474" t="s">
        <v>356</v>
      </c>
      <c r="J5" s="476" t="s">
        <v>265</v>
      </c>
      <c r="K5" s="66"/>
      <c r="L5" s="390" t="s">
        <v>84</v>
      </c>
      <c r="M5" s="390" t="s">
        <v>84</v>
      </c>
      <c r="N5" s="391" t="s">
        <v>66</v>
      </c>
      <c r="O5" s="390" t="s">
        <v>67</v>
      </c>
      <c r="P5" s="390" t="s">
        <v>68</v>
      </c>
      <c r="Q5" s="390" t="s">
        <v>69</v>
      </c>
      <c r="R5" s="390" t="s">
        <v>70</v>
      </c>
      <c r="S5" s="390" t="s">
        <v>71</v>
      </c>
      <c r="T5" s="390" t="s">
        <v>72</v>
      </c>
      <c r="U5" s="390" t="s">
        <v>73</v>
      </c>
      <c r="V5" s="390" t="s">
        <v>74</v>
      </c>
      <c r="W5" s="390" t="s">
        <v>75</v>
      </c>
      <c r="X5" s="390" t="s">
        <v>76</v>
      </c>
      <c r="Y5" s="390" t="s">
        <v>77</v>
      </c>
      <c r="Z5" s="2"/>
      <c r="AA5" s="2"/>
    </row>
    <row r="6" spans="1:27" ht="20.149999999999999" customHeight="1" x14ac:dyDescent="0.45">
      <c r="A6" s="206"/>
      <c r="B6" s="482"/>
      <c r="C6" s="482"/>
      <c r="D6" s="487"/>
      <c r="E6" s="487"/>
      <c r="F6" s="473"/>
      <c r="G6" s="473"/>
      <c r="H6" s="475"/>
      <c r="I6" s="475"/>
      <c r="J6" s="477"/>
      <c r="K6" s="66"/>
      <c r="L6" s="392" t="s">
        <v>272</v>
      </c>
      <c r="M6" s="392" t="s">
        <v>272</v>
      </c>
      <c r="N6" s="392" t="s">
        <v>436</v>
      </c>
      <c r="O6" s="392" t="s">
        <v>437</v>
      </c>
      <c r="P6" s="392" t="s">
        <v>438</v>
      </c>
      <c r="Q6" s="392" t="s">
        <v>439</v>
      </c>
      <c r="R6" s="392" t="s">
        <v>392</v>
      </c>
      <c r="S6" s="392" t="s">
        <v>393</v>
      </c>
      <c r="T6" s="392" t="s">
        <v>394</v>
      </c>
      <c r="U6" s="392" t="s">
        <v>395</v>
      </c>
      <c r="V6" s="392" t="s">
        <v>396</v>
      </c>
      <c r="W6" s="392" t="s">
        <v>397</v>
      </c>
      <c r="X6" s="392" t="s">
        <v>398</v>
      </c>
      <c r="Y6" s="392" t="s">
        <v>399</v>
      </c>
      <c r="Z6" s="2"/>
      <c r="AA6" s="2"/>
    </row>
    <row r="7" spans="1:27" ht="20.149999999999999" customHeight="1" x14ac:dyDescent="0.45">
      <c r="A7" s="206"/>
      <c r="B7" s="483"/>
      <c r="C7" s="483"/>
      <c r="D7" s="488"/>
      <c r="E7" s="488"/>
      <c r="F7" s="369" t="s">
        <v>259</v>
      </c>
      <c r="G7" s="370" t="s">
        <v>259</v>
      </c>
      <c r="H7" s="371" t="s">
        <v>260</v>
      </c>
      <c r="I7" s="372" t="s">
        <v>260</v>
      </c>
      <c r="J7" s="373" t="s">
        <v>260</v>
      </c>
      <c r="K7" s="66"/>
      <c r="L7" s="393" t="s">
        <v>272</v>
      </c>
      <c r="M7" s="393" t="s">
        <v>272</v>
      </c>
      <c r="N7" s="393">
        <v>31</v>
      </c>
      <c r="O7" s="393">
        <v>29</v>
      </c>
      <c r="P7" s="393">
        <v>31</v>
      </c>
      <c r="Q7" s="393">
        <v>30</v>
      </c>
      <c r="R7" s="393">
        <v>30</v>
      </c>
      <c r="S7" s="393">
        <v>31</v>
      </c>
      <c r="T7" s="393">
        <v>31</v>
      </c>
      <c r="U7" s="393">
        <v>31</v>
      </c>
      <c r="V7" s="393">
        <v>30</v>
      </c>
      <c r="W7" s="393">
        <v>31</v>
      </c>
      <c r="X7" s="393">
        <v>30</v>
      </c>
      <c r="Y7" s="393">
        <v>31</v>
      </c>
      <c r="Z7" s="2"/>
      <c r="AA7" s="2"/>
    </row>
    <row r="8" spans="1:27" ht="20.149999999999999" customHeight="1" x14ac:dyDescent="0.45">
      <c r="A8" s="206"/>
      <c r="B8" s="195" t="s">
        <v>131</v>
      </c>
      <c r="C8" s="207" t="s">
        <v>81</v>
      </c>
      <c r="D8" s="101"/>
      <c r="E8" s="208">
        <v>2</v>
      </c>
      <c r="F8" s="108">
        <v>20</v>
      </c>
      <c r="G8" s="42">
        <f>E8*F8</f>
        <v>40</v>
      </c>
      <c r="H8" s="42">
        <f t="shared" ref="H8:H15" si="0">F8*$C$200</f>
        <v>361.4</v>
      </c>
      <c r="I8" s="42">
        <f>(E8*H8)</f>
        <v>722.8</v>
      </c>
      <c r="J8" s="42">
        <f>I8*1.16</f>
        <v>838.44799999999987</v>
      </c>
      <c r="K8" s="66"/>
      <c r="L8" s="209">
        <f>I8</f>
        <v>722.8</v>
      </c>
      <c r="M8" s="209">
        <f>I8</f>
        <v>722.8</v>
      </c>
      <c r="N8" s="209">
        <v>0</v>
      </c>
      <c r="O8" s="209">
        <f>N8</f>
        <v>0</v>
      </c>
      <c r="P8" s="209">
        <f>O8</f>
        <v>0</v>
      </c>
      <c r="Q8" s="209"/>
      <c r="R8" s="209"/>
      <c r="S8" s="209"/>
      <c r="T8" s="209"/>
      <c r="U8" s="209"/>
      <c r="V8" s="209"/>
      <c r="W8" s="209"/>
      <c r="X8" s="209"/>
      <c r="Y8" s="209"/>
    </row>
    <row r="9" spans="1:27" ht="20.149999999999999" customHeight="1" x14ac:dyDescent="0.45">
      <c r="A9" s="206"/>
      <c r="B9" s="195" t="s">
        <v>131</v>
      </c>
      <c r="C9" s="207" t="s">
        <v>247</v>
      </c>
      <c r="D9" s="101"/>
      <c r="E9" s="208">
        <v>2</v>
      </c>
      <c r="F9" s="108">
        <v>13.83508577753182</v>
      </c>
      <c r="G9" s="42">
        <f t="shared" ref="G9:G15" si="1">E9*F9</f>
        <v>27.670171555063639</v>
      </c>
      <c r="H9" s="42">
        <f t="shared" si="0"/>
        <v>249.99999999999997</v>
      </c>
      <c r="I9" s="42">
        <f t="shared" ref="I9:I15" si="2">(E9*H9)</f>
        <v>499.99999999999994</v>
      </c>
      <c r="J9" s="42">
        <f t="shared" ref="J9:J15" si="3">I9*1.16</f>
        <v>579.99999999999989</v>
      </c>
      <c r="K9" s="66"/>
      <c r="L9" s="209">
        <f t="shared" ref="L9:L15" si="4">I9</f>
        <v>499.99999999999994</v>
      </c>
      <c r="M9" s="209">
        <f t="shared" ref="M9:M15" si="5">I9</f>
        <v>499.99999999999994</v>
      </c>
      <c r="N9" s="209">
        <v>0</v>
      </c>
      <c r="O9" s="209">
        <f t="shared" ref="O9:P15" si="6">N9</f>
        <v>0</v>
      </c>
      <c r="P9" s="209">
        <f t="shared" si="6"/>
        <v>0</v>
      </c>
      <c r="Q9" s="209"/>
      <c r="R9" s="209"/>
      <c r="S9" s="209"/>
      <c r="T9" s="209"/>
      <c r="U9" s="209"/>
      <c r="V9" s="209"/>
      <c r="W9" s="209"/>
      <c r="X9" s="209"/>
      <c r="Y9" s="209"/>
    </row>
    <row r="10" spans="1:27" ht="20.149999999999999" customHeight="1" x14ac:dyDescent="0.45">
      <c r="A10" s="206"/>
      <c r="B10" s="195" t="s">
        <v>131</v>
      </c>
      <c r="C10" s="207" t="s">
        <v>248</v>
      </c>
      <c r="D10" s="101"/>
      <c r="E10" s="208">
        <v>2</v>
      </c>
      <c r="F10" s="108">
        <v>55.340343110127279</v>
      </c>
      <c r="G10" s="42">
        <f t="shared" si="1"/>
        <v>110.68068622025456</v>
      </c>
      <c r="H10" s="42">
        <f t="shared" si="0"/>
        <v>999.99999999999989</v>
      </c>
      <c r="I10" s="42">
        <f t="shared" si="2"/>
        <v>1999.9999999999998</v>
      </c>
      <c r="J10" s="42">
        <f t="shared" si="3"/>
        <v>2319.9999999999995</v>
      </c>
      <c r="K10" s="66"/>
      <c r="L10" s="209">
        <f t="shared" si="4"/>
        <v>1999.9999999999998</v>
      </c>
      <c r="M10" s="209">
        <f t="shared" si="5"/>
        <v>1999.9999999999998</v>
      </c>
      <c r="N10" s="209">
        <v>0</v>
      </c>
      <c r="O10" s="209">
        <v>0</v>
      </c>
      <c r="P10" s="209">
        <f t="shared" si="6"/>
        <v>0</v>
      </c>
      <c r="Q10" s="209"/>
      <c r="R10" s="209"/>
      <c r="S10" s="209"/>
      <c r="T10" s="209"/>
      <c r="U10" s="209"/>
      <c r="V10" s="209"/>
      <c r="W10" s="209"/>
      <c r="X10" s="209"/>
      <c r="Y10" s="209"/>
    </row>
    <row r="11" spans="1:27" ht="20.149999999999999" customHeight="1" x14ac:dyDescent="0.45">
      <c r="A11" s="206"/>
      <c r="B11" s="195" t="s">
        <v>131</v>
      </c>
      <c r="C11" s="207" t="s">
        <v>249</v>
      </c>
      <c r="D11" s="101"/>
      <c r="E11" s="208">
        <v>2</v>
      </c>
      <c r="F11" s="108">
        <v>14</v>
      </c>
      <c r="G11" s="42">
        <f t="shared" si="1"/>
        <v>28</v>
      </c>
      <c r="H11" s="42">
        <f t="shared" si="0"/>
        <v>252.98000000000002</v>
      </c>
      <c r="I11" s="42">
        <f t="shared" si="2"/>
        <v>505.96000000000004</v>
      </c>
      <c r="J11" s="42">
        <f t="shared" si="3"/>
        <v>586.91359999999997</v>
      </c>
      <c r="K11" s="66"/>
      <c r="L11" s="209">
        <f t="shared" si="4"/>
        <v>505.96000000000004</v>
      </c>
      <c r="M11" s="209">
        <f t="shared" si="5"/>
        <v>505.96000000000004</v>
      </c>
      <c r="N11" s="209">
        <v>0</v>
      </c>
      <c r="O11" s="209">
        <f t="shared" si="6"/>
        <v>0</v>
      </c>
      <c r="P11" s="209">
        <f t="shared" si="6"/>
        <v>0</v>
      </c>
      <c r="Q11" s="209"/>
      <c r="R11" s="209"/>
      <c r="S11" s="209"/>
      <c r="T11" s="209"/>
      <c r="U11" s="209"/>
      <c r="V11" s="209"/>
      <c r="W11" s="209"/>
      <c r="X11" s="209"/>
      <c r="Y11" s="209"/>
    </row>
    <row r="12" spans="1:27" ht="20.149999999999999" customHeight="1" x14ac:dyDescent="0.45">
      <c r="A12" s="206"/>
      <c r="B12" s="195" t="s">
        <v>131</v>
      </c>
      <c r="C12" s="207" t="s">
        <v>250</v>
      </c>
      <c r="D12" s="101"/>
      <c r="E12" s="208">
        <v>2</v>
      </c>
      <c r="F12" s="108">
        <v>2.7670171555063643</v>
      </c>
      <c r="G12" s="42">
        <f t="shared" si="1"/>
        <v>5.5340343110127286</v>
      </c>
      <c r="H12" s="42">
        <f t="shared" si="0"/>
        <v>50</v>
      </c>
      <c r="I12" s="42">
        <f t="shared" si="2"/>
        <v>100</v>
      </c>
      <c r="J12" s="42">
        <f t="shared" si="3"/>
        <v>115.99999999999999</v>
      </c>
      <c r="K12" s="66"/>
      <c r="L12" s="209">
        <f t="shared" si="4"/>
        <v>100</v>
      </c>
      <c r="M12" s="209">
        <f t="shared" si="5"/>
        <v>100</v>
      </c>
      <c r="N12" s="209">
        <v>0</v>
      </c>
      <c r="O12" s="209">
        <f t="shared" si="6"/>
        <v>0</v>
      </c>
      <c r="P12" s="209">
        <f t="shared" si="6"/>
        <v>0</v>
      </c>
      <c r="Q12" s="209"/>
      <c r="R12" s="209"/>
      <c r="S12" s="209"/>
      <c r="T12" s="209"/>
      <c r="U12" s="209"/>
      <c r="V12" s="209"/>
      <c r="W12" s="209"/>
      <c r="X12" s="209"/>
      <c r="Y12" s="209"/>
    </row>
    <row r="13" spans="1:27" ht="20.149999999999999" customHeight="1" x14ac:dyDescent="0.45">
      <c r="A13" s="206"/>
      <c r="B13" s="195" t="s">
        <v>131</v>
      </c>
      <c r="C13" s="207" t="s">
        <v>323</v>
      </c>
      <c r="D13" s="101"/>
      <c r="E13" s="208">
        <v>2</v>
      </c>
      <c r="F13" s="108">
        <v>13.83508577753182</v>
      </c>
      <c r="G13" s="42">
        <f t="shared" si="1"/>
        <v>27.670171555063639</v>
      </c>
      <c r="H13" s="42">
        <f t="shared" si="0"/>
        <v>249.99999999999997</v>
      </c>
      <c r="I13" s="42">
        <f t="shared" si="2"/>
        <v>499.99999999999994</v>
      </c>
      <c r="J13" s="42">
        <f t="shared" si="3"/>
        <v>579.99999999999989</v>
      </c>
      <c r="K13" s="66"/>
      <c r="L13" s="209">
        <f t="shared" si="4"/>
        <v>499.99999999999994</v>
      </c>
      <c r="M13" s="209">
        <f t="shared" si="5"/>
        <v>499.99999999999994</v>
      </c>
      <c r="N13" s="209">
        <v>0</v>
      </c>
      <c r="O13" s="209">
        <f t="shared" si="6"/>
        <v>0</v>
      </c>
      <c r="P13" s="209">
        <f t="shared" si="6"/>
        <v>0</v>
      </c>
      <c r="Q13" s="209"/>
      <c r="R13" s="209"/>
      <c r="S13" s="209"/>
      <c r="T13" s="209"/>
      <c r="U13" s="209"/>
      <c r="V13" s="209"/>
      <c r="W13" s="209"/>
      <c r="X13" s="209"/>
      <c r="Y13" s="209"/>
    </row>
    <row r="14" spans="1:27" ht="20.149999999999999" customHeight="1" x14ac:dyDescent="0.45">
      <c r="A14" s="206"/>
      <c r="B14" s="195" t="s">
        <v>131</v>
      </c>
      <c r="C14" s="207" t="s">
        <v>324</v>
      </c>
      <c r="D14" s="101"/>
      <c r="E14" s="208">
        <v>2</v>
      </c>
      <c r="F14" s="108">
        <v>5.5340343110127286</v>
      </c>
      <c r="G14" s="42">
        <f t="shared" si="1"/>
        <v>11.068068622025457</v>
      </c>
      <c r="H14" s="42">
        <f t="shared" si="0"/>
        <v>100</v>
      </c>
      <c r="I14" s="42">
        <f t="shared" si="2"/>
        <v>200</v>
      </c>
      <c r="J14" s="42">
        <f t="shared" si="3"/>
        <v>231.99999999999997</v>
      </c>
      <c r="K14" s="66"/>
      <c r="L14" s="209">
        <f t="shared" si="4"/>
        <v>200</v>
      </c>
      <c r="M14" s="209">
        <f t="shared" si="5"/>
        <v>200</v>
      </c>
      <c r="N14" s="209">
        <v>0</v>
      </c>
      <c r="O14" s="209">
        <f t="shared" si="6"/>
        <v>0</v>
      </c>
      <c r="P14" s="209">
        <f t="shared" si="6"/>
        <v>0</v>
      </c>
      <c r="Q14" s="209"/>
      <c r="R14" s="209"/>
      <c r="S14" s="209"/>
      <c r="T14" s="209"/>
      <c r="U14" s="209"/>
      <c r="V14" s="209"/>
      <c r="W14" s="209"/>
      <c r="X14" s="209"/>
      <c r="Y14" s="209"/>
    </row>
    <row r="15" spans="1:27" ht="20.149999999999999" customHeight="1" x14ac:dyDescent="0.45">
      <c r="A15" s="206"/>
      <c r="B15" s="195" t="s">
        <v>131</v>
      </c>
      <c r="C15" s="207" t="s">
        <v>332</v>
      </c>
      <c r="D15" s="101"/>
      <c r="E15" s="208">
        <v>2</v>
      </c>
      <c r="F15" s="108">
        <v>13.83508577753182</v>
      </c>
      <c r="G15" s="42">
        <f t="shared" si="1"/>
        <v>27.670171555063639</v>
      </c>
      <c r="H15" s="42">
        <f t="shared" si="0"/>
        <v>249.99999999999997</v>
      </c>
      <c r="I15" s="42">
        <f t="shared" si="2"/>
        <v>499.99999999999994</v>
      </c>
      <c r="J15" s="42">
        <f t="shared" si="3"/>
        <v>579.99999999999989</v>
      </c>
      <c r="K15" s="66"/>
      <c r="L15" s="209">
        <f t="shared" si="4"/>
        <v>499.99999999999994</v>
      </c>
      <c r="M15" s="209">
        <f t="shared" si="5"/>
        <v>499.99999999999994</v>
      </c>
      <c r="N15" s="209">
        <v>0</v>
      </c>
      <c r="O15" s="209">
        <f t="shared" si="6"/>
        <v>0</v>
      </c>
      <c r="P15" s="209">
        <f t="shared" si="6"/>
        <v>0</v>
      </c>
      <c r="Q15" s="209"/>
      <c r="R15" s="209"/>
      <c r="S15" s="209"/>
      <c r="T15" s="209"/>
      <c r="U15" s="209"/>
      <c r="V15" s="209"/>
      <c r="W15" s="209"/>
      <c r="X15" s="209"/>
      <c r="Y15" s="209"/>
    </row>
    <row r="16" spans="1:27" ht="20.149999999999999" customHeight="1" x14ac:dyDescent="0.45">
      <c r="A16" s="193"/>
      <c r="B16" s="210"/>
      <c r="C16" s="211"/>
      <c r="D16" s="11"/>
      <c r="E16" s="212"/>
      <c r="F16" s="116"/>
      <c r="G16" s="213"/>
      <c r="H16" s="159"/>
      <c r="I16" s="159"/>
      <c r="J16" s="213"/>
      <c r="K16" s="66"/>
      <c r="L16" s="214"/>
      <c r="M16" s="214"/>
      <c r="N16" s="214"/>
      <c r="O16" s="214"/>
      <c r="P16" s="214"/>
      <c r="Q16" s="214"/>
      <c r="R16" s="214"/>
      <c r="S16" s="214"/>
      <c r="T16" s="214"/>
      <c r="U16" s="214"/>
      <c r="V16" s="214"/>
      <c r="W16" s="214"/>
      <c r="X16" s="214"/>
      <c r="Y16" s="214"/>
    </row>
    <row r="17" spans="1:27" ht="20.149999999999999" customHeight="1" x14ac:dyDescent="0.45">
      <c r="A17" s="193"/>
      <c r="B17" s="140"/>
      <c r="C17" s="140"/>
      <c r="D17" s="11"/>
      <c r="E17" s="11"/>
      <c r="F17" s="11"/>
      <c r="G17" s="11"/>
      <c r="H17" s="11"/>
      <c r="I17" s="11"/>
      <c r="J17" s="102" t="s">
        <v>262</v>
      </c>
      <c r="K17" s="66"/>
      <c r="L17" s="215">
        <f>SUM(L8:L15)</f>
        <v>5028.7599999999993</v>
      </c>
      <c r="M17" s="215">
        <f t="shared" ref="M17:Y17" si="7">SUM(M8:M15)</f>
        <v>5028.7599999999993</v>
      </c>
      <c r="N17" s="215">
        <f t="shared" si="7"/>
        <v>0</v>
      </c>
      <c r="O17" s="215">
        <f t="shared" si="7"/>
        <v>0</v>
      </c>
      <c r="P17" s="215">
        <f t="shared" si="7"/>
        <v>0</v>
      </c>
      <c r="Q17" s="215">
        <f t="shared" si="7"/>
        <v>0</v>
      </c>
      <c r="R17" s="215">
        <f t="shared" si="7"/>
        <v>0</v>
      </c>
      <c r="S17" s="215">
        <f t="shared" si="7"/>
        <v>0</v>
      </c>
      <c r="T17" s="215">
        <f t="shared" si="7"/>
        <v>0</v>
      </c>
      <c r="U17" s="215">
        <f t="shared" si="7"/>
        <v>0</v>
      </c>
      <c r="V17" s="215">
        <f t="shared" si="7"/>
        <v>0</v>
      </c>
      <c r="W17" s="215">
        <f t="shared" si="7"/>
        <v>0</v>
      </c>
      <c r="X17" s="215">
        <f t="shared" si="7"/>
        <v>0</v>
      </c>
      <c r="Y17" s="215">
        <f t="shared" si="7"/>
        <v>0</v>
      </c>
    </row>
    <row r="18" spans="1:27" ht="20.149999999999999" customHeight="1" x14ac:dyDescent="0.45">
      <c r="A18" s="193"/>
      <c r="B18" s="140"/>
      <c r="C18" s="11"/>
      <c r="D18" s="11"/>
      <c r="E18" s="11"/>
      <c r="F18" s="11"/>
      <c r="G18" s="11"/>
      <c r="H18" s="11"/>
      <c r="I18" s="11"/>
      <c r="J18" s="103" t="s">
        <v>263</v>
      </c>
      <c r="K18" s="66"/>
      <c r="L18" s="216">
        <f t="shared" ref="L18:W18" si="8">L17/$C$200</f>
        <v>278.29330381848365</v>
      </c>
      <c r="M18" s="216">
        <f t="shared" si="8"/>
        <v>278.29330381848365</v>
      </c>
      <c r="N18" s="216">
        <f t="shared" si="8"/>
        <v>0</v>
      </c>
      <c r="O18" s="216">
        <f t="shared" si="8"/>
        <v>0</v>
      </c>
      <c r="P18" s="216">
        <f t="shared" si="8"/>
        <v>0</v>
      </c>
      <c r="Q18" s="216">
        <f t="shared" si="8"/>
        <v>0</v>
      </c>
      <c r="R18" s="216">
        <f t="shared" si="8"/>
        <v>0</v>
      </c>
      <c r="S18" s="216">
        <f t="shared" si="8"/>
        <v>0</v>
      </c>
      <c r="T18" s="216">
        <f t="shared" si="8"/>
        <v>0</v>
      </c>
      <c r="U18" s="216">
        <f t="shared" si="8"/>
        <v>0</v>
      </c>
      <c r="V18" s="216">
        <f t="shared" si="8"/>
        <v>0</v>
      </c>
      <c r="W18" s="216">
        <f t="shared" si="8"/>
        <v>0</v>
      </c>
      <c r="X18" s="216">
        <f>X17/$C$200</f>
        <v>0</v>
      </c>
      <c r="Y18" s="216">
        <f>Y17/$C$200</f>
        <v>0</v>
      </c>
    </row>
    <row r="19" spans="1:27" ht="20.149999999999999" customHeight="1" x14ac:dyDescent="0.45">
      <c r="A19" s="193"/>
      <c r="B19" s="140"/>
      <c r="C19" s="11"/>
      <c r="D19" s="11"/>
      <c r="E19" s="11"/>
      <c r="F19" s="11"/>
      <c r="G19" s="11"/>
      <c r="H19" s="11"/>
      <c r="I19" s="11"/>
      <c r="J19" s="102" t="s">
        <v>284</v>
      </c>
      <c r="K19" s="66"/>
      <c r="L19" s="51">
        <f>SUM(L17:Y17)</f>
        <v>10057.519999999999</v>
      </c>
      <c r="M19" s="217"/>
      <c r="N19" s="217"/>
      <c r="O19" s="217"/>
      <c r="P19" s="217"/>
      <c r="Q19" s="217"/>
      <c r="R19" s="217"/>
      <c r="S19" s="217"/>
      <c r="T19" s="217"/>
      <c r="U19" s="217"/>
      <c r="V19" s="217"/>
      <c r="W19" s="217"/>
      <c r="X19" s="217"/>
      <c r="Y19" s="217"/>
    </row>
    <row r="20" spans="1:27" ht="20.149999999999999" customHeight="1" x14ac:dyDescent="0.45">
      <c r="A20" s="193"/>
      <c r="B20" s="140"/>
      <c r="C20" s="11"/>
      <c r="D20" s="11"/>
      <c r="E20" s="140"/>
      <c r="F20" s="140"/>
      <c r="G20" s="140"/>
      <c r="H20" s="140"/>
      <c r="I20" s="140"/>
      <c r="J20" s="103" t="s">
        <v>261</v>
      </c>
      <c r="K20" s="66"/>
      <c r="L20" s="112">
        <f>L19/$C$200</f>
        <v>556.5866076369673</v>
      </c>
      <c r="M20" s="140"/>
      <c r="N20" s="140"/>
      <c r="O20" s="140"/>
      <c r="P20" s="140"/>
      <c r="Q20" s="140"/>
      <c r="R20" s="140"/>
      <c r="S20" s="140"/>
      <c r="T20" s="140"/>
      <c r="U20" s="140"/>
      <c r="V20" s="140"/>
      <c r="W20" s="140"/>
      <c r="X20" s="140"/>
      <c r="Y20" s="140"/>
    </row>
    <row r="21" spans="1:27" ht="20.149999999999999" customHeight="1" x14ac:dyDescent="0.35">
      <c r="A21" s="193"/>
      <c r="B21" s="140"/>
      <c r="C21" s="11"/>
      <c r="D21" s="11"/>
      <c r="E21" s="140"/>
      <c r="F21" s="140"/>
      <c r="G21" s="140"/>
      <c r="H21" s="140"/>
      <c r="I21" s="140"/>
      <c r="J21" s="140"/>
      <c r="K21" s="140"/>
      <c r="L21" s="140"/>
      <c r="M21" s="140"/>
      <c r="N21" s="140"/>
      <c r="O21" s="140"/>
      <c r="P21" s="140"/>
      <c r="Q21" s="140"/>
      <c r="R21" s="140"/>
      <c r="S21" s="140"/>
      <c r="T21" s="140"/>
      <c r="U21" s="140"/>
      <c r="V21" s="140"/>
      <c r="W21" s="140"/>
      <c r="X21" s="140"/>
      <c r="Y21" s="140"/>
    </row>
    <row r="22" spans="1:27" ht="20.149999999999999" customHeight="1" x14ac:dyDescent="0.45">
      <c r="A22" s="193"/>
      <c r="B22" s="140"/>
      <c r="C22" s="11"/>
      <c r="D22" s="11"/>
      <c r="E22" s="140"/>
      <c r="F22" s="486">
        <f>EGRESOS!R26</f>
        <v>10057.519999999999</v>
      </c>
      <c r="G22" s="485" t="s">
        <v>300</v>
      </c>
      <c r="H22" s="485"/>
      <c r="I22" s="279"/>
      <c r="J22" s="102" t="s">
        <v>262</v>
      </c>
      <c r="K22" s="66"/>
      <c r="L22" s="215">
        <f>L17</f>
        <v>5028.7599999999993</v>
      </c>
      <c r="M22" s="215">
        <f t="shared" ref="M22:Y22" si="9">M17</f>
        <v>5028.7599999999993</v>
      </c>
      <c r="N22" s="215">
        <f t="shared" si="9"/>
        <v>0</v>
      </c>
      <c r="O22" s="215">
        <f t="shared" si="9"/>
        <v>0</v>
      </c>
      <c r="P22" s="215">
        <f t="shared" si="9"/>
        <v>0</v>
      </c>
      <c r="Q22" s="215">
        <f t="shared" si="9"/>
        <v>0</v>
      </c>
      <c r="R22" s="215">
        <f t="shared" si="9"/>
        <v>0</v>
      </c>
      <c r="S22" s="215">
        <f t="shared" si="9"/>
        <v>0</v>
      </c>
      <c r="T22" s="215">
        <f t="shared" si="9"/>
        <v>0</v>
      </c>
      <c r="U22" s="215">
        <f t="shared" si="9"/>
        <v>0</v>
      </c>
      <c r="V22" s="215">
        <f t="shared" si="9"/>
        <v>0</v>
      </c>
      <c r="W22" s="215">
        <f t="shared" si="9"/>
        <v>0</v>
      </c>
      <c r="X22" s="215">
        <f t="shared" si="9"/>
        <v>0</v>
      </c>
      <c r="Y22" s="215">
        <f t="shared" si="9"/>
        <v>0</v>
      </c>
    </row>
    <row r="23" spans="1:27" ht="20.149999999999999" customHeight="1" x14ac:dyDescent="0.45">
      <c r="A23" s="193"/>
      <c r="B23" s="140"/>
      <c r="C23" s="11"/>
      <c r="D23" s="11"/>
      <c r="E23" s="140"/>
      <c r="F23" s="485"/>
      <c r="G23" s="485"/>
      <c r="H23" s="485"/>
      <c r="I23" s="279"/>
      <c r="J23" s="103" t="s">
        <v>263</v>
      </c>
      <c r="K23" s="66"/>
      <c r="L23" s="216">
        <f t="shared" ref="L23:W23" si="10">L22/$C$200</f>
        <v>278.29330381848365</v>
      </c>
      <c r="M23" s="216">
        <f t="shared" si="10"/>
        <v>278.29330381848365</v>
      </c>
      <c r="N23" s="216">
        <f t="shared" si="10"/>
        <v>0</v>
      </c>
      <c r="O23" s="216">
        <f t="shared" si="10"/>
        <v>0</v>
      </c>
      <c r="P23" s="216">
        <f t="shared" si="10"/>
        <v>0</v>
      </c>
      <c r="Q23" s="216">
        <f t="shared" si="10"/>
        <v>0</v>
      </c>
      <c r="R23" s="216">
        <f t="shared" si="10"/>
        <v>0</v>
      </c>
      <c r="S23" s="216">
        <f t="shared" si="10"/>
        <v>0</v>
      </c>
      <c r="T23" s="216">
        <f t="shared" si="10"/>
        <v>0</v>
      </c>
      <c r="U23" s="216">
        <f t="shared" si="10"/>
        <v>0</v>
      </c>
      <c r="V23" s="216">
        <f t="shared" si="10"/>
        <v>0</v>
      </c>
      <c r="W23" s="216">
        <f t="shared" si="10"/>
        <v>0</v>
      </c>
      <c r="X23" s="216">
        <f>X22/$C$200</f>
        <v>0</v>
      </c>
      <c r="Y23" s="216">
        <f>Y22/$C$200</f>
        <v>0</v>
      </c>
    </row>
    <row r="24" spans="1:27" ht="20.149999999999999" customHeight="1" x14ac:dyDescent="0.45">
      <c r="A24" s="193"/>
      <c r="B24" s="140"/>
      <c r="C24" s="11"/>
      <c r="D24" s="11"/>
      <c r="E24" s="140"/>
      <c r="F24" s="485"/>
      <c r="G24" s="485"/>
      <c r="H24" s="485"/>
      <c r="I24" s="279"/>
      <c r="J24" s="102" t="s">
        <v>284</v>
      </c>
      <c r="K24" s="66"/>
      <c r="L24" s="51">
        <f>SUM(L22:Y22)</f>
        <v>10057.519999999999</v>
      </c>
      <c r="M24" s="158"/>
      <c r="N24" s="158"/>
      <c r="O24" s="158"/>
      <c r="P24" s="158"/>
      <c r="Q24" s="158"/>
      <c r="R24" s="158"/>
      <c r="S24" s="158"/>
      <c r="T24" s="158"/>
      <c r="U24" s="158"/>
      <c r="V24" s="158"/>
      <c r="W24" s="158"/>
    </row>
    <row r="25" spans="1:27" ht="20.149999999999999" customHeight="1" x14ac:dyDescent="0.45">
      <c r="A25" s="193"/>
      <c r="B25" s="140"/>
      <c r="C25" s="11"/>
      <c r="D25" s="140"/>
      <c r="E25" s="140"/>
      <c r="F25" s="485"/>
      <c r="G25" s="485"/>
      <c r="H25" s="485"/>
      <c r="I25" s="279"/>
      <c r="J25" s="103" t="s">
        <v>261</v>
      </c>
      <c r="K25" s="66"/>
      <c r="L25" s="112">
        <f>L24/$C$200</f>
        <v>556.5866076369673</v>
      </c>
      <c r="M25" s="158"/>
      <c r="N25" s="158"/>
      <c r="O25" s="158"/>
      <c r="P25" s="158"/>
      <c r="Q25" s="158"/>
      <c r="R25" s="158"/>
      <c r="S25" s="158"/>
      <c r="T25" s="158"/>
      <c r="U25" s="158"/>
      <c r="V25" s="158"/>
      <c r="W25" s="158"/>
    </row>
    <row r="26" spans="1:27" ht="20.149999999999999" customHeight="1" x14ac:dyDescent="0.35">
      <c r="A26" s="193"/>
      <c r="B26" s="140"/>
      <c r="C26" s="11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</row>
    <row r="27" spans="1:27" ht="20.149999999999999" customHeight="1" x14ac:dyDescent="0.45">
      <c r="A27" s="193"/>
      <c r="B27" s="140"/>
      <c r="C27" s="11"/>
      <c r="D27" s="140"/>
      <c r="E27" s="140"/>
      <c r="F27" s="140"/>
      <c r="G27" s="140"/>
      <c r="H27" s="140"/>
      <c r="I27" s="140"/>
      <c r="J27" s="140"/>
      <c r="K27" s="66"/>
      <c r="L27" s="18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</row>
    <row r="28" spans="1:27" ht="20.149999999999999" customHeight="1" x14ac:dyDescent="0.45">
      <c r="A28" s="193"/>
      <c r="B28" s="484" t="s">
        <v>97</v>
      </c>
      <c r="C28" s="484"/>
      <c r="D28" s="484"/>
      <c r="E28" s="484"/>
      <c r="F28" s="484"/>
      <c r="G28" s="484"/>
      <c r="H28" s="484"/>
      <c r="I28" s="484"/>
      <c r="J28" s="484"/>
      <c r="K28" s="66"/>
      <c r="L28" s="283"/>
      <c r="M28" s="283"/>
      <c r="N28" s="283"/>
      <c r="O28" s="283"/>
      <c r="P28" s="283"/>
      <c r="Q28" s="283"/>
      <c r="R28" s="283"/>
      <c r="S28" s="283"/>
      <c r="T28" s="283"/>
      <c r="U28" s="283"/>
      <c r="V28" s="283"/>
      <c r="W28" s="283"/>
      <c r="X28" s="283"/>
      <c r="Y28" s="283"/>
      <c r="Z28" s="2"/>
      <c r="AA28" s="2"/>
    </row>
    <row r="29" spans="1:27" ht="20.149999999999999" customHeight="1" x14ac:dyDescent="0.45">
      <c r="A29" s="193"/>
      <c r="B29" s="458" t="s">
        <v>285</v>
      </c>
      <c r="C29" s="458" t="s">
        <v>266</v>
      </c>
      <c r="D29" s="458" t="s">
        <v>28</v>
      </c>
      <c r="E29" s="458" t="s">
        <v>264</v>
      </c>
      <c r="F29" s="472" t="s">
        <v>430</v>
      </c>
      <c r="G29" s="472" t="s">
        <v>355</v>
      </c>
      <c r="H29" s="474" t="s">
        <v>335</v>
      </c>
      <c r="I29" s="474" t="s">
        <v>356</v>
      </c>
      <c r="J29" s="476" t="s">
        <v>265</v>
      </c>
      <c r="K29" s="66"/>
      <c r="L29" s="390" t="s">
        <v>84</v>
      </c>
      <c r="M29" s="390" t="s">
        <v>84</v>
      </c>
      <c r="N29" s="391" t="s">
        <v>66</v>
      </c>
      <c r="O29" s="390" t="s">
        <v>67</v>
      </c>
      <c r="P29" s="390" t="s">
        <v>68</v>
      </c>
      <c r="Q29" s="390" t="s">
        <v>69</v>
      </c>
      <c r="R29" s="390" t="s">
        <v>70</v>
      </c>
      <c r="S29" s="390" t="s">
        <v>71</v>
      </c>
      <c r="T29" s="390" t="s">
        <v>72</v>
      </c>
      <c r="U29" s="390" t="s">
        <v>73</v>
      </c>
      <c r="V29" s="390" t="s">
        <v>74</v>
      </c>
      <c r="W29" s="390" t="s">
        <v>75</v>
      </c>
      <c r="X29" s="390" t="s">
        <v>76</v>
      </c>
      <c r="Y29" s="390" t="s">
        <v>77</v>
      </c>
      <c r="Z29" s="2"/>
      <c r="AA29" s="2"/>
    </row>
    <row r="30" spans="1:27" ht="20.149999999999999" customHeight="1" x14ac:dyDescent="0.45">
      <c r="A30" s="193"/>
      <c r="B30" s="458"/>
      <c r="C30" s="458"/>
      <c r="D30" s="458"/>
      <c r="E30" s="458"/>
      <c r="F30" s="473"/>
      <c r="G30" s="473"/>
      <c r="H30" s="475"/>
      <c r="I30" s="475"/>
      <c r="J30" s="477"/>
      <c r="K30" s="66"/>
      <c r="L30" s="392" t="s">
        <v>272</v>
      </c>
      <c r="M30" s="392" t="s">
        <v>272</v>
      </c>
      <c r="N30" s="392" t="s">
        <v>436</v>
      </c>
      <c r="O30" s="392" t="s">
        <v>437</v>
      </c>
      <c r="P30" s="392" t="s">
        <v>438</v>
      </c>
      <c r="Q30" s="392" t="s">
        <v>439</v>
      </c>
      <c r="R30" s="392" t="s">
        <v>392</v>
      </c>
      <c r="S30" s="392" t="s">
        <v>393</v>
      </c>
      <c r="T30" s="392" t="s">
        <v>394</v>
      </c>
      <c r="U30" s="392" t="s">
        <v>395</v>
      </c>
      <c r="V30" s="392" t="s">
        <v>396</v>
      </c>
      <c r="W30" s="392" t="s">
        <v>397</v>
      </c>
      <c r="X30" s="392" t="s">
        <v>398</v>
      </c>
      <c r="Y30" s="392" t="s">
        <v>399</v>
      </c>
      <c r="Z30" s="2"/>
      <c r="AA30" s="2"/>
    </row>
    <row r="31" spans="1:27" ht="20.149999999999999" customHeight="1" x14ac:dyDescent="0.45">
      <c r="A31" s="193"/>
      <c r="B31" s="458"/>
      <c r="C31" s="458"/>
      <c r="D31" s="458"/>
      <c r="E31" s="458"/>
      <c r="F31" s="369" t="s">
        <v>259</v>
      </c>
      <c r="G31" s="370" t="s">
        <v>259</v>
      </c>
      <c r="H31" s="371" t="s">
        <v>260</v>
      </c>
      <c r="I31" s="372" t="s">
        <v>260</v>
      </c>
      <c r="J31" s="373" t="s">
        <v>260</v>
      </c>
      <c r="K31" s="66"/>
      <c r="L31" s="393" t="s">
        <v>272</v>
      </c>
      <c r="M31" s="393" t="s">
        <v>272</v>
      </c>
      <c r="N31" s="393">
        <v>31</v>
      </c>
      <c r="O31" s="393">
        <v>29</v>
      </c>
      <c r="P31" s="393">
        <v>31</v>
      </c>
      <c r="Q31" s="393">
        <v>30</v>
      </c>
      <c r="R31" s="393">
        <v>30</v>
      </c>
      <c r="S31" s="393">
        <v>31</v>
      </c>
      <c r="T31" s="393">
        <v>31</v>
      </c>
      <c r="U31" s="393">
        <v>31</v>
      </c>
      <c r="V31" s="393">
        <v>30</v>
      </c>
      <c r="W31" s="393">
        <v>31</v>
      </c>
      <c r="X31" s="393">
        <v>30</v>
      </c>
      <c r="Y31" s="393">
        <v>31</v>
      </c>
      <c r="Z31" s="2"/>
      <c r="AA31" s="2"/>
    </row>
    <row r="32" spans="1:27" ht="20.149999999999999" customHeight="1" x14ac:dyDescent="0.45">
      <c r="A32" s="193"/>
      <c r="B32" s="107" t="s">
        <v>97</v>
      </c>
      <c r="C32" s="207"/>
      <c r="D32" s="107"/>
      <c r="E32" s="133">
        <v>0</v>
      </c>
      <c r="F32" s="108">
        <v>11.068068622025457</v>
      </c>
      <c r="G32" s="42">
        <f t="shared" ref="G32:G37" si="11">E32*F32</f>
        <v>0</v>
      </c>
      <c r="H32" s="42">
        <f t="shared" ref="H32:H37" si="12">F32*$C$200</f>
        <v>200</v>
      </c>
      <c r="I32" s="42">
        <f t="shared" ref="I32:I37" si="13">(E32*H32)</f>
        <v>0</v>
      </c>
      <c r="J32" s="42">
        <f t="shared" ref="J32:J37" si="14">I32*1.16</f>
        <v>0</v>
      </c>
      <c r="K32" s="66"/>
      <c r="L32" s="209">
        <v>0</v>
      </c>
      <c r="M32" s="209">
        <f t="shared" ref="M32:Y32" si="15">L32</f>
        <v>0</v>
      </c>
      <c r="N32" s="209">
        <f t="shared" si="15"/>
        <v>0</v>
      </c>
      <c r="O32" s="209">
        <f t="shared" si="15"/>
        <v>0</v>
      </c>
      <c r="P32" s="209">
        <f t="shared" si="15"/>
        <v>0</v>
      </c>
      <c r="Q32" s="209">
        <f t="shared" si="15"/>
        <v>0</v>
      </c>
      <c r="R32" s="209">
        <f t="shared" si="15"/>
        <v>0</v>
      </c>
      <c r="S32" s="209">
        <f t="shared" si="15"/>
        <v>0</v>
      </c>
      <c r="T32" s="209">
        <f t="shared" si="15"/>
        <v>0</v>
      </c>
      <c r="U32" s="209">
        <f t="shared" si="15"/>
        <v>0</v>
      </c>
      <c r="V32" s="209">
        <f t="shared" si="15"/>
        <v>0</v>
      </c>
      <c r="W32" s="209">
        <f t="shared" si="15"/>
        <v>0</v>
      </c>
      <c r="X32" s="209">
        <f t="shared" si="15"/>
        <v>0</v>
      </c>
      <c r="Y32" s="209">
        <f t="shared" si="15"/>
        <v>0</v>
      </c>
    </row>
    <row r="33" spans="1:37" ht="20.149999999999999" customHeight="1" x14ac:dyDescent="0.45">
      <c r="A33" s="193"/>
      <c r="B33" s="107" t="s">
        <v>97</v>
      </c>
      <c r="C33" s="207"/>
      <c r="D33" s="107"/>
      <c r="E33" s="133">
        <v>0</v>
      </c>
      <c r="F33" s="108">
        <v>83.010514665190925</v>
      </c>
      <c r="G33" s="42">
        <f t="shared" si="11"/>
        <v>0</v>
      </c>
      <c r="H33" s="42">
        <f t="shared" si="12"/>
        <v>1500</v>
      </c>
      <c r="I33" s="42">
        <f t="shared" si="13"/>
        <v>0</v>
      </c>
      <c r="J33" s="42">
        <f t="shared" si="14"/>
        <v>0</v>
      </c>
      <c r="K33" s="66"/>
      <c r="L33" s="209">
        <v>0</v>
      </c>
      <c r="M33" s="209">
        <f t="shared" ref="M33:Y33" si="16">L33</f>
        <v>0</v>
      </c>
      <c r="N33" s="209">
        <f t="shared" si="16"/>
        <v>0</v>
      </c>
      <c r="O33" s="209">
        <f t="shared" si="16"/>
        <v>0</v>
      </c>
      <c r="P33" s="209">
        <f t="shared" si="16"/>
        <v>0</v>
      </c>
      <c r="Q33" s="209">
        <f t="shared" si="16"/>
        <v>0</v>
      </c>
      <c r="R33" s="209">
        <f t="shared" si="16"/>
        <v>0</v>
      </c>
      <c r="S33" s="209">
        <f t="shared" si="16"/>
        <v>0</v>
      </c>
      <c r="T33" s="209">
        <f t="shared" si="16"/>
        <v>0</v>
      </c>
      <c r="U33" s="209">
        <f t="shared" si="16"/>
        <v>0</v>
      </c>
      <c r="V33" s="209">
        <f t="shared" si="16"/>
        <v>0</v>
      </c>
      <c r="W33" s="209">
        <f t="shared" si="16"/>
        <v>0</v>
      </c>
      <c r="X33" s="209">
        <f t="shared" si="16"/>
        <v>0</v>
      </c>
      <c r="Y33" s="209">
        <f t="shared" si="16"/>
        <v>0</v>
      </c>
    </row>
    <row r="34" spans="1:37" ht="20.149999999999999" customHeight="1" x14ac:dyDescent="0.45">
      <c r="A34" s="193"/>
      <c r="B34" s="107" t="s">
        <v>97</v>
      </c>
      <c r="C34" s="207"/>
      <c r="D34" s="107"/>
      <c r="E34" s="133">
        <v>0</v>
      </c>
      <c r="F34" s="108">
        <v>5.5340343110127286</v>
      </c>
      <c r="G34" s="42">
        <f t="shared" si="11"/>
        <v>0</v>
      </c>
      <c r="H34" s="42">
        <f t="shared" si="12"/>
        <v>100</v>
      </c>
      <c r="I34" s="42">
        <f t="shared" si="13"/>
        <v>0</v>
      </c>
      <c r="J34" s="42">
        <f t="shared" si="14"/>
        <v>0</v>
      </c>
      <c r="K34" s="66"/>
      <c r="L34" s="209">
        <v>0</v>
      </c>
      <c r="M34" s="209">
        <f t="shared" ref="M34:Y34" si="17">L34</f>
        <v>0</v>
      </c>
      <c r="N34" s="209">
        <f t="shared" si="17"/>
        <v>0</v>
      </c>
      <c r="O34" s="209">
        <f t="shared" si="17"/>
        <v>0</v>
      </c>
      <c r="P34" s="209">
        <f t="shared" si="17"/>
        <v>0</v>
      </c>
      <c r="Q34" s="209">
        <f t="shared" si="17"/>
        <v>0</v>
      </c>
      <c r="R34" s="209">
        <f t="shared" si="17"/>
        <v>0</v>
      </c>
      <c r="S34" s="209">
        <f t="shared" si="17"/>
        <v>0</v>
      </c>
      <c r="T34" s="209">
        <f t="shared" si="17"/>
        <v>0</v>
      </c>
      <c r="U34" s="209">
        <f t="shared" si="17"/>
        <v>0</v>
      </c>
      <c r="V34" s="209">
        <f t="shared" si="17"/>
        <v>0</v>
      </c>
      <c r="W34" s="209">
        <f t="shared" si="17"/>
        <v>0</v>
      </c>
      <c r="X34" s="209">
        <f t="shared" si="17"/>
        <v>0</v>
      </c>
      <c r="Y34" s="209">
        <f t="shared" si="17"/>
        <v>0</v>
      </c>
    </row>
    <row r="35" spans="1:37" ht="20.149999999999999" customHeight="1" x14ac:dyDescent="0.45">
      <c r="A35" s="193"/>
      <c r="B35" s="107" t="s">
        <v>97</v>
      </c>
      <c r="C35" s="207"/>
      <c r="D35" s="107"/>
      <c r="E35" s="133">
        <v>0</v>
      </c>
      <c r="F35" s="108">
        <v>55.340343110127279</v>
      </c>
      <c r="G35" s="42">
        <f t="shared" si="11"/>
        <v>0</v>
      </c>
      <c r="H35" s="42">
        <f t="shared" si="12"/>
        <v>999.99999999999989</v>
      </c>
      <c r="I35" s="42">
        <f t="shared" si="13"/>
        <v>0</v>
      </c>
      <c r="J35" s="42">
        <f t="shared" si="14"/>
        <v>0</v>
      </c>
      <c r="K35" s="66"/>
      <c r="L35" s="209">
        <v>0</v>
      </c>
      <c r="M35" s="209">
        <f t="shared" ref="M35:Y35" si="18">L35</f>
        <v>0</v>
      </c>
      <c r="N35" s="209">
        <f t="shared" si="18"/>
        <v>0</v>
      </c>
      <c r="O35" s="209">
        <f t="shared" si="18"/>
        <v>0</v>
      </c>
      <c r="P35" s="209">
        <f t="shared" si="18"/>
        <v>0</v>
      </c>
      <c r="Q35" s="209">
        <f t="shared" si="18"/>
        <v>0</v>
      </c>
      <c r="R35" s="209">
        <f t="shared" si="18"/>
        <v>0</v>
      </c>
      <c r="S35" s="209">
        <f t="shared" si="18"/>
        <v>0</v>
      </c>
      <c r="T35" s="209">
        <f t="shared" si="18"/>
        <v>0</v>
      </c>
      <c r="U35" s="209">
        <f t="shared" si="18"/>
        <v>0</v>
      </c>
      <c r="V35" s="209">
        <f t="shared" si="18"/>
        <v>0</v>
      </c>
      <c r="W35" s="209">
        <f t="shared" si="18"/>
        <v>0</v>
      </c>
      <c r="X35" s="209">
        <f t="shared" si="18"/>
        <v>0</v>
      </c>
      <c r="Y35" s="209">
        <f t="shared" si="18"/>
        <v>0</v>
      </c>
    </row>
    <row r="36" spans="1:37" ht="20.149999999999999" customHeight="1" x14ac:dyDescent="0.45">
      <c r="A36" s="193"/>
      <c r="B36" s="107" t="s">
        <v>97</v>
      </c>
      <c r="C36" s="207"/>
      <c r="D36" s="107"/>
      <c r="E36" s="133">
        <v>0</v>
      </c>
      <c r="F36" s="108">
        <v>2.7670171555063643</v>
      </c>
      <c r="G36" s="42">
        <f t="shared" si="11"/>
        <v>0</v>
      </c>
      <c r="H36" s="42">
        <f t="shared" si="12"/>
        <v>50</v>
      </c>
      <c r="I36" s="42">
        <f t="shared" si="13"/>
        <v>0</v>
      </c>
      <c r="J36" s="42">
        <f t="shared" si="14"/>
        <v>0</v>
      </c>
      <c r="K36" s="66"/>
      <c r="L36" s="209">
        <v>0</v>
      </c>
      <c r="M36" s="209">
        <f t="shared" ref="M36:Y36" si="19">L36</f>
        <v>0</v>
      </c>
      <c r="N36" s="209">
        <f t="shared" si="19"/>
        <v>0</v>
      </c>
      <c r="O36" s="209">
        <f t="shared" si="19"/>
        <v>0</v>
      </c>
      <c r="P36" s="209">
        <f t="shared" si="19"/>
        <v>0</v>
      </c>
      <c r="Q36" s="209">
        <f t="shared" si="19"/>
        <v>0</v>
      </c>
      <c r="R36" s="209">
        <f t="shared" si="19"/>
        <v>0</v>
      </c>
      <c r="S36" s="209">
        <f t="shared" si="19"/>
        <v>0</v>
      </c>
      <c r="T36" s="209">
        <f t="shared" si="19"/>
        <v>0</v>
      </c>
      <c r="U36" s="209">
        <f t="shared" si="19"/>
        <v>0</v>
      </c>
      <c r="V36" s="209">
        <f t="shared" si="19"/>
        <v>0</v>
      </c>
      <c r="W36" s="209">
        <f t="shared" si="19"/>
        <v>0</v>
      </c>
      <c r="X36" s="209">
        <f t="shared" si="19"/>
        <v>0</v>
      </c>
      <c r="Y36" s="209">
        <f t="shared" si="19"/>
        <v>0</v>
      </c>
    </row>
    <row r="37" spans="1:37" ht="20.149999999999999" customHeight="1" x14ac:dyDescent="0.45">
      <c r="A37" s="193"/>
      <c r="B37" s="107" t="s">
        <v>97</v>
      </c>
      <c r="C37" s="207"/>
      <c r="D37" s="107"/>
      <c r="E37" s="133">
        <v>0</v>
      </c>
      <c r="F37" s="108">
        <v>55.340343110127279</v>
      </c>
      <c r="G37" s="42">
        <f t="shared" si="11"/>
        <v>0</v>
      </c>
      <c r="H37" s="42">
        <f t="shared" si="12"/>
        <v>999.99999999999989</v>
      </c>
      <c r="I37" s="42">
        <f t="shared" si="13"/>
        <v>0</v>
      </c>
      <c r="J37" s="42">
        <f t="shared" si="14"/>
        <v>0</v>
      </c>
      <c r="K37" s="66"/>
      <c r="L37" s="209">
        <v>0</v>
      </c>
      <c r="M37" s="209">
        <f t="shared" ref="M37:Y37" si="20">L37</f>
        <v>0</v>
      </c>
      <c r="N37" s="209">
        <f t="shared" si="20"/>
        <v>0</v>
      </c>
      <c r="O37" s="209">
        <f t="shared" si="20"/>
        <v>0</v>
      </c>
      <c r="P37" s="209">
        <f t="shared" si="20"/>
        <v>0</v>
      </c>
      <c r="Q37" s="209">
        <f t="shared" si="20"/>
        <v>0</v>
      </c>
      <c r="R37" s="209">
        <f t="shared" si="20"/>
        <v>0</v>
      </c>
      <c r="S37" s="209">
        <f t="shared" si="20"/>
        <v>0</v>
      </c>
      <c r="T37" s="209">
        <f t="shared" si="20"/>
        <v>0</v>
      </c>
      <c r="U37" s="209">
        <f t="shared" si="20"/>
        <v>0</v>
      </c>
      <c r="V37" s="209">
        <f t="shared" si="20"/>
        <v>0</v>
      </c>
      <c r="W37" s="209">
        <f t="shared" si="20"/>
        <v>0</v>
      </c>
      <c r="X37" s="209">
        <f t="shared" si="20"/>
        <v>0</v>
      </c>
      <c r="Y37" s="209">
        <f t="shared" si="20"/>
        <v>0</v>
      </c>
    </row>
    <row r="38" spans="1:37" ht="20.149999999999999" customHeight="1" x14ac:dyDescent="0.45">
      <c r="A38" s="193"/>
      <c r="B38" s="117"/>
      <c r="C38" s="218"/>
      <c r="D38" s="117"/>
      <c r="E38" s="120"/>
      <c r="F38" s="158"/>
      <c r="G38" s="11"/>
      <c r="H38" s="11"/>
      <c r="I38" s="11"/>
      <c r="J38" s="219"/>
      <c r="K38" s="66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</row>
    <row r="39" spans="1:37" ht="20.149999999999999" customHeight="1" x14ac:dyDescent="0.45">
      <c r="A39" s="193"/>
      <c r="B39" s="11"/>
      <c r="C39" s="11"/>
      <c r="D39" s="117"/>
      <c r="E39" s="11"/>
      <c r="F39" s="11"/>
      <c r="G39" s="11"/>
      <c r="H39" s="11"/>
      <c r="I39" s="11"/>
      <c r="J39" s="102" t="s">
        <v>262</v>
      </c>
      <c r="K39" s="66"/>
      <c r="L39" s="215">
        <f t="shared" ref="L39:W39" si="21">SUM(L32:L37)</f>
        <v>0</v>
      </c>
      <c r="M39" s="215">
        <f t="shared" si="21"/>
        <v>0</v>
      </c>
      <c r="N39" s="215">
        <f t="shared" si="21"/>
        <v>0</v>
      </c>
      <c r="O39" s="215">
        <f t="shared" si="21"/>
        <v>0</v>
      </c>
      <c r="P39" s="215">
        <f t="shared" si="21"/>
        <v>0</v>
      </c>
      <c r="Q39" s="215">
        <f t="shared" si="21"/>
        <v>0</v>
      </c>
      <c r="R39" s="215">
        <f t="shared" si="21"/>
        <v>0</v>
      </c>
      <c r="S39" s="215">
        <f t="shared" si="21"/>
        <v>0</v>
      </c>
      <c r="T39" s="215">
        <f t="shared" si="21"/>
        <v>0</v>
      </c>
      <c r="U39" s="215">
        <f t="shared" si="21"/>
        <v>0</v>
      </c>
      <c r="V39" s="215">
        <f t="shared" si="21"/>
        <v>0</v>
      </c>
      <c r="W39" s="215">
        <f t="shared" si="21"/>
        <v>0</v>
      </c>
      <c r="X39" s="215">
        <f>SUM(X32:X37)</f>
        <v>0</v>
      </c>
      <c r="Y39" s="215">
        <f>SUM(Y32:Y37)</f>
        <v>0</v>
      </c>
    </row>
    <row r="40" spans="1:37" ht="20.149999999999999" customHeight="1" x14ac:dyDescent="0.45">
      <c r="A40" s="193"/>
      <c r="B40" s="11"/>
      <c r="C40" s="11"/>
      <c r="D40" s="117"/>
      <c r="E40" s="11"/>
      <c r="F40" s="11"/>
      <c r="G40" s="11"/>
      <c r="H40" s="11"/>
      <c r="I40" s="11"/>
      <c r="J40" s="103" t="s">
        <v>263</v>
      </c>
      <c r="K40" s="66"/>
      <c r="L40" s="216">
        <f t="shared" ref="L40:W40" si="22">L39/$C$200</f>
        <v>0</v>
      </c>
      <c r="M40" s="216">
        <f t="shared" si="22"/>
        <v>0</v>
      </c>
      <c r="N40" s="216">
        <f t="shared" si="22"/>
        <v>0</v>
      </c>
      <c r="O40" s="216">
        <f t="shared" si="22"/>
        <v>0</v>
      </c>
      <c r="P40" s="216">
        <f t="shared" si="22"/>
        <v>0</v>
      </c>
      <c r="Q40" s="216">
        <f t="shared" si="22"/>
        <v>0</v>
      </c>
      <c r="R40" s="216">
        <f t="shared" si="22"/>
        <v>0</v>
      </c>
      <c r="S40" s="216">
        <f t="shared" si="22"/>
        <v>0</v>
      </c>
      <c r="T40" s="216">
        <f t="shared" si="22"/>
        <v>0</v>
      </c>
      <c r="U40" s="216">
        <f t="shared" si="22"/>
        <v>0</v>
      </c>
      <c r="V40" s="216">
        <f t="shared" si="22"/>
        <v>0</v>
      </c>
      <c r="W40" s="216">
        <f t="shared" si="22"/>
        <v>0</v>
      </c>
      <c r="X40" s="216">
        <f>X39/$C$200</f>
        <v>0</v>
      </c>
      <c r="Y40" s="216">
        <f>Y39/$C$200</f>
        <v>0</v>
      </c>
    </row>
    <row r="41" spans="1:37" ht="20.149999999999999" customHeight="1" x14ac:dyDescent="0.45">
      <c r="A41" s="193"/>
      <c r="B41" s="140"/>
      <c r="C41" s="140"/>
      <c r="D41" s="117"/>
      <c r="E41" s="140"/>
      <c r="F41" s="140"/>
      <c r="G41" s="140"/>
      <c r="H41" s="140"/>
      <c r="I41" s="140"/>
      <c r="J41" s="102" t="s">
        <v>284</v>
      </c>
      <c r="K41" s="66"/>
      <c r="L41" s="51">
        <f>SUM(L39:W39)</f>
        <v>0</v>
      </c>
      <c r="M41" s="158"/>
      <c r="N41" s="158"/>
      <c r="O41" s="158"/>
      <c r="P41" s="158"/>
      <c r="Q41" s="158"/>
      <c r="R41" s="158"/>
      <c r="S41" s="158"/>
      <c r="T41" s="158"/>
      <c r="U41" s="158"/>
      <c r="V41" s="158"/>
      <c r="W41" s="158"/>
      <c r="X41" s="158"/>
      <c r="Y41" s="158"/>
    </row>
    <row r="42" spans="1:37" ht="20.149999999999999" customHeight="1" x14ac:dyDescent="0.45">
      <c r="A42" s="220"/>
      <c r="B42" s="140"/>
      <c r="C42" s="140"/>
      <c r="D42" s="117"/>
      <c r="E42" s="140"/>
      <c r="F42" s="140"/>
      <c r="G42" s="140"/>
      <c r="H42" s="140"/>
      <c r="I42" s="140"/>
      <c r="J42" s="103" t="s">
        <v>261</v>
      </c>
      <c r="K42" s="66"/>
      <c r="L42" s="112">
        <f>L41/$C$200</f>
        <v>0</v>
      </c>
      <c r="M42" s="158"/>
      <c r="N42" s="158"/>
      <c r="O42" s="158"/>
      <c r="P42" s="158"/>
      <c r="Q42" s="158"/>
      <c r="R42" s="158"/>
      <c r="S42" s="158"/>
      <c r="T42" s="158"/>
      <c r="U42" s="158"/>
      <c r="V42" s="158"/>
      <c r="W42" s="158"/>
      <c r="X42" s="158"/>
      <c r="Y42" s="158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1:37" ht="20.149999999999999" customHeight="1" x14ac:dyDescent="0.45">
      <c r="A43" s="220"/>
      <c r="B43" s="140"/>
      <c r="C43" s="140"/>
      <c r="D43" s="117"/>
      <c r="E43" s="140"/>
      <c r="F43" s="140"/>
      <c r="G43" s="140"/>
      <c r="H43" s="140"/>
      <c r="I43" s="140"/>
      <c r="J43" s="140"/>
      <c r="K43" s="66"/>
      <c r="L43" s="18"/>
      <c r="M43" s="158"/>
      <c r="N43" s="158"/>
      <c r="O43" s="158"/>
      <c r="P43" s="158"/>
      <c r="Q43" s="158"/>
      <c r="R43" s="158"/>
      <c r="S43" s="158"/>
      <c r="T43" s="158"/>
      <c r="U43" s="158"/>
      <c r="V43" s="158"/>
      <c r="W43" s="158"/>
      <c r="X43" s="158"/>
      <c r="Y43" s="158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1:37" ht="20.149999999999999" customHeight="1" x14ac:dyDescent="0.45">
      <c r="A44" s="220"/>
      <c r="B44" s="140"/>
      <c r="C44" s="140"/>
      <c r="D44" s="117"/>
      <c r="E44" s="140"/>
      <c r="F44" s="486">
        <f>SERVICIO!B31</f>
        <v>0</v>
      </c>
      <c r="G44" s="485" t="s">
        <v>300</v>
      </c>
      <c r="H44" s="485"/>
      <c r="I44" s="279"/>
      <c r="J44" s="102" t="s">
        <v>262</v>
      </c>
      <c r="K44" s="66"/>
      <c r="L44" s="215">
        <f>L39+L17</f>
        <v>5028.7599999999993</v>
      </c>
      <c r="M44" s="215">
        <f t="shared" ref="M44:W44" si="23">M39+M17</f>
        <v>5028.7599999999993</v>
      </c>
      <c r="N44" s="215">
        <f t="shared" si="23"/>
        <v>0</v>
      </c>
      <c r="O44" s="215">
        <f t="shared" si="23"/>
        <v>0</v>
      </c>
      <c r="P44" s="215">
        <f t="shared" si="23"/>
        <v>0</v>
      </c>
      <c r="Q44" s="215">
        <f t="shared" si="23"/>
        <v>0</v>
      </c>
      <c r="R44" s="215">
        <f t="shared" si="23"/>
        <v>0</v>
      </c>
      <c r="S44" s="215">
        <f t="shared" si="23"/>
        <v>0</v>
      </c>
      <c r="T44" s="215">
        <f t="shared" si="23"/>
        <v>0</v>
      </c>
      <c r="U44" s="215">
        <f t="shared" si="23"/>
        <v>0</v>
      </c>
      <c r="V44" s="215">
        <f t="shared" si="23"/>
        <v>0</v>
      </c>
      <c r="W44" s="215">
        <f t="shared" si="23"/>
        <v>0</v>
      </c>
      <c r="X44" s="215">
        <f>X39+X17</f>
        <v>0</v>
      </c>
      <c r="Y44" s="215">
        <f>Y39+Y17</f>
        <v>0</v>
      </c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1:37" ht="20.149999999999999" customHeight="1" x14ac:dyDescent="0.45">
      <c r="A45" s="220"/>
      <c r="B45" s="140"/>
      <c r="C45" s="140"/>
      <c r="D45" s="140"/>
      <c r="E45" s="140"/>
      <c r="F45" s="485"/>
      <c r="G45" s="485"/>
      <c r="H45" s="485"/>
      <c r="I45" s="279"/>
      <c r="J45" s="103" t="s">
        <v>263</v>
      </c>
      <c r="K45" s="66"/>
      <c r="L45" s="216">
        <f t="shared" ref="L45:W45" si="24">L44/$C$200</f>
        <v>278.29330381848365</v>
      </c>
      <c r="M45" s="216">
        <f t="shared" si="24"/>
        <v>278.29330381848365</v>
      </c>
      <c r="N45" s="216">
        <f t="shared" si="24"/>
        <v>0</v>
      </c>
      <c r="O45" s="216">
        <f t="shared" si="24"/>
        <v>0</v>
      </c>
      <c r="P45" s="216">
        <f t="shared" si="24"/>
        <v>0</v>
      </c>
      <c r="Q45" s="216">
        <f t="shared" si="24"/>
        <v>0</v>
      </c>
      <c r="R45" s="216">
        <f t="shared" si="24"/>
        <v>0</v>
      </c>
      <c r="S45" s="216">
        <f t="shared" si="24"/>
        <v>0</v>
      </c>
      <c r="T45" s="216">
        <f t="shared" si="24"/>
        <v>0</v>
      </c>
      <c r="U45" s="216">
        <f t="shared" si="24"/>
        <v>0</v>
      </c>
      <c r="V45" s="216">
        <f t="shared" si="24"/>
        <v>0</v>
      </c>
      <c r="W45" s="216">
        <f t="shared" si="24"/>
        <v>0</v>
      </c>
      <c r="X45" s="216">
        <f>X44/$C$200</f>
        <v>0</v>
      </c>
      <c r="Y45" s="216">
        <f>Y44/$C$200</f>
        <v>0</v>
      </c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1:37" ht="20.149999999999999" customHeight="1" x14ac:dyDescent="0.45">
      <c r="A46" s="220"/>
      <c r="B46" s="140"/>
      <c r="C46" s="140"/>
      <c r="D46" s="140"/>
      <c r="E46" s="140"/>
      <c r="F46" s="485"/>
      <c r="G46" s="485"/>
      <c r="H46" s="485"/>
      <c r="I46" s="279"/>
      <c r="J46" s="102" t="s">
        <v>284</v>
      </c>
      <c r="K46" s="66"/>
      <c r="L46" s="51">
        <f>SUM(L44:Y44)</f>
        <v>10057.519999999999</v>
      </c>
      <c r="M46" s="158"/>
      <c r="N46" s="158"/>
      <c r="O46" s="158"/>
      <c r="P46" s="158"/>
      <c r="Q46" s="158"/>
      <c r="R46" s="158"/>
      <c r="S46" s="158"/>
      <c r="T46" s="158"/>
      <c r="U46" s="158"/>
      <c r="V46" s="158"/>
      <c r="W46" s="158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1:37" ht="20.149999999999999" customHeight="1" x14ac:dyDescent="0.45">
      <c r="A47" s="220"/>
      <c r="B47" s="140"/>
      <c r="C47" s="140"/>
      <c r="D47" s="140"/>
      <c r="E47" s="140"/>
      <c r="F47" s="485"/>
      <c r="G47" s="485"/>
      <c r="H47" s="485"/>
      <c r="I47" s="279"/>
      <c r="J47" s="103" t="s">
        <v>261</v>
      </c>
      <c r="K47" s="66"/>
      <c r="L47" s="112">
        <f>L46/$C$200</f>
        <v>556.5866076369673</v>
      </c>
      <c r="M47" s="158"/>
      <c r="N47" s="158"/>
      <c r="O47" s="158"/>
      <c r="P47" s="158"/>
      <c r="Q47" s="158"/>
      <c r="R47" s="158"/>
      <c r="S47" s="158"/>
      <c r="T47" s="158"/>
      <c r="U47" s="158"/>
      <c r="V47" s="158"/>
      <c r="W47" s="158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1:37" ht="20.149999999999999" customHeight="1" x14ac:dyDescent="0.45">
      <c r="A48" s="220"/>
      <c r="B48" s="140"/>
      <c r="C48" s="140"/>
      <c r="D48" s="140"/>
      <c r="E48" s="140"/>
      <c r="F48" s="140"/>
      <c r="G48" s="140"/>
      <c r="H48" s="140"/>
      <c r="I48" s="140"/>
      <c r="J48" s="140"/>
      <c r="K48" s="66"/>
      <c r="L48" s="18"/>
      <c r="M48" s="158"/>
      <c r="N48" s="158"/>
      <c r="O48" s="158"/>
      <c r="P48" s="158"/>
      <c r="Q48" s="158"/>
      <c r="R48" s="158"/>
      <c r="S48" s="158"/>
      <c r="T48" s="158"/>
      <c r="U48" s="158"/>
      <c r="V48" s="158"/>
      <c r="W48" s="158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1:37" ht="20.149999999999999" customHeight="1" x14ac:dyDescent="0.45">
      <c r="A49" s="220"/>
      <c r="B49" s="484" t="s">
        <v>4</v>
      </c>
      <c r="C49" s="484"/>
      <c r="D49" s="484"/>
      <c r="E49" s="484"/>
      <c r="F49" s="484"/>
      <c r="G49" s="484"/>
      <c r="H49" s="484"/>
      <c r="I49" s="484"/>
      <c r="J49" s="484"/>
      <c r="K49" s="66"/>
      <c r="L49" s="283"/>
      <c r="M49" s="283"/>
      <c r="N49" s="283"/>
      <c r="O49" s="283"/>
      <c r="P49" s="283"/>
      <c r="Q49" s="283"/>
      <c r="R49" s="283"/>
      <c r="S49" s="283"/>
      <c r="T49" s="283"/>
      <c r="U49" s="283"/>
      <c r="V49" s="283"/>
      <c r="W49" s="283"/>
      <c r="X49" s="283"/>
      <c r="Y49" s="283"/>
      <c r="Z49" s="2"/>
      <c r="AA49" s="2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spans="1:37" ht="20.149999999999999" customHeight="1" x14ac:dyDescent="0.45">
      <c r="A50" s="220"/>
      <c r="B50" s="458" t="s">
        <v>285</v>
      </c>
      <c r="C50" s="458" t="s">
        <v>266</v>
      </c>
      <c r="D50" s="458" t="s">
        <v>28</v>
      </c>
      <c r="E50" s="458" t="s">
        <v>264</v>
      </c>
      <c r="F50" s="472" t="s">
        <v>430</v>
      </c>
      <c r="G50" s="472" t="s">
        <v>355</v>
      </c>
      <c r="H50" s="474" t="s">
        <v>335</v>
      </c>
      <c r="I50" s="474" t="s">
        <v>356</v>
      </c>
      <c r="J50" s="476" t="s">
        <v>265</v>
      </c>
      <c r="K50" s="66"/>
      <c r="L50" s="390" t="s">
        <v>84</v>
      </c>
      <c r="M50" s="390" t="s">
        <v>84</v>
      </c>
      <c r="N50" s="391" t="s">
        <v>66</v>
      </c>
      <c r="O50" s="390" t="s">
        <v>67</v>
      </c>
      <c r="P50" s="390" t="s">
        <v>68</v>
      </c>
      <c r="Q50" s="390" t="s">
        <v>69</v>
      </c>
      <c r="R50" s="390" t="s">
        <v>70</v>
      </c>
      <c r="S50" s="390" t="s">
        <v>71</v>
      </c>
      <c r="T50" s="390" t="s">
        <v>72</v>
      </c>
      <c r="U50" s="390" t="s">
        <v>73</v>
      </c>
      <c r="V50" s="390" t="s">
        <v>74</v>
      </c>
      <c r="W50" s="390" t="s">
        <v>75</v>
      </c>
      <c r="X50" s="390" t="s">
        <v>76</v>
      </c>
      <c r="Y50" s="390" t="s">
        <v>77</v>
      </c>
      <c r="Z50" s="2"/>
      <c r="AA50" s="2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spans="1:37" ht="20.149999999999999" customHeight="1" x14ac:dyDescent="0.45">
      <c r="A51" s="220"/>
      <c r="B51" s="458"/>
      <c r="C51" s="458"/>
      <c r="D51" s="458"/>
      <c r="E51" s="458"/>
      <c r="F51" s="473"/>
      <c r="G51" s="473"/>
      <c r="H51" s="475"/>
      <c r="I51" s="475"/>
      <c r="J51" s="477"/>
      <c r="K51" s="66"/>
      <c r="L51" s="392" t="s">
        <v>272</v>
      </c>
      <c r="M51" s="392" t="s">
        <v>272</v>
      </c>
      <c r="N51" s="392" t="s">
        <v>436</v>
      </c>
      <c r="O51" s="392" t="s">
        <v>437</v>
      </c>
      <c r="P51" s="392" t="s">
        <v>438</v>
      </c>
      <c r="Q51" s="392" t="s">
        <v>439</v>
      </c>
      <c r="R51" s="392" t="s">
        <v>392</v>
      </c>
      <c r="S51" s="392" t="s">
        <v>393</v>
      </c>
      <c r="T51" s="392" t="s">
        <v>394</v>
      </c>
      <c r="U51" s="392" t="s">
        <v>395</v>
      </c>
      <c r="V51" s="392" t="s">
        <v>396</v>
      </c>
      <c r="W51" s="392" t="s">
        <v>397</v>
      </c>
      <c r="X51" s="392" t="s">
        <v>398</v>
      </c>
      <c r="Y51" s="392" t="s">
        <v>399</v>
      </c>
      <c r="Z51" s="2"/>
      <c r="AA51" s="2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spans="1:37" ht="20.149999999999999" customHeight="1" x14ac:dyDescent="0.45">
      <c r="A52" s="220"/>
      <c r="B52" s="458"/>
      <c r="C52" s="458"/>
      <c r="D52" s="458"/>
      <c r="E52" s="458"/>
      <c r="F52" s="369" t="s">
        <v>259</v>
      </c>
      <c r="G52" s="370" t="s">
        <v>259</v>
      </c>
      <c r="H52" s="371" t="s">
        <v>260</v>
      </c>
      <c r="I52" s="372" t="s">
        <v>260</v>
      </c>
      <c r="J52" s="373" t="s">
        <v>260</v>
      </c>
      <c r="K52" s="66"/>
      <c r="L52" s="393" t="s">
        <v>272</v>
      </c>
      <c r="M52" s="393" t="s">
        <v>272</v>
      </c>
      <c r="N52" s="393">
        <v>31</v>
      </c>
      <c r="O52" s="393">
        <v>29</v>
      </c>
      <c r="P52" s="393">
        <v>31</v>
      </c>
      <c r="Q52" s="393">
        <v>30</v>
      </c>
      <c r="R52" s="393">
        <v>30</v>
      </c>
      <c r="S52" s="393">
        <v>31</v>
      </c>
      <c r="T52" s="393">
        <v>31</v>
      </c>
      <c r="U52" s="393">
        <v>31</v>
      </c>
      <c r="V52" s="393">
        <v>30</v>
      </c>
      <c r="W52" s="393">
        <v>31</v>
      </c>
      <c r="X52" s="393">
        <v>30</v>
      </c>
      <c r="Y52" s="393">
        <v>31</v>
      </c>
      <c r="Z52" s="2"/>
      <c r="AA52" s="2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spans="1:37" ht="20.149999999999999" customHeight="1" x14ac:dyDescent="0.45">
      <c r="A53" s="220"/>
      <c r="B53" s="195" t="s">
        <v>177</v>
      </c>
      <c r="C53" s="101"/>
      <c r="D53" s="196"/>
      <c r="E53" s="133">
        <v>0</v>
      </c>
      <c r="F53" s="108">
        <v>4000</v>
      </c>
      <c r="G53" s="42">
        <f>E53*F53</f>
        <v>0</v>
      </c>
      <c r="H53" s="42">
        <f>F53*$C$200</f>
        <v>72280</v>
      </c>
      <c r="I53" s="42">
        <f>(E53*H53)</f>
        <v>0</v>
      </c>
      <c r="J53" s="42">
        <f t="shared" ref="J53:J115" si="25">I53*1.16</f>
        <v>0</v>
      </c>
      <c r="K53" s="66"/>
      <c r="L53" s="209">
        <v>0</v>
      </c>
      <c r="M53" s="209">
        <f>$I$53</f>
        <v>0</v>
      </c>
      <c r="N53" s="209">
        <f>$I$53</f>
        <v>0</v>
      </c>
      <c r="O53" s="209">
        <f>$I$53</f>
        <v>0</v>
      </c>
      <c r="P53" s="209">
        <f>$I$53</f>
        <v>0</v>
      </c>
      <c r="Q53" s="209">
        <v>0</v>
      </c>
      <c r="R53" s="209">
        <v>0</v>
      </c>
      <c r="S53" s="209">
        <v>0</v>
      </c>
      <c r="T53" s="209">
        <v>0</v>
      </c>
      <c r="U53" s="209">
        <v>0</v>
      </c>
      <c r="V53" s="209">
        <v>0</v>
      </c>
      <c r="W53" s="209">
        <v>0</v>
      </c>
      <c r="X53" s="209">
        <v>0</v>
      </c>
      <c r="Y53" s="209">
        <v>0</v>
      </c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spans="1:37" ht="20.149999999999999" customHeight="1" x14ac:dyDescent="0.45">
      <c r="A54" s="220"/>
      <c r="B54" s="195" t="s">
        <v>178</v>
      </c>
      <c r="C54" s="101"/>
      <c r="D54" s="196"/>
      <c r="E54" s="133">
        <v>0</v>
      </c>
      <c r="F54" s="108">
        <v>0</v>
      </c>
      <c r="G54" s="42">
        <f t="shared" ref="G54:G88" si="26">E54*F54</f>
        <v>0</v>
      </c>
      <c r="H54" s="42">
        <f t="shared" ref="H54:H85" si="27">F54*$C$200</f>
        <v>0</v>
      </c>
      <c r="I54" s="42">
        <f t="shared" ref="I54:I88" si="28">(E54*H54)</f>
        <v>0</v>
      </c>
      <c r="J54" s="42">
        <f t="shared" si="25"/>
        <v>0</v>
      </c>
      <c r="K54" s="66"/>
      <c r="L54" s="209">
        <v>0</v>
      </c>
      <c r="M54" s="209">
        <f>L54</f>
        <v>0</v>
      </c>
      <c r="N54" s="209">
        <f>M54</f>
        <v>0</v>
      </c>
      <c r="O54" s="209">
        <v>0</v>
      </c>
      <c r="P54" s="209">
        <f>O54</f>
        <v>0</v>
      </c>
      <c r="Q54" s="209">
        <v>0</v>
      </c>
      <c r="R54" s="209">
        <v>0</v>
      </c>
      <c r="S54" s="209">
        <v>0</v>
      </c>
      <c r="T54" s="209">
        <v>0</v>
      </c>
      <c r="U54" s="209">
        <v>0</v>
      </c>
      <c r="V54" s="209">
        <v>0</v>
      </c>
      <c r="W54" s="209">
        <v>0</v>
      </c>
      <c r="X54" s="209">
        <v>0</v>
      </c>
      <c r="Y54" s="209">
        <v>0</v>
      </c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spans="1:37" ht="20.149999999999999" customHeight="1" x14ac:dyDescent="0.45">
      <c r="A55" s="220"/>
      <c r="B55" s="195" t="s">
        <v>179</v>
      </c>
      <c r="C55" s="101"/>
      <c r="D55" s="196"/>
      <c r="E55" s="133">
        <v>1</v>
      </c>
      <c r="F55" s="108">
        <v>50</v>
      </c>
      <c r="G55" s="42">
        <f t="shared" si="26"/>
        <v>50</v>
      </c>
      <c r="H55" s="42">
        <f t="shared" si="27"/>
        <v>903.5</v>
      </c>
      <c r="I55" s="42">
        <f t="shared" si="28"/>
        <v>903.5</v>
      </c>
      <c r="J55" s="42">
        <f t="shared" si="25"/>
        <v>1048.06</v>
      </c>
      <c r="K55" s="66"/>
      <c r="L55" s="209">
        <f>I55</f>
        <v>903.5</v>
      </c>
      <c r="M55" s="209">
        <v>0</v>
      </c>
      <c r="N55" s="209">
        <v>0</v>
      </c>
      <c r="O55" s="209">
        <v>0</v>
      </c>
      <c r="P55" s="209">
        <f>O55</f>
        <v>0</v>
      </c>
      <c r="Q55" s="209">
        <v>0</v>
      </c>
      <c r="R55" s="209">
        <v>0</v>
      </c>
      <c r="S55" s="209">
        <v>0</v>
      </c>
      <c r="T55" s="209">
        <v>0</v>
      </c>
      <c r="U55" s="209">
        <v>0</v>
      </c>
      <c r="V55" s="209">
        <v>0</v>
      </c>
      <c r="W55" s="209">
        <v>0</v>
      </c>
      <c r="X55" s="209">
        <v>0</v>
      </c>
      <c r="Y55" s="209">
        <v>0</v>
      </c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spans="1:37" ht="20.149999999999999" customHeight="1" x14ac:dyDescent="0.45">
      <c r="A56" s="220"/>
      <c r="B56" s="195" t="s">
        <v>180</v>
      </c>
      <c r="C56" s="101"/>
      <c r="D56" s="196"/>
      <c r="E56" s="133">
        <v>0</v>
      </c>
      <c r="F56" s="108">
        <v>1660.2102933038184</v>
      </c>
      <c r="G56" s="42">
        <f t="shared" si="26"/>
        <v>0</v>
      </c>
      <c r="H56" s="42">
        <f t="shared" si="27"/>
        <v>30000</v>
      </c>
      <c r="I56" s="42">
        <f t="shared" si="28"/>
        <v>0</v>
      </c>
      <c r="J56" s="42">
        <f t="shared" si="25"/>
        <v>0</v>
      </c>
      <c r="K56" s="66"/>
      <c r="L56" s="209"/>
      <c r="M56" s="209">
        <f>L56</f>
        <v>0</v>
      </c>
      <c r="N56" s="209">
        <v>0</v>
      </c>
      <c r="O56" s="209">
        <v>0</v>
      </c>
      <c r="P56" s="209">
        <v>0</v>
      </c>
      <c r="Q56" s="209">
        <v>0</v>
      </c>
      <c r="R56" s="209">
        <v>0</v>
      </c>
      <c r="S56" s="209">
        <v>0</v>
      </c>
      <c r="T56" s="209">
        <v>0</v>
      </c>
      <c r="U56" s="209">
        <v>0</v>
      </c>
      <c r="V56" s="209">
        <v>0</v>
      </c>
      <c r="W56" s="209">
        <v>0</v>
      </c>
      <c r="X56" s="209">
        <v>0</v>
      </c>
      <c r="Y56" s="209">
        <v>0</v>
      </c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spans="1:37" ht="20.149999999999999" customHeight="1" x14ac:dyDescent="0.45">
      <c r="A57" s="220"/>
      <c r="B57" s="195" t="s">
        <v>181</v>
      </c>
      <c r="C57" s="101" t="s">
        <v>475</v>
      </c>
      <c r="D57" s="196"/>
      <c r="E57" s="133">
        <v>0</v>
      </c>
      <c r="F57" s="108">
        <v>8879.02</v>
      </c>
      <c r="G57" s="42">
        <f t="shared" si="26"/>
        <v>0</v>
      </c>
      <c r="H57" s="42">
        <f t="shared" si="27"/>
        <v>160443.89140000002</v>
      </c>
      <c r="I57" s="42">
        <f t="shared" si="28"/>
        <v>0</v>
      </c>
      <c r="J57" s="42">
        <f t="shared" si="25"/>
        <v>0</v>
      </c>
      <c r="K57" s="66"/>
      <c r="L57" s="209">
        <v>0</v>
      </c>
      <c r="M57" s="209">
        <f>J57</f>
        <v>0</v>
      </c>
      <c r="N57" s="209">
        <v>0</v>
      </c>
      <c r="O57" s="209">
        <v>0</v>
      </c>
      <c r="P57" s="209">
        <v>0</v>
      </c>
      <c r="Q57" s="209">
        <v>0</v>
      </c>
      <c r="R57" s="209">
        <v>0</v>
      </c>
      <c r="S57" s="209">
        <v>0</v>
      </c>
      <c r="T57" s="209">
        <v>0</v>
      </c>
      <c r="U57" s="209">
        <v>0</v>
      </c>
      <c r="V57" s="209">
        <v>0</v>
      </c>
      <c r="W57" s="209">
        <v>0</v>
      </c>
      <c r="X57" s="209">
        <v>0</v>
      </c>
      <c r="Y57" s="209">
        <v>0</v>
      </c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spans="1:37" ht="20.25" customHeight="1" x14ac:dyDescent="0.45">
      <c r="A58" s="220"/>
      <c r="B58" s="195" t="s">
        <v>182</v>
      </c>
      <c r="C58" s="101"/>
      <c r="D58" s="196"/>
      <c r="E58" s="133">
        <v>0</v>
      </c>
      <c r="F58" s="108">
        <v>1106.8068622025457</v>
      </c>
      <c r="G58" s="42">
        <f t="shared" si="26"/>
        <v>0</v>
      </c>
      <c r="H58" s="42">
        <f t="shared" si="27"/>
        <v>20000.000000000004</v>
      </c>
      <c r="I58" s="42">
        <f t="shared" si="28"/>
        <v>0</v>
      </c>
      <c r="J58" s="42">
        <f t="shared" si="25"/>
        <v>0</v>
      </c>
      <c r="K58" s="66"/>
      <c r="L58" s="209">
        <v>0</v>
      </c>
      <c r="M58" s="209">
        <f>L58</f>
        <v>0</v>
      </c>
      <c r="N58" s="209">
        <v>0</v>
      </c>
      <c r="O58" s="209">
        <f>N58</f>
        <v>0</v>
      </c>
      <c r="P58" s="209">
        <f>O58</f>
        <v>0</v>
      </c>
      <c r="Q58" s="209">
        <v>0</v>
      </c>
      <c r="R58" s="209">
        <v>0</v>
      </c>
      <c r="S58" s="209">
        <v>0</v>
      </c>
      <c r="T58" s="209">
        <v>0</v>
      </c>
      <c r="U58" s="209">
        <v>0</v>
      </c>
      <c r="V58" s="209">
        <v>0</v>
      </c>
      <c r="W58" s="209">
        <v>0</v>
      </c>
      <c r="X58" s="209">
        <v>0</v>
      </c>
      <c r="Y58" s="209">
        <v>0</v>
      </c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spans="1:37" ht="20.149999999999999" customHeight="1" x14ac:dyDescent="0.45">
      <c r="A59" s="220"/>
      <c r="B59" s="195" t="s">
        <v>183</v>
      </c>
      <c r="C59" s="101"/>
      <c r="D59" s="196"/>
      <c r="E59" s="133">
        <v>0</v>
      </c>
      <c r="F59" s="108">
        <v>0</v>
      </c>
      <c r="G59" s="42">
        <f t="shared" si="26"/>
        <v>0</v>
      </c>
      <c r="H59" s="42">
        <f t="shared" si="27"/>
        <v>0</v>
      </c>
      <c r="I59" s="42">
        <f t="shared" si="28"/>
        <v>0</v>
      </c>
      <c r="J59" s="42">
        <f t="shared" si="25"/>
        <v>0</v>
      </c>
      <c r="K59" s="66"/>
      <c r="L59" s="209">
        <v>0</v>
      </c>
      <c r="M59" s="209">
        <f>L59</f>
        <v>0</v>
      </c>
      <c r="N59" s="209">
        <f>M59</f>
        <v>0</v>
      </c>
      <c r="O59" s="209">
        <f>N59</f>
        <v>0</v>
      </c>
      <c r="P59" s="209">
        <f>O59</f>
        <v>0</v>
      </c>
      <c r="Q59" s="209">
        <v>0</v>
      </c>
      <c r="R59" s="209">
        <v>0</v>
      </c>
      <c r="S59" s="209">
        <v>0</v>
      </c>
      <c r="T59" s="209">
        <v>0</v>
      </c>
      <c r="U59" s="209">
        <v>0</v>
      </c>
      <c r="V59" s="209">
        <v>0</v>
      </c>
      <c r="W59" s="209">
        <v>0</v>
      </c>
      <c r="X59" s="209">
        <v>0</v>
      </c>
      <c r="Y59" s="209">
        <v>0</v>
      </c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spans="1:37" ht="20.149999999999999" customHeight="1" x14ac:dyDescent="0.45">
      <c r="A60" s="220"/>
      <c r="B60" s="195" t="s">
        <v>184</v>
      </c>
      <c r="C60" s="101"/>
      <c r="D60" s="196"/>
      <c r="E60" s="133">
        <v>0</v>
      </c>
      <c r="F60" s="108">
        <v>1200</v>
      </c>
      <c r="G60" s="42">
        <f t="shared" si="26"/>
        <v>0</v>
      </c>
      <c r="H60" s="42">
        <f t="shared" si="27"/>
        <v>21684</v>
      </c>
      <c r="I60" s="42">
        <f t="shared" si="28"/>
        <v>0</v>
      </c>
      <c r="J60" s="42">
        <f t="shared" si="25"/>
        <v>0</v>
      </c>
      <c r="K60" s="66"/>
      <c r="L60" s="209">
        <v>0</v>
      </c>
      <c r="M60" s="209">
        <f>L60</f>
        <v>0</v>
      </c>
      <c r="N60" s="209">
        <v>0</v>
      </c>
      <c r="O60" s="209">
        <v>0</v>
      </c>
      <c r="P60" s="209">
        <v>0</v>
      </c>
      <c r="Q60" s="209">
        <v>0</v>
      </c>
      <c r="R60" s="209">
        <v>0</v>
      </c>
      <c r="S60" s="209">
        <v>0</v>
      </c>
      <c r="T60" s="209">
        <v>0</v>
      </c>
      <c r="U60" s="209">
        <v>0</v>
      </c>
      <c r="V60" s="209">
        <v>0</v>
      </c>
      <c r="W60" s="209">
        <v>0</v>
      </c>
      <c r="X60" s="209">
        <v>0</v>
      </c>
      <c r="Y60" s="209">
        <v>0</v>
      </c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spans="1:37" ht="20.149999999999999" customHeight="1" x14ac:dyDescent="0.45">
      <c r="A61" s="220"/>
      <c r="B61" s="195" t="s">
        <v>185</v>
      </c>
      <c r="C61" s="101" t="s">
        <v>482</v>
      </c>
      <c r="D61" s="196"/>
      <c r="E61" s="133">
        <v>0</v>
      </c>
      <c r="F61" s="108">
        <v>12479.2</v>
      </c>
      <c r="G61" s="42">
        <f t="shared" si="26"/>
        <v>0</v>
      </c>
      <c r="H61" s="42">
        <f t="shared" si="27"/>
        <v>225499.14400000003</v>
      </c>
      <c r="I61" s="42">
        <f t="shared" si="28"/>
        <v>0</v>
      </c>
      <c r="J61" s="42">
        <f t="shared" si="25"/>
        <v>0</v>
      </c>
      <c r="K61" s="66"/>
      <c r="L61" s="209">
        <f>I61</f>
        <v>0</v>
      </c>
      <c r="M61" s="209">
        <v>0</v>
      </c>
      <c r="N61" s="209">
        <v>0</v>
      </c>
      <c r="O61" s="209">
        <f>N61</f>
        <v>0</v>
      </c>
      <c r="P61" s="209">
        <f>O61</f>
        <v>0</v>
      </c>
      <c r="Q61" s="209">
        <v>0</v>
      </c>
      <c r="R61" s="209">
        <v>0</v>
      </c>
      <c r="S61" s="209">
        <v>0</v>
      </c>
      <c r="T61" s="209">
        <v>0</v>
      </c>
      <c r="U61" s="209">
        <v>0</v>
      </c>
      <c r="V61" s="209">
        <v>0</v>
      </c>
      <c r="W61" s="209">
        <v>0</v>
      </c>
      <c r="X61" s="209">
        <v>0</v>
      </c>
      <c r="Y61" s="209">
        <v>0</v>
      </c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spans="1:37" ht="20.149999999999999" customHeight="1" x14ac:dyDescent="0.45">
      <c r="A62" s="220"/>
      <c r="B62" s="195" t="s">
        <v>186</v>
      </c>
      <c r="C62" s="101"/>
      <c r="D62" s="196"/>
      <c r="E62" s="133">
        <v>0</v>
      </c>
      <c r="F62" s="108">
        <v>6000</v>
      </c>
      <c r="G62" s="42">
        <f t="shared" si="26"/>
        <v>0</v>
      </c>
      <c r="H62" s="42">
        <f t="shared" si="27"/>
        <v>108420</v>
      </c>
      <c r="I62" s="42">
        <f t="shared" si="28"/>
        <v>0</v>
      </c>
      <c r="J62" s="42">
        <f t="shared" si="25"/>
        <v>0</v>
      </c>
      <c r="K62" s="66"/>
      <c r="L62" s="209">
        <v>0</v>
      </c>
      <c r="M62" s="209">
        <f>L62</f>
        <v>0</v>
      </c>
      <c r="N62" s="209">
        <v>0</v>
      </c>
      <c r="O62" s="209">
        <v>0</v>
      </c>
      <c r="P62" s="209">
        <f t="shared" ref="P62:P77" si="29">O62</f>
        <v>0</v>
      </c>
      <c r="Q62" s="209">
        <v>0</v>
      </c>
      <c r="R62" s="209">
        <v>0</v>
      </c>
      <c r="S62" s="209">
        <v>0</v>
      </c>
      <c r="T62" s="209">
        <v>0</v>
      </c>
      <c r="U62" s="209">
        <v>0</v>
      </c>
      <c r="V62" s="209">
        <v>0</v>
      </c>
      <c r="W62" s="209">
        <v>0</v>
      </c>
      <c r="X62" s="209">
        <v>0</v>
      </c>
      <c r="Y62" s="209">
        <v>0</v>
      </c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spans="1:37" ht="20.149999999999999" customHeight="1" x14ac:dyDescent="0.45">
      <c r="A63" s="220"/>
      <c r="B63" s="195" t="s">
        <v>187</v>
      </c>
      <c r="C63" s="101"/>
      <c r="D63" s="196"/>
      <c r="E63" s="133">
        <v>0</v>
      </c>
      <c r="F63" s="108">
        <v>27.670171555063639</v>
      </c>
      <c r="G63" s="42">
        <f t="shared" si="26"/>
        <v>0</v>
      </c>
      <c r="H63" s="42">
        <f t="shared" si="27"/>
        <v>499.99999999999994</v>
      </c>
      <c r="I63" s="42">
        <f t="shared" si="28"/>
        <v>0</v>
      </c>
      <c r="J63" s="42">
        <f t="shared" si="25"/>
        <v>0</v>
      </c>
      <c r="K63" s="66"/>
      <c r="L63" s="209">
        <v>0</v>
      </c>
      <c r="M63" s="209">
        <v>0</v>
      </c>
      <c r="N63" s="209">
        <v>0</v>
      </c>
      <c r="O63" s="209">
        <f>N63</f>
        <v>0</v>
      </c>
      <c r="P63" s="209">
        <f t="shared" si="29"/>
        <v>0</v>
      </c>
      <c r="Q63" s="209">
        <v>0</v>
      </c>
      <c r="R63" s="209">
        <v>0</v>
      </c>
      <c r="S63" s="209">
        <v>0</v>
      </c>
      <c r="T63" s="209">
        <v>0</v>
      </c>
      <c r="U63" s="209">
        <v>0</v>
      </c>
      <c r="V63" s="209">
        <v>0</v>
      </c>
      <c r="W63" s="209">
        <v>0</v>
      </c>
      <c r="X63" s="209">
        <v>0</v>
      </c>
      <c r="Y63" s="209">
        <v>0</v>
      </c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spans="1:37" ht="20.149999999999999" customHeight="1" x14ac:dyDescent="0.45">
      <c r="A64" s="220"/>
      <c r="B64" s="195" t="s">
        <v>188</v>
      </c>
      <c r="C64" s="101"/>
      <c r="D64" s="196"/>
      <c r="E64" s="133">
        <v>0</v>
      </c>
      <c r="F64" s="108">
        <v>0</v>
      </c>
      <c r="G64" s="42">
        <f t="shared" si="26"/>
        <v>0</v>
      </c>
      <c r="H64" s="42">
        <f t="shared" si="27"/>
        <v>0</v>
      </c>
      <c r="I64" s="42">
        <f t="shared" si="28"/>
        <v>0</v>
      </c>
      <c r="J64" s="42">
        <f t="shared" si="25"/>
        <v>0</v>
      </c>
      <c r="K64" s="66"/>
      <c r="L64" s="209">
        <v>0</v>
      </c>
      <c r="M64" s="209">
        <f t="shared" ref="M64:N67" si="30">L64</f>
        <v>0</v>
      </c>
      <c r="N64" s="209">
        <f t="shared" si="30"/>
        <v>0</v>
      </c>
      <c r="O64" s="209">
        <f>N64</f>
        <v>0</v>
      </c>
      <c r="P64" s="209">
        <f t="shared" si="29"/>
        <v>0</v>
      </c>
      <c r="Q64" s="209">
        <v>0</v>
      </c>
      <c r="R64" s="209">
        <v>0</v>
      </c>
      <c r="S64" s="209">
        <v>0</v>
      </c>
      <c r="T64" s="209">
        <v>0</v>
      </c>
      <c r="U64" s="209">
        <v>0</v>
      </c>
      <c r="V64" s="209">
        <v>0</v>
      </c>
      <c r="W64" s="209">
        <v>0</v>
      </c>
      <c r="X64" s="209">
        <v>0</v>
      </c>
      <c r="Y64" s="209">
        <v>0</v>
      </c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1:37" ht="20.149999999999999" customHeight="1" x14ac:dyDescent="0.45">
      <c r="A65" s="220"/>
      <c r="B65" s="195" t="s">
        <v>189</v>
      </c>
      <c r="C65" s="101"/>
      <c r="D65" s="196"/>
      <c r="E65" s="133">
        <v>0</v>
      </c>
      <c r="F65" s="108">
        <v>2224.29</v>
      </c>
      <c r="G65" s="42">
        <f t="shared" si="26"/>
        <v>0</v>
      </c>
      <c r="H65" s="42">
        <f t="shared" si="27"/>
        <v>40192.920299999998</v>
      </c>
      <c r="I65" s="42">
        <f t="shared" si="28"/>
        <v>0</v>
      </c>
      <c r="J65" s="42">
        <f t="shared" si="25"/>
        <v>0</v>
      </c>
      <c r="K65" s="66"/>
      <c r="L65" s="209">
        <f>I65</f>
        <v>0</v>
      </c>
      <c r="M65" s="209">
        <v>0</v>
      </c>
      <c r="N65" s="209">
        <f t="shared" si="30"/>
        <v>0</v>
      </c>
      <c r="O65" s="209">
        <f>N65</f>
        <v>0</v>
      </c>
      <c r="P65" s="209">
        <f t="shared" si="29"/>
        <v>0</v>
      </c>
      <c r="Q65" s="209">
        <v>0</v>
      </c>
      <c r="R65" s="209">
        <v>0</v>
      </c>
      <c r="S65" s="209">
        <v>0</v>
      </c>
      <c r="T65" s="209">
        <v>0</v>
      </c>
      <c r="U65" s="209">
        <v>0</v>
      </c>
      <c r="V65" s="209">
        <v>0</v>
      </c>
      <c r="W65" s="209">
        <v>0</v>
      </c>
      <c r="X65" s="209">
        <v>0</v>
      </c>
      <c r="Y65" s="209">
        <v>0</v>
      </c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spans="1:37" ht="20.149999999999999" customHeight="1" x14ac:dyDescent="0.45">
      <c r="A66" s="220"/>
      <c r="B66" s="195" t="s">
        <v>190</v>
      </c>
      <c r="C66" s="101"/>
      <c r="D66" s="196"/>
      <c r="E66" s="133">
        <v>0</v>
      </c>
      <c r="F66" s="108">
        <v>0</v>
      </c>
      <c r="G66" s="42">
        <f t="shared" si="26"/>
        <v>0</v>
      </c>
      <c r="H66" s="42">
        <f t="shared" si="27"/>
        <v>0</v>
      </c>
      <c r="I66" s="42">
        <f t="shared" si="28"/>
        <v>0</v>
      </c>
      <c r="J66" s="42">
        <f t="shared" si="25"/>
        <v>0</v>
      </c>
      <c r="K66" s="66"/>
      <c r="L66" s="209">
        <v>0</v>
      </c>
      <c r="M66" s="209">
        <f t="shared" si="30"/>
        <v>0</v>
      </c>
      <c r="N66" s="209">
        <f t="shared" si="30"/>
        <v>0</v>
      </c>
      <c r="O66" s="209">
        <f>N66</f>
        <v>0</v>
      </c>
      <c r="P66" s="209">
        <f t="shared" si="29"/>
        <v>0</v>
      </c>
      <c r="Q66" s="209">
        <v>0</v>
      </c>
      <c r="R66" s="209">
        <v>0</v>
      </c>
      <c r="S66" s="209">
        <v>0</v>
      </c>
      <c r="T66" s="209">
        <v>0</v>
      </c>
      <c r="U66" s="209">
        <v>0</v>
      </c>
      <c r="V66" s="209">
        <v>0</v>
      </c>
      <c r="W66" s="209">
        <v>0</v>
      </c>
      <c r="X66" s="209">
        <v>0</v>
      </c>
      <c r="Y66" s="209">
        <v>0</v>
      </c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spans="1:37" ht="20.149999999999999" customHeight="1" x14ac:dyDescent="0.45">
      <c r="A67" s="220"/>
      <c r="B67" s="195" t="s">
        <v>191</v>
      </c>
      <c r="C67" s="101"/>
      <c r="D67" s="196"/>
      <c r="E67" s="133">
        <v>0</v>
      </c>
      <c r="F67" s="108">
        <v>0</v>
      </c>
      <c r="G67" s="42">
        <f t="shared" si="26"/>
        <v>0</v>
      </c>
      <c r="H67" s="42">
        <f t="shared" si="27"/>
        <v>0</v>
      </c>
      <c r="I67" s="42">
        <f t="shared" si="28"/>
        <v>0</v>
      </c>
      <c r="J67" s="42">
        <f t="shared" si="25"/>
        <v>0</v>
      </c>
      <c r="K67" s="66"/>
      <c r="L67" s="209">
        <v>0</v>
      </c>
      <c r="M67" s="209">
        <f t="shared" si="30"/>
        <v>0</v>
      </c>
      <c r="N67" s="209">
        <f t="shared" si="30"/>
        <v>0</v>
      </c>
      <c r="O67" s="209">
        <f>N67</f>
        <v>0</v>
      </c>
      <c r="P67" s="209">
        <f t="shared" si="29"/>
        <v>0</v>
      </c>
      <c r="Q67" s="209">
        <v>0</v>
      </c>
      <c r="R67" s="209">
        <v>0</v>
      </c>
      <c r="S67" s="209">
        <v>0</v>
      </c>
      <c r="T67" s="209">
        <v>0</v>
      </c>
      <c r="U67" s="209">
        <v>0</v>
      </c>
      <c r="V67" s="209">
        <v>0</v>
      </c>
      <c r="W67" s="209">
        <v>0</v>
      </c>
      <c r="X67" s="209">
        <v>0</v>
      </c>
      <c r="Y67" s="209">
        <v>0</v>
      </c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spans="1:37" ht="20.149999999999999" customHeight="1" x14ac:dyDescent="0.45">
      <c r="A68" s="220"/>
      <c r="B68" s="195" t="s">
        <v>192</v>
      </c>
      <c r="C68" s="101" t="s">
        <v>347</v>
      </c>
      <c r="D68" s="196"/>
      <c r="E68" s="133">
        <v>1</v>
      </c>
      <c r="F68" s="108">
        <v>107279.78195904814</v>
      </c>
      <c r="G68" s="42">
        <f t="shared" si="26"/>
        <v>107279.78195904814</v>
      </c>
      <c r="H68" s="42">
        <f t="shared" si="27"/>
        <v>1938545.66</v>
      </c>
      <c r="I68" s="42">
        <f t="shared" si="28"/>
        <v>1938545.66</v>
      </c>
      <c r="J68" s="42">
        <f t="shared" si="25"/>
        <v>2248712.9655999998</v>
      </c>
      <c r="K68" s="66"/>
      <c r="L68" s="209">
        <f>I68</f>
        <v>1938545.66</v>
      </c>
      <c r="M68" s="209">
        <v>0</v>
      </c>
      <c r="N68" s="209">
        <v>0</v>
      </c>
      <c r="O68" s="209">
        <v>0</v>
      </c>
      <c r="P68" s="209">
        <f t="shared" si="29"/>
        <v>0</v>
      </c>
      <c r="Q68" s="209">
        <v>0</v>
      </c>
      <c r="R68" s="209">
        <v>0</v>
      </c>
      <c r="S68" s="209">
        <v>0</v>
      </c>
      <c r="T68" s="209">
        <v>0</v>
      </c>
      <c r="U68" s="209">
        <v>0</v>
      </c>
      <c r="V68" s="209">
        <v>0</v>
      </c>
      <c r="W68" s="209">
        <v>0</v>
      </c>
      <c r="X68" s="209">
        <v>0</v>
      </c>
      <c r="Y68" s="209">
        <v>0</v>
      </c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spans="1:37" ht="20.149999999999999" customHeight="1" x14ac:dyDescent="0.45">
      <c r="A69" s="220"/>
      <c r="B69" s="195" t="s">
        <v>193</v>
      </c>
      <c r="C69" s="101" t="s">
        <v>458</v>
      </c>
      <c r="D69" s="196"/>
      <c r="E69" s="133">
        <v>0</v>
      </c>
      <c r="F69" s="108">
        <v>4524.62</v>
      </c>
      <c r="G69" s="42">
        <f t="shared" si="26"/>
        <v>0</v>
      </c>
      <c r="H69" s="42">
        <f t="shared" si="27"/>
        <v>81759.883400000006</v>
      </c>
      <c r="I69" s="42">
        <f t="shared" si="28"/>
        <v>0</v>
      </c>
      <c r="J69" s="42">
        <f t="shared" si="25"/>
        <v>0</v>
      </c>
      <c r="K69" s="66"/>
      <c r="L69" s="209">
        <f>I69</f>
        <v>0</v>
      </c>
      <c r="M69" s="209">
        <v>0</v>
      </c>
      <c r="N69" s="209">
        <v>0</v>
      </c>
      <c r="O69" s="209">
        <v>0</v>
      </c>
      <c r="P69" s="209">
        <f t="shared" si="29"/>
        <v>0</v>
      </c>
      <c r="Q69" s="209">
        <v>0</v>
      </c>
      <c r="R69" s="209">
        <v>0</v>
      </c>
      <c r="S69" s="209">
        <v>0</v>
      </c>
      <c r="T69" s="209">
        <v>0</v>
      </c>
      <c r="U69" s="209">
        <v>0</v>
      </c>
      <c r="V69" s="209">
        <v>0</v>
      </c>
      <c r="W69" s="209">
        <v>0</v>
      </c>
      <c r="X69" s="209">
        <v>0</v>
      </c>
      <c r="Y69" s="209">
        <v>0</v>
      </c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spans="1:37" ht="20.149999999999999" customHeight="1" x14ac:dyDescent="0.45">
      <c r="A70" s="220"/>
      <c r="B70" s="195" t="s">
        <v>194</v>
      </c>
      <c r="C70" s="101" t="s">
        <v>459</v>
      </c>
      <c r="D70" s="196"/>
      <c r="E70" s="133">
        <v>0</v>
      </c>
      <c r="F70" s="108">
        <v>8219.02</v>
      </c>
      <c r="G70" s="42">
        <f t="shared" si="26"/>
        <v>0</v>
      </c>
      <c r="H70" s="42">
        <f t="shared" si="27"/>
        <v>148517.69140000001</v>
      </c>
      <c r="I70" s="42">
        <f t="shared" si="28"/>
        <v>0</v>
      </c>
      <c r="J70" s="42">
        <f t="shared" si="25"/>
        <v>0</v>
      </c>
      <c r="K70" s="66"/>
      <c r="L70" s="209">
        <f>I70</f>
        <v>0</v>
      </c>
      <c r="M70" s="209">
        <v>0</v>
      </c>
      <c r="N70" s="209">
        <f t="shared" ref="N70:O71" si="31">M70</f>
        <v>0</v>
      </c>
      <c r="O70" s="209">
        <f t="shared" si="31"/>
        <v>0</v>
      </c>
      <c r="P70" s="209">
        <f t="shared" si="29"/>
        <v>0</v>
      </c>
      <c r="Q70" s="209">
        <v>0</v>
      </c>
      <c r="R70" s="209">
        <v>0</v>
      </c>
      <c r="S70" s="209">
        <v>0</v>
      </c>
      <c r="T70" s="209">
        <v>0</v>
      </c>
      <c r="U70" s="209">
        <v>0</v>
      </c>
      <c r="V70" s="209">
        <v>0</v>
      </c>
      <c r="W70" s="209">
        <v>0</v>
      </c>
      <c r="X70" s="209">
        <v>0</v>
      </c>
      <c r="Y70" s="209">
        <v>0</v>
      </c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spans="1:37" ht="20.149999999999999" customHeight="1" x14ac:dyDescent="0.45">
      <c r="A71" s="220"/>
      <c r="B71" s="195" t="s">
        <v>195</v>
      </c>
      <c r="C71" s="101"/>
      <c r="D71" s="196"/>
      <c r="E71" s="133">
        <v>0</v>
      </c>
      <c r="F71" s="108">
        <v>83239.850000000006</v>
      </c>
      <c r="G71" s="42">
        <f t="shared" si="26"/>
        <v>0</v>
      </c>
      <c r="H71" s="42">
        <f t="shared" si="27"/>
        <v>1504144.0895000002</v>
      </c>
      <c r="I71" s="42">
        <f t="shared" si="28"/>
        <v>0</v>
      </c>
      <c r="J71" s="42">
        <f t="shared" si="25"/>
        <v>0</v>
      </c>
      <c r="K71" s="66"/>
      <c r="L71" s="209">
        <f>I71</f>
        <v>0</v>
      </c>
      <c r="M71" s="209">
        <v>0</v>
      </c>
      <c r="N71" s="209">
        <f t="shared" si="31"/>
        <v>0</v>
      </c>
      <c r="O71" s="209">
        <f t="shared" si="31"/>
        <v>0</v>
      </c>
      <c r="P71" s="209">
        <f t="shared" si="29"/>
        <v>0</v>
      </c>
      <c r="Q71" s="209">
        <v>0</v>
      </c>
      <c r="R71" s="209">
        <v>0</v>
      </c>
      <c r="S71" s="209">
        <v>0</v>
      </c>
      <c r="T71" s="209">
        <v>0</v>
      </c>
      <c r="U71" s="209">
        <v>0</v>
      </c>
      <c r="V71" s="209">
        <v>0</v>
      </c>
      <c r="W71" s="209">
        <v>0</v>
      </c>
      <c r="X71" s="209">
        <v>0</v>
      </c>
      <c r="Y71" s="209">
        <v>0</v>
      </c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spans="1:37" ht="20.149999999999999" customHeight="1" x14ac:dyDescent="0.45">
      <c r="A72" s="220"/>
      <c r="B72" s="195" t="s">
        <v>196</v>
      </c>
      <c r="C72" s="101"/>
      <c r="D72" s="196"/>
      <c r="E72" s="133">
        <v>1</v>
      </c>
      <c r="F72" s="108">
        <v>178</v>
      </c>
      <c r="G72" s="42">
        <f t="shared" si="26"/>
        <v>178</v>
      </c>
      <c r="H72" s="42">
        <f t="shared" si="27"/>
        <v>3216.46</v>
      </c>
      <c r="I72" s="42">
        <f t="shared" si="28"/>
        <v>3216.46</v>
      </c>
      <c r="J72" s="42">
        <f t="shared" si="25"/>
        <v>3731.0935999999997</v>
      </c>
      <c r="K72" s="66"/>
      <c r="L72" s="209">
        <f>I72</f>
        <v>3216.46</v>
      </c>
      <c r="M72" s="209">
        <f>I72</f>
        <v>3216.46</v>
      </c>
      <c r="N72" s="209">
        <v>0</v>
      </c>
      <c r="O72" s="209">
        <f>N72</f>
        <v>0</v>
      </c>
      <c r="P72" s="209">
        <f t="shared" si="29"/>
        <v>0</v>
      </c>
      <c r="Q72" s="209">
        <v>0</v>
      </c>
      <c r="R72" s="209">
        <v>0</v>
      </c>
      <c r="S72" s="209">
        <v>0</v>
      </c>
      <c r="T72" s="209">
        <v>0</v>
      </c>
      <c r="U72" s="209">
        <v>0</v>
      </c>
      <c r="V72" s="209">
        <v>0</v>
      </c>
      <c r="W72" s="209">
        <v>0</v>
      </c>
      <c r="X72" s="209">
        <v>0</v>
      </c>
      <c r="Y72" s="209">
        <v>0</v>
      </c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1:37" ht="20.149999999999999" customHeight="1" x14ac:dyDescent="0.45">
      <c r="A73" s="220"/>
      <c r="B73" s="195" t="s">
        <v>197</v>
      </c>
      <c r="C73" s="101"/>
      <c r="D73" s="196"/>
      <c r="E73" s="133">
        <v>0</v>
      </c>
      <c r="F73" s="108">
        <v>0</v>
      </c>
      <c r="G73" s="42">
        <f t="shared" si="26"/>
        <v>0</v>
      </c>
      <c r="H73" s="42">
        <f t="shared" si="27"/>
        <v>0</v>
      </c>
      <c r="I73" s="42">
        <f t="shared" si="28"/>
        <v>0</v>
      </c>
      <c r="J73" s="42">
        <f t="shared" si="25"/>
        <v>0</v>
      </c>
      <c r="K73" s="66"/>
      <c r="L73" s="209">
        <v>0</v>
      </c>
      <c r="M73" s="209">
        <f>L73</f>
        <v>0</v>
      </c>
      <c r="N73" s="209">
        <f>M73</f>
        <v>0</v>
      </c>
      <c r="O73" s="209">
        <f>N73</f>
        <v>0</v>
      </c>
      <c r="P73" s="209">
        <f t="shared" si="29"/>
        <v>0</v>
      </c>
      <c r="Q73" s="209">
        <v>0</v>
      </c>
      <c r="R73" s="209">
        <v>0</v>
      </c>
      <c r="S73" s="209">
        <v>0</v>
      </c>
      <c r="T73" s="209">
        <v>0</v>
      </c>
      <c r="U73" s="209">
        <v>0</v>
      </c>
      <c r="V73" s="209">
        <v>0</v>
      </c>
      <c r="W73" s="209">
        <v>0</v>
      </c>
      <c r="X73" s="209">
        <v>0</v>
      </c>
      <c r="Y73" s="209">
        <v>0</v>
      </c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1:37" ht="20.149999999999999" customHeight="1" x14ac:dyDescent="0.45">
      <c r="A74" s="220"/>
      <c r="B74" s="195" t="s">
        <v>198</v>
      </c>
      <c r="C74" s="101" t="s">
        <v>476</v>
      </c>
      <c r="D74" s="196"/>
      <c r="E74" s="133">
        <v>0</v>
      </c>
      <c r="F74" s="108">
        <v>83239.850000000006</v>
      </c>
      <c r="G74" s="42">
        <f t="shared" si="26"/>
        <v>0</v>
      </c>
      <c r="H74" s="42">
        <f t="shared" si="27"/>
        <v>1504144.0895000002</v>
      </c>
      <c r="I74" s="42">
        <f t="shared" si="28"/>
        <v>0</v>
      </c>
      <c r="J74" s="42">
        <f t="shared" si="25"/>
        <v>0</v>
      </c>
      <c r="K74" s="66"/>
      <c r="L74" s="209">
        <f>I74</f>
        <v>0</v>
      </c>
      <c r="M74" s="209">
        <v>0</v>
      </c>
      <c r="N74" s="209">
        <f>M74</f>
        <v>0</v>
      </c>
      <c r="O74" s="209">
        <f>N74</f>
        <v>0</v>
      </c>
      <c r="P74" s="209">
        <f t="shared" si="29"/>
        <v>0</v>
      </c>
      <c r="Q74" s="209">
        <v>0</v>
      </c>
      <c r="R74" s="209">
        <v>0</v>
      </c>
      <c r="S74" s="209">
        <v>0</v>
      </c>
      <c r="T74" s="209">
        <v>0</v>
      </c>
      <c r="U74" s="209">
        <v>0</v>
      </c>
      <c r="V74" s="209">
        <v>0</v>
      </c>
      <c r="W74" s="209">
        <v>0</v>
      </c>
      <c r="X74" s="209">
        <v>0</v>
      </c>
      <c r="Y74" s="209">
        <v>0</v>
      </c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1:37" ht="20.149999999999999" customHeight="1" x14ac:dyDescent="0.45">
      <c r="A75" s="220"/>
      <c r="B75" s="195" t="s">
        <v>199</v>
      </c>
      <c r="C75" s="101"/>
      <c r="D75" s="196"/>
      <c r="E75" s="133">
        <v>0</v>
      </c>
      <c r="F75" s="108">
        <v>58</v>
      </c>
      <c r="G75" s="42">
        <f t="shared" si="26"/>
        <v>0</v>
      </c>
      <c r="H75" s="42">
        <f t="shared" si="27"/>
        <v>1048.06</v>
      </c>
      <c r="I75" s="42">
        <f t="shared" si="28"/>
        <v>0</v>
      </c>
      <c r="J75" s="42">
        <f t="shared" si="25"/>
        <v>0</v>
      </c>
      <c r="K75" s="66"/>
      <c r="L75" s="209">
        <v>0</v>
      </c>
      <c r="M75" s="209">
        <f>I75</f>
        <v>0</v>
      </c>
      <c r="N75" s="209">
        <f>I75</f>
        <v>0</v>
      </c>
      <c r="O75" s="209">
        <f>N75</f>
        <v>0</v>
      </c>
      <c r="P75" s="209">
        <f t="shared" si="29"/>
        <v>0</v>
      </c>
      <c r="Q75" s="209">
        <v>0</v>
      </c>
      <c r="R75" s="209">
        <v>0</v>
      </c>
      <c r="S75" s="209">
        <v>0</v>
      </c>
      <c r="T75" s="209">
        <v>0</v>
      </c>
      <c r="U75" s="209">
        <v>0</v>
      </c>
      <c r="V75" s="209">
        <v>0</v>
      </c>
      <c r="W75" s="209">
        <v>0</v>
      </c>
      <c r="X75" s="209">
        <v>0</v>
      </c>
      <c r="Y75" s="209">
        <v>0</v>
      </c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1:37" ht="20.149999999999999" customHeight="1" x14ac:dyDescent="0.45">
      <c r="A76" s="220"/>
      <c r="B76" s="195" t="s">
        <v>200</v>
      </c>
      <c r="C76" s="101"/>
      <c r="D76" s="196" t="s">
        <v>460</v>
      </c>
      <c r="E76" s="133">
        <v>1</v>
      </c>
      <c r="F76" s="108">
        <v>65817.422246817936</v>
      </c>
      <c r="G76" s="42">
        <f t="shared" si="26"/>
        <v>65817.422246817936</v>
      </c>
      <c r="H76" s="42">
        <f t="shared" si="27"/>
        <v>1189320.82</v>
      </c>
      <c r="I76" s="42">
        <f t="shared" si="28"/>
        <v>1189320.82</v>
      </c>
      <c r="J76" s="42">
        <f t="shared" si="25"/>
        <v>1379612.1512</v>
      </c>
      <c r="K76" s="66"/>
      <c r="L76" s="209">
        <v>0</v>
      </c>
      <c r="M76" s="209">
        <f>I76</f>
        <v>1189320.82</v>
      </c>
      <c r="N76" s="209">
        <v>0</v>
      </c>
      <c r="O76" s="209">
        <v>0</v>
      </c>
      <c r="P76" s="209">
        <f t="shared" si="29"/>
        <v>0</v>
      </c>
      <c r="Q76" s="209">
        <v>0</v>
      </c>
      <c r="R76" s="209">
        <v>0</v>
      </c>
      <c r="S76" s="209">
        <v>0</v>
      </c>
      <c r="T76" s="209">
        <v>0</v>
      </c>
      <c r="U76" s="209">
        <v>0</v>
      </c>
      <c r="V76" s="209">
        <v>0</v>
      </c>
      <c r="W76" s="209">
        <v>0</v>
      </c>
      <c r="X76" s="209">
        <v>0</v>
      </c>
      <c r="Y76" s="209">
        <v>0</v>
      </c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1:37" ht="20.149999999999999" customHeight="1" x14ac:dyDescent="0.45">
      <c r="A77" s="220"/>
      <c r="B77" s="195" t="s">
        <v>201</v>
      </c>
      <c r="C77" s="101"/>
      <c r="D77" s="196"/>
      <c r="E77" s="133">
        <v>0</v>
      </c>
      <c r="F77" s="108">
        <v>500</v>
      </c>
      <c r="G77" s="42">
        <f t="shared" si="26"/>
        <v>0</v>
      </c>
      <c r="H77" s="42">
        <f t="shared" si="27"/>
        <v>9035</v>
      </c>
      <c r="I77" s="42">
        <f t="shared" si="28"/>
        <v>0</v>
      </c>
      <c r="J77" s="42">
        <f t="shared" si="25"/>
        <v>0</v>
      </c>
      <c r="K77" s="66"/>
      <c r="L77" s="209">
        <v>0</v>
      </c>
      <c r="M77" s="209">
        <f>L77</f>
        <v>0</v>
      </c>
      <c r="N77" s="209">
        <f>J77</f>
        <v>0</v>
      </c>
      <c r="O77" s="209">
        <f>N77</f>
        <v>0</v>
      </c>
      <c r="P77" s="209">
        <f t="shared" si="29"/>
        <v>0</v>
      </c>
      <c r="Q77" s="209">
        <v>0</v>
      </c>
      <c r="R77" s="209">
        <v>0</v>
      </c>
      <c r="S77" s="209">
        <v>0</v>
      </c>
      <c r="T77" s="209">
        <v>0</v>
      </c>
      <c r="U77" s="209">
        <v>0</v>
      </c>
      <c r="V77" s="209">
        <v>0</v>
      </c>
      <c r="W77" s="209">
        <v>0</v>
      </c>
      <c r="X77" s="209">
        <v>0</v>
      </c>
      <c r="Y77" s="209">
        <v>0</v>
      </c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spans="1:37" ht="20.149999999999999" customHeight="1" x14ac:dyDescent="0.45">
      <c r="A78" s="220"/>
      <c r="B78" s="195" t="s">
        <v>202</v>
      </c>
      <c r="C78" s="101"/>
      <c r="D78" s="196"/>
      <c r="E78" s="133">
        <v>0</v>
      </c>
      <c r="F78" s="108">
        <v>2213.6137244050915</v>
      </c>
      <c r="G78" s="42">
        <f t="shared" si="26"/>
        <v>0</v>
      </c>
      <c r="H78" s="42">
        <f t="shared" si="27"/>
        <v>40000.000000000007</v>
      </c>
      <c r="I78" s="42">
        <f t="shared" si="28"/>
        <v>0</v>
      </c>
      <c r="J78" s="42">
        <f t="shared" si="25"/>
        <v>0</v>
      </c>
      <c r="K78" s="66"/>
      <c r="L78" s="209">
        <v>0</v>
      </c>
      <c r="M78" s="209">
        <f>L78</f>
        <v>0</v>
      </c>
      <c r="N78" s="209">
        <v>0</v>
      </c>
      <c r="O78" s="209">
        <v>0</v>
      </c>
      <c r="P78" s="209">
        <f>N78</f>
        <v>0</v>
      </c>
      <c r="Q78" s="209">
        <v>0</v>
      </c>
      <c r="R78" s="209">
        <v>0</v>
      </c>
      <c r="S78" s="209">
        <v>0</v>
      </c>
      <c r="T78" s="209">
        <v>0</v>
      </c>
      <c r="U78" s="209">
        <v>0</v>
      </c>
      <c r="V78" s="209">
        <v>0</v>
      </c>
      <c r="W78" s="209">
        <v>0</v>
      </c>
      <c r="X78" s="209">
        <v>0</v>
      </c>
      <c r="Y78" s="209">
        <v>0</v>
      </c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spans="1:37" ht="20.149999999999999" customHeight="1" x14ac:dyDescent="0.45">
      <c r="A79" s="220"/>
      <c r="B79" s="195" t="s">
        <v>203</v>
      </c>
      <c r="C79" s="101"/>
      <c r="D79" s="196"/>
      <c r="E79" s="133">
        <v>0</v>
      </c>
      <c r="F79" s="108">
        <v>0</v>
      </c>
      <c r="G79" s="42">
        <f t="shared" si="26"/>
        <v>0</v>
      </c>
      <c r="H79" s="42">
        <f t="shared" si="27"/>
        <v>0</v>
      </c>
      <c r="I79" s="42">
        <f t="shared" si="28"/>
        <v>0</v>
      </c>
      <c r="J79" s="42">
        <f t="shared" si="25"/>
        <v>0</v>
      </c>
      <c r="K79" s="66"/>
      <c r="L79" s="209">
        <v>0</v>
      </c>
      <c r="M79" s="209">
        <f>L79</f>
        <v>0</v>
      </c>
      <c r="N79" s="209">
        <f>$M$79</f>
        <v>0</v>
      </c>
      <c r="O79" s="209">
        <f t="shared" ref="O79:P85" si="32">N79</f>
        <v>0</v>
      </c>
      <c r="P79" s="209">
        <f t="shared" si="32"/>
        <v>0</v>
      </c>
      <c r="Q79" s="209">
        <v>0</v>
      </c>
      <c r="R79" s="209">
        <v>0</v>
      </c>
      <c r="S79" s="209">
        <v>0</v>
      </c>
      <c r="T79" s="209">
        <v>0</v>
      </c>
      <c r="U79" s="209">
        <v>0</v>
      </c>
      <c r="V79" s="209">
        <v>0</v>
      </c>
      <c r="W79" s="209">
        <v>0</v>
      </c>
      <c r="X79" s="209">
        <v>0</v>
      </c>
      <c r="Y79" s="209">
        <v>0</v>
      </c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spans="1:37" ht="20.149999999999999" customHeight="1" x14ac:dyDescent="0.45">
      <c r="A80" s="220"/>
      <c r="B80" s="195" t="s">
        <v>204</v>
      </c>
      <c r="C80" s="101"/>
      <c r="D80" s="196"/>
      <c r="E80" s="133">
        <v>0</v>
      </c>
      <c r="F80" s="108">
        <v>0</v>
      </c>
      <c r="G80" s="42">
        <f t="shared" si="26"/>
        <v>0</v>
      </c>
      <c r="H80" s="42">
        <f t="shared" si="27"/>
        <v>0</v>
      </c>
      <c r="I80" s="42">
        <f t="shared" si="28"/>
        <v>0</v>
      </c>
      <c r="J80" s="42">
        <f t="shared" si="25"/>
        <v>0</v>
      </c>
      <c r="K80" s="66"/>
      <c r="L80" s="209">
        <v>0</v>
      </c>
      <c r="M80" s="209">
        <f>L80</f>
        <v>0</v>
      </c>
      <c r="N80" s="209">
        <f>M80</f>
        <v>0</v>
      </c>
      <c r="O80" s="209">
        <f t="shared" si="32"/>
        <v>0</v>
      </c>
      <c r="P80" s="209">
        <f t="shared" si="32"/>
        <v>0</v>
      </c>
      <c r="Q80" s="209">
        <v>0</v>
      </c>
      <c r="R80" s="209">
        <v>0</v>
      </c>
      <c r="S80" s="209">
        <v>0</v>
      </c>
      <c r="T80" s="209">
        <v>0</v>
      </c>
      <c r="U80" s="209">
        <v>0</v>
      </c>
      <c r="V80" s="209">
        <v>0</v>
      </c>
      <c r="W80" s="209">
        <v>0</v>
      </c>
      <c r="X80" s="209">
        <v>0</v>
      </c>
      <c r="Y80" s="209">
        <v>0</v>
      </c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spans="1:37" ht="20.149999999999999" customHeight="1" x14ac:dyDescent="0.45">
      <c r="A81" s="220"/>
      <c r="B81" s="195" t="s">
        <v>205</v>
      </c>
      <c r="C81" s="101"/>
      <c r="D81" s="196"/>
      <c r="E81" s="133">
        <v>0</v>
      </c>
      <c r="F81" s="108">
        <v>500</v>
      </c>
      <c r="G81" s="42">
        <f t="shared" si="26"/>
        <v>0</v>
      </c>
      <c r="H81" s="42">
        <f t="shared" si="27"/>
        <v>9035</v>
      </c>
      <c r="I81" s="42">
        <f t="shared" si="28"/>
        <v>0</v>
      </c>
      <c r="J81" s="42">
        <f t="shared" si="25"/>
        <v>0</v>
      </c>
      <c r="K81" s="66"/>
      <c r="L81" s="209">
        <v>0</v>
      </c>
      <c r="M81" s="209">
        <v>0</v>
      </c>
      <c r="N81" s="209">
        <f>I81</f>
        <v>0</v>
      </c>
      <c r="O81" s="209">
        <f t="shared" si="32"/>
        <v>0</v>
      </c>
      <c r="P81" s="209">
        <f t="shared" si="32"/>
        <v>0</v>
      </c>
      <c r="Q81" s="209">
        <v>0</v>
      </c>
      <c r="R81" s="209">
        <v>0</v>
      </c>
      <c r="S81" s="209">
        <v>0</v>
      </c>
      <c r="T81" s="209">
        <v>0</v>
      </c>
      <c r="U81" s="209">
        <v>0</v>
      </c>
      <c r="V81" s="209">
        <v>0</v>
      </c>
      <c r="W81" s="209">
        <v>0</v>
      </c>
      <c r="X81" s="209">
        <v>0</v>
      </c>
      <c r="Y81" s="209">
        <v>0</v>
      </c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spans="1:37" ht="20.149999999999999" customHeight="1" x14ac:dyDescent="0.45">
      <c r="A82" s="220"/>
      <c r="B82" s="195" t="s">
        <v>206</v>
      </c>
      <c r="C82" s="101"/>
      <c r="D82" s="196"/>
      <c r="E82" s="133">
        <v>0</v>
      </c>
      <c r="F82" s="108">
        <v>0</v>
      </c>
      <c r="G82" s="42">
        <f t="shared" si="26"/>
        <v>0</v>
      </c>
      <c r="H82" s="42">
        <f t="shared" si="27"/>
        <v>0</v>
      </c>
      <c r="I82" s="42">
        <f t="shared" si="28"/>
        <v>0</v>
      </c>
      <c r="J82" s="42">
        <f t="shared" si="25"/>
        <v>0</v>
      </c>
      <c r="K82" s="66"/>
      <c r="L82" s="209">
        <v>0</v>
      </c>
      <c r="M82" s="209">
        <f t="shared" ref="M82:N84" si="33">L82</f>
        <v>0</v>
      </c>
      <c r="N82" s="209">
        <f t="shared" si="33"/>
        <v>0</v>
      </c>
      <c r="O82" s="209">
        <f t="shared" si="32"/>
        <v>0</v>
      </c>
      <c r="P82" s="209">
        <f t="shared" si="32"/>
        <v>0</v>
      </c>
      <c r="Q82" s="209">
        <v>0</v>
      </c>
      <c r="R82" s="209">
        <v>0</v>
      </c>
      <c r="S82" s="209">
        <v>0</v>
      </c>
      <c r="T82" s="209">
        <v>0</v>
      </c>
      <c r="U82" s="209">
        <v>0</v>
      </c>
      <c r="V82" s="209">
        <v>0</v>
      </c>
      <c r="W82" s="209">
        <v>0</v>
      </c>
      <c r="X82" s="209">
        <v>0</v>
      </c>
      <c r="Y82" s="209">
        <v>0</v>
      </c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spans="1:37" ht="20.149999999999999" customHeight="1" x14ac:dyDescent="0.45">
      <c r="A83" s="220"/>
      <c r="B83" s="195" t="s">
        <v>207</v>
      </c>
      <c r="C83" s="101"/>
      <c r="D83" s="196"/>
      <c r="E83" s="133">
        <v>0</v>
      </c>
      <c r="F83" s="108">
        <v>0</v>
      </c>
      <c r="G83" s="42">
        <f t="shared" si="26"/>
        <v>0</v>
      </c>
      <c r="H83" s="42">
        <f t="shared" si="27"/>
        <v>0</v>
      </c>
      <c r="I83" s="42">
        <f t="shared" si="28"/>
        <v>0</v>
      </c>
      <c r="J83" s="42">
        <f t="shared" si="25"/>
        <v>0</v>
      </c>
      <c r="K83" s="66"/>
      <c r="L83" s="209">
        <v>0</v>
      </c>
      <c r="M83" s="209">
        <f t="shared" si="33"/>
        <v>0</v>
      </c>
      <c r="N83" s="209">
        <f t="shared" si="33"/>
        <v>0</v>
      </c>
      <c r="O83" s="209">
        <f t="shared" si="32"/>
        <v>0</v>
      </c>
      <c r="P83" s="209">
        <f t="shared" si="32"/>
        <v>0</v>
      </c>
      <c r="Q83" s="209">
        <v>0</v>
      </c>
      <c r="R83" s="209">
        <v>0</v>
      </c>
      <c r="S83" s="209">
        <v>0</v>
      </c>
      <c r="T83" s="209">
        <v>0</v>
      </c>
      <c r="U83" s="209">
        <v>0</v>
      </c>
      <c r="V83" s="209">
        <v>0</v>
      </c>
      <c r="W83" s="209">
        <v>0</v>
      </c>
      <c r="X83" s="209">
        <v>0</v>
      </c>
      <c r="Y83" s="209">
        <v>0</v>
      </c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spans="1:37" ht="20.149999999999999" customHeight="1" x14ac:dyDescent="0.45">
      <c r="A84" s="220"/>
      <c r="B84" s="195" t="s">
        <v>208</v>
      </c>
      <c r="C84" s="101"/>
      <c r="D84" s="196"/>
      <c r="E84" s="133">
        <v>0</v>
      </c>
      <c r="F84" s="108">
        <v>0</v>
      </c>
      <c r="G84" s="42">
        <f t="shared" si="26"/>
        <v>0</v>
      </c>
      <c r="H84" s="42">
        <f t="shared" si="27"/>
        <v>0</v>
      </c>
      <c r="I84" s="42">
        <f t="shared" si="28"/>
        <v>0</v>
      </c>
      <c r="J84" s="42">
        <f t="shared" si="25"/>
        <v>0</v>
      </c>
      <c r="K84" s="66"/>
      <c r="L84" s="209">
        <v>0</v>
      </c>
      <c r="M84" s="209">
        <f t="shared" si="33"/>
        <v>0</v>
      </c>
      <c r="N84" s="209">
        <f t="shared" si="33"/>
        <v>0</v>
      </c>
      <c r="O84" s="209">
        <f t="shared" si="32"/>
        <v>0</v>
      </c>
      <c r="P84" s="209">
        <f t="shared" si="32"/>
        <v>0</v>
      </c>
      <c r="Q84" s="209">
        <v>0</v>
      </c>
      <c r="R84" s="209">
        <v>0</v>
      </c>
      <c r="S84" s="209">
        <v>0</v>
      </c>
      <c r="T84" s="209">
        <v>0</v>
      </c>
      <c r="U84" s="209">
        <v>0</v>
      </c>
      <c r="V84" s="209">
        <v>0</v>
      </c>
      <c r="W84" s="209">
        <v>0</v>
      </c>
      <c r="X84" s="209">
        <v>0</v>
      </c>
      <c r="Y84" s="209">
        <v>0</v>
      </c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spans="1:37" ht="20.149999999999999" customHeight="1" x14ac:dyDescent="0.45">
      <c r="A85" s="220"/>
      <c r="B85" s="195" t="s">
        <v>209</v>
      </c>
      <c r="C85" s="101"/>
      <c r="D85" s="196"/>
      <c r="E85" s="133">
        <v>0</v>
      </c>
      <c r="F85" s="108">
        <v>3600</v>
      </c>
      <c r="G85" s="42">
        <f t="shared" si="26"/>
        <v>0</v>
      </c>
      <c r="H85" s="42">
        <f t="shared" si="27"/>
        <v>65052</v>
      </c>
      <c r="I85" s="42">
        <f t="shared" si="28"/>
        <v>0</v>
      </c>
      <c r="J85" s="42">
        <f t="shared" si="25"/>
        <v>0</v>
      </c>
      <c r="K85" s="66"/>
      <c r="L85" s="209">
        <v>0</v>
      </c>
      <c r="M85" s="209">
        <f>L85</f>
        <v>0</v>
      </c>
      <c r="N85" s="209">
        <f>$I$85</f>
        <v>0</v>
      </c>
      <c r="O85" s="209">
        <f t="shared" si="32"/>
        <v>0</v>
      </c>
      <c r="P85" s="209">
        <f t="shared" si="32"/>
        <v>0</v>
      </c>
      <c r="Q85" s="209">
        <v>0</v>
      </c>
      <c r="R85" s="209">
        <v>0</v>
      </c>
      <c r="S85" s="209">
        <v>0</v>
      </c>
      <c r="T85" s="209">
        <v>0</v>
      </c>
      <c r="U85" s="209">
        <v>0</v>
      </c>
      <c r="V85" s="209">
        <v>0</v>
      </c>
      <c r="W85" s="209">
        <v>0</v>
      </c>
      <c r="X85" s="209">
        <v>0</v>
      </c>
      <c r="Y85" s="209">
        <v>0</v>
      </c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spans="1:37" ht="20.149999999999999" customHeight="1" x14ac:dyDescent="0.45">
      <c r="A86" s="220"/>
      <c r="B86" s="195" t="s">
        <v>210</v>
      </c>
      <c r="C86" s="101" t="s">
        <v>481</v>
      </c>
      <c r="D86" s="196"/>
      <c r="E86" s="133">
        <v>1</v>
      </c>
      <c r="F86" s="108">
        <v>943.84</v>
      </c>
      <c r="G86" s="42">
        <f t="shared" si="26"/>
        <v>943.84</v>
      </c>
      <c r="H86" s="42">
        <f t="shared" ref="H86:H115" si="34">F86*$C$200</f>
        <v>17055.1888</v>
      </c>
      <c r="I86" s="42">
        <f t="shared" si="28"/>
        <v>17055.1888</v>
      </c>
      <c r="J86" s="42">
        <f t="shared" si="25"/>
        <v>19784.019007999999</v>
      </c>
      <c r="K86" s="66"/>
      <c r="L86" s="209">
        <f>I86</f>
        <v>17055.1888</v>
      </c>
      <c r="M86" s="209">
        <f>I86</f>
        <v>17055.1888</v>
      </c>
      <c r="N86" s="209">
        <v>0</v>
      </c>
      <c r="O86" s="209">
        <v>0</v>
      </c>
      <c r="P86" s="209">
        <v>0</v>
      </c>
      <c r="Q86" s="209">
        <v>0</v>
      </c>
      <c r="R86" s="209">
        <v>0</v>
      </c>
      <c r="S86" s="209">
        <v>0</v>
      </c>
      <c r="T86" s="209">
        <v>0</v>
      </c>
      <c r="U86" s="209">
        <v>0</v>
      </c>
      <c r="V86" s="209">
        <v>0</v>
      </c>
      <c r="W86" s="209">
        <v>0</v>
      </c>
      <c r="X86" s="209">
        <v>0</v>
      </c>
      <c r="Y86" s="209">
        <v>0</v>
      </c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spans="1:37" ht="20.149999999999999" customHeight="1" x14ac:dyDescent="0.45">
      <c r="A87" s="220"/>
      <c r="B87" s="195" t="s">
        <v>211</v>
      </c>
      <c r="C87" s="101"/>
      <c r="D87" s="196"/>
      <c r="E87" s="133">
        <v>0</v>
      </c>
      <c r="F87" s="108">
        <v>85800</v>
      </c>
      <c r="G87" s="42">
        <f t="shared" si="26"/>
        <v>0</v>
      </c>
      <c r="H87" s="42">
        <f t="shared" si="34"/>
        <v>1550406</v>
      </c>
      <c r="I87" s="42">
        <f t="shared" si="28"/>
        <v>0</v>
      </c>
      <c r="J87" s="42">
        <f t="shared" si="25"/>
        <v>0</v>
      </c>
      <c r="K87" s="66"/>
      <c r="L87" s="209">
        <v>0</v>
      </c>
      <c r="M87" s="209">
        <f>I87</f>
        <v>0</v>
      </c>
      <c r="N87" s="209">
        <f>I87</f>
        <v>0</v>
      </c>
      <c r="O87" s="209">
        <f>N87</f>
        <v>0</v>
      </c>
      <c r="P87" s="209">
        <f>I87</f>
        <v>0</v>
      </c>
      <c r="Q87" s="209">
        <v>0</v>
      </c>
      <c r="R87" s="209">
        <v>0</v>
      </c>
      <c r="S87" s="209">
        <v>0</v>
      </c>
      <c r="T87" s="209">
        <v>0</v>
      </c>
      <c r="U87" s="209">
        <v>0</v>
      </c>
      <c r="V87" s="209">
        <v>0</v>
      </c>
      <c r="W87" s="209">
        <v>0</v>
      </c>
      <c r="X87" s="209">
        <v>0</v>
      </c>
      <c r="Y87" s="209">
        <v>0</v>
      </c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spans="1:37" ht="20.149999999999999" customHeight="1" x14ac:dyDescent="0.45">
      <c r="A88" s="220"/>
      <c r="B88" s="195" t="s">
        <v>212</v>
      </c>
      <c r="C88" s="101" t="s">
        <v>325</v>
      </c>
      <c r="D88" s="196"/>
      <c r="E88" s="133">
        <v>0</v>
      </c>
      <c r="F88" s="108">
        <v>1493.35</v>
      </c>
      <c r="G88" s="42">
        <f t="shared" si="26"/>
        <v>0</v>
      </c>
      <c r="H88" s="42">
        <f t="shared" si="34"/>
        <v>26984.834499999997</v>
      </c>
      <c r="I88" s="42">
        <f t="shared" si="28"/>
        <v>0</v>
      </c>
      <c r="J88" s="42">
        <f t="shared" si="25"/>
        <v>0</v>
      </c>
      <c r="K88" s="66"/>
      <c r="L88" s="209">
        <v>0</v>
      </c>
      <c r="M88" s="209">
        <f>I88</f>
        <v>0</v>
      </c>
      <c r="N88" s="209">
        <f>I88</f>
        <v>0</v>
      </c>
      <c r="O88" s="209">
        <f>N88</f>
        <v>0</v>
      </c>
      <c r="P88" s="209">
        <f>O88</f>
        <v>0</v>
      </c>
      <c r="Q88" s="209">
        <v>0</v>
      </c>
      <c r="R88" s="209">
        <v>0</v>
      </c>
      <c r="S88" s="209">
        <v>0</v>
      </c>
      <c r="T88" s="209">
        <v>0</v>
      </c>
      <c r="U88" s="209">
        <v>0</v>
      </c>
      <c r="V88" s="209">
        <v>0</v>
      </c>
      <c r="W88" s="209">
        <v>0</v>
      </c>
      <c r="X88" s="209">
        <v>0</v>
      </c>
      <c r="Y88" s="209">
        <v>0</v>
      </c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spans="1:37" ht="20.149999999999999" customHeight="1" x14ac:dyDescent="0.45">
      <c r="A89" s="220"/>
      <c r="B89" s="195" t="s">
        <v>213</v>
      </c>
      <c r="C89" s="101"/>
      <c r="D89" s="196"/>
      <c r="E89" s="133">
        <v>0</v>
      </c>
      <c r="F89" s="108">
        <v>0</v>
      </c>
      <c r="G89" s="42">
        <f t="shared" ref="G89:G115" si="35">E89*F89</f>
        <v>0</v>
      </c>
      <c r="H89" s="42">
        <f t="shared" si="34"/>
        <v>0</v>
      </c>
      <c r="I89" s="42">
        <f t="shared" ref="I89:I115" si="36">(E89*H89)</f>
        <v>0</v>
      </c>
      <c r="J89" s="42">
        <f t="shared" si="25"/>
        <v>0</v>
      </c>
      <c r="K89" s="66"/>
      <c r="L89" s="209">
        <v>0</v>
      </c>
      <c r="M89" s="209">
        <f>L89</f>
        <v>0</v>
      </c>
      <c r="N89" s="209">
        <f>M89</f>
        <v>0</v>
      </c>
      <c r="O89" s="209">
        <f>N89</f>
        <v>0</v>
      </c>
      <c r="P89" s="209">
        <f>O89</f>
        <v>0</v>
      </c>
      <c r="Q89" s="209">
        <v>0</v>
      </c>
      <c r="R89" s="209">
        <v>0</v>
      </c>
      <c r="S89" s="209">
        <v>0</v>
      </c>
      <c r="T89" s="209">
        <v>0</v>
      </c>
      <c r="U89" s="209">
        <v>0</v>
      </c>
      <c r="V89" s="209">
        <v>0</v>
      </c>
      <c r="W89" s="209">
        <v>0</v>
      </c>
      <c r="X89" s="209">
        <v>0</v>
      </c>
      <c r="Y89" s="209">
        <v>0</v>
      </c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spans="1:37" ht="20.149999999999999" customHeight="1" x14ac:dyDescent="0.45">
      <c r="A90" s="220"/>
      <c r="B90" s="195" t="s">
        <v>214</v>
      </c>
      <c r="C90" s="101"/>
      <c r="D90" s="196"/>
      <c r="E90" s="133">
        <v>0</v>
      </c>
      <c r="F90" s="108">
        <v>0</v>
      </c>
      <c r="G90" s="42">
        <f t="shared" si="35"/>
        <v>0</v>
      </c>
      <c r="H90" s="42">
        <f t="shared" si="34"/>
        <v>0</v>
      </c>
      <c r="I90" s="42">
        <f t="shared" si="36"/>
        <v>0</v>
      </c>
      <c r="J90" s="42">
        <f t="shared" si="25"/>
        <v>0</v>
      </c>
      <c r="K90" s="66"/>
      <c r="L90" s="209">
        <v>0</v>
      </c>
      <c r="M90" s="209">
        <f>L90</f>
        <v>0</v>
      </c>
      <c r="N90" s="209">
        <f>M90</f>
        <v>0</v>
      </c>
      <c r="O90" s="209">
        <f>N90</f>
        <v>0</v>
      </c>
      <c r="P90" s="209">
        <f>O90</f>
        <v>0</v>
      </c>
      <c r="Q90" s="209">
        <v>0</v>
      </c>
      <c r="R90" s="209">
        <v>0</v>
      </c>
      <c r="S90" s="209">
        <v>0</v>
      </c>
      <c r="T90" s="209">
        <v>0</v>
      </c>
      <c r="U90" s="209">
        <v>0</v>
      </c>
      <c r="V90" s="209">
        <v>0</v>
      </c>
      <c r="W90" s="209">
        <v>0</v>
      </c>
      <c r="X90" s="209">
        <v>0</v>
      </c>
      <c r="Y90" s="209">
        <v>0</v>
      </c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spans="1:37" ht="20.149999999999999" customHeight="1" x14ac:dyDescent="0.45">
      <c r="A91" s="220"/>
      <c r="B91" s="195" t="s">
        <v>215</v>
      </c>
      <c r="C91" s="101" t="s">
        <v>333</v>
      </c>
      <c r="D91" s="196"/>
      <c r="E91" s="133">
        <v>0</v>
      </c>
      <c r="F91" s="108">
        <v>276.70171555063644</v>
      </c>
      <c r="G91" s="42">
        <f t="shared" si="35"/>
        <v>0</v>
      </c>
      <c r="H91" s="42">
        <f t="shared" si="34"/>
        <v>5000.0000000000009</v>
      </c>
      <c r="I91" s="42">
        <f t="shared" si="36"/>
        <v>0</v>
      </c>
      <c r="J91" s="42">
        <f t="shared" si="25"/>
        <v>0</v>
      </c>
      <c r="K91" s="66"/>
      <c r="L91" s="209">
        <v>0</v>
      </c>
      <c r="M91" s="209">
        <f t="shared" ref="M91:M97" si="37">L91</f>
        <v>0</v>
      </c>
      <c r="N91" s="209">
        <v>0</v>
      </c>
      <c r="O91" s="209">
        <f>I91</f>
        <v>0</v>
      </c>
      <c r="P91" s="209">
        <v>0</v>
      </c>
      <c r="Q91" s="209">
        <v>0</v>
      </c>
      <c r="R91" s="209">
        <v>0</v>
      </c>
      <c r="S91" s="209">
        <v>0</v>
      </c>
      <c r="T91" s="209">
        <v>0</v>
      </c>
      <c r="U91" s="209">
        <v>0</v>
      </c>
      <c r="V91" s="209">
        <v>0</v>
      </c>
      <c r="W91" s="209">
        <v>0</v>
      </c>
      <c r="X91" s="209">
        <v>0</v>
      </c>
      <c r="Y91" s="209">
        <v>0</v>
      </c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spans="1:37" ht="20.149999999999999" customHeight="1" x14ac:dyDescent="0.45">
      <c r="A92" s="220"/>
      <c r="B92" s="195" t="s">
        <v>216</v>
      </c>
      <c r="C92" s="101" t="s">
        <v>442</v>
      </c>
      <c r="D92" s="196"/>
      <c r="E92" s="133">
        <v>0</v>
      </c>
      <c r="F92" s="108">
        <v>1000</v>
      </c>
      <c r="G92" s="42">
        <f t="shared" si="35"/>
        <v>0</v>
      </c>
      <c r="H92" s="42">
        <f t="shared" si="34"/>
        <v>18070</v>
      </c>
      <c r="I92" s="42">
        <f t="shared" si="36"/>
        <v>0</v>
      </c>
      <c r="J92" s="42">
        <f t="shared" si="25"/>
        <v>0</v>
      </c>
      <c r="K92" s="66"/>
      <c r="L92" s="209">
        <v>0</v>
      </c>
      <c r="M92" s="209">
        <f t="shared" si="37"/>
        <v>0</v>
      </c>
      <c r="N92" s="209">
        <f>I92</f>
        <v>0</v>
      </c>
      <c r="O92" s="209">
        <v>0</v>
      </c>
      <c r="P92" s="209">
        <f t="shared" ref="P92:P104" si="38">O92</f>
        <v>0</v>
      </c>
      <c r="Q92" s="209">
        <v>0</v>
      </c>
      <c r="R92" s="209">
        <v>0</v>
      </c>
      <c r="S92" s="209">
        <v>0</v>
      </c>
      <c r="T92" s="209">
        <v>0</v>
      </c>
      <c r="U92" s="209">
        <v>0</v>
      </c>
      <c r="V92" s="209">
        <v>0</v>
      </c>
      <c r="W92" s="209">
        <v>0</v>
      </c>
      <c r="X92" s="209">
        <v>0</v>
      </c>
      <c r="Y92" s="209">
        <v>0</v>
      </c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spans="1:37" ht="20.149999999999999" customHeight="1" x14ac:dyDescent="0.45">
      <c r="A93" s="220"/>
      <c r="B93" s="195" t="s">
        <v>281</v>
      </c>
      <c r="C93" s="101"/>
      <c r="D93" s="196"/>
      <c r="E93" s="133">
        <v>0</v>
      </c>
      <c r="F93" s="108">
        <v>0</v>
      </c>
      <c r="G93" s="42">
        <f t="shared" si="35"/>
        <v>0</v>
      </c>
      <c r="H93" s="42">
        <f t="shared" si="34"/>
        <v>0</v>
      </c>
      <c r="I93" s="42">
        <f t="shared" si="36"/>
        <v>0</v>
      </c>
      <c r="J93" s="42">
        <f t="shared" si="25"/>
        <v>0</v>
      </c>
      <c r="K93" s="66"/>
      <c r="L93" s="209">
        <v>0</v>
      </c>
      <c r="M93" s="209">
        <f t="shared" si="37"/>
        <v>0</v>
      </c>
      <c r="N93" s="209">
        <f>M93</f>
        <v>0</v>
      </c>
      <c r="O93" s="209">
        <f>N93</f>
        <v>0</v>
      </c>
      <c r="P93" s="209">
        <f t="shared" si="38"/>
        <v>0</v>
      </c>
      <c r="Q93" s="209">
        <v>0</v>
      </c>
      <c r="R93" s="209">
        <v>0</v>
      </c>
      <c r="S93" s="209">
        <v>0</v>
      </c>
      <c r="T93" s="209">
        <v>0</v>
      </c>
      <c r="U93" s="209">
        <v>0</v>
      </c>
      <c r="V93" s="209">
        <v>0</v>
      </c>
      <c r="W93" s="209">
        <v>0</v>
      </c>
      <c r="X93" s="209">
        <v>0</v>
      </c>
      <c r="Y93" s="209">
        <v>0</v>
      </c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spans="1:37" ht="20.149999999999999" customHeight="1" x14ac:dyDescent="0.45">
      <c r="A94" s="220"/>
      <c r="B94" s="195" t="s">
        <v>218</v>
      </c>
      <c r="C94" s="101"/>
      <c r="D94" s="196"/>
      <c r="E94" s="133">
        <v>0</v>
      </c>
      <c r="F94" s="108">
        <v>0</v>
      </c>
      <c r="G94" s="42">
        <f t="shared" si="35"/>
        <v>0</v>
      </c>
      <c r="H94" s="42">
        <f t="shared" si="34"/>
        <v>0</v>
      </c>
      <c r="I94" s="42">
        <f t="shared" si="36"/>
        <v>0</v>
      </c>
      <c r="J94" s="42">
        <f t="shared" si="25"/>
        <v>0</v>
      </c>
      <c r="K94" s="66"/>
      <c r="L94" s="209">
        <v>0</v>
      </c>
      <c r="M94" s="209">
        <f t="shared" si="37"/>
        <v>0</v>
      </c>
      <c r="N94" s="209">
        <f>M94</f>
        <v>0</v>
      </c>
      <c r="O94" s="209">
        <f>N94</f>
        <v>0</v>
      </c>
      <c r="P94" s="209">
        <f t="shared" si="38"/>
        <v>0</v>
      </c>
      <c r="Q94" s="209">
        <v>0</v>
      </c>
      <c r="R94" s="209">
        <v>0</v>
      </c>
      <c r="S94" s="209">
        <v>0</v>
      </c>
      <c r="T94" s="209">
        <v>0</v>
      </c>
      <c r="U94" s="209">
        <v>0</v>
      </c>
      <c r="V94" s="209">
        <v>0</v>
      </c>
      <c r="W94" s="209">
        <v>0</v>
      </c>
      <c r="X94" s="209">
        <v>0</v>
      </c>
      <c r="Y94" s="209">
        <v>0</v>
      </c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spans="1:37" ht="20.149999999999999" customHeight="1" x14ac:dyDescent="0.45">
      <c r="A95" s="220"/>
      <c r="B95" s="195" t="s">
        <v>219</v>
      </c>
      <c r="C95" s="101" t="s">
        <v>326</v>
      </c>
      <c r="D95" s="196"/>
      <c r="E95" s="133">
        <v>0</v>
      </c>
      <c r="F95" s="108">
        <v>600</v>
      </c>
      <c r="G95" s="42">
        <f t="shared" si="35"/>
        <v>0</v>
      </c>
      <c r="H95" s="42">
        <f t="shared" si="34"/>
        <v>10842</v>
      </c>
      <c r="I95" s="42">
        <f t="shared" si="36"/>
        <v>0</v>
      </c>
      <c r="J95" s="42">
        <f t="shared" si="25"/>
        <v>0</v>
      </c>
      <c r="K95" s="66"/>
      <c r="L95" s="209">
        <v>0</v>
      </c>
      <c r="M95" s="209">
        <f t="shared" si="37"/>
        <v>0</v>
      </c>
      <c r="N95" s="209">
        <f>I95</f>
        <v>0</v>
      </c>
      <c r="O95" s="209">
        <f t="shared" ref="O95:O104" si="39">N95</f>
        <v>0</v>
      </c>
      <c r="P95" s="209">
        <f t="shared" si="38"/>
        <v>0</v>
      </c>
      <c r="Q95" s="209">
        <v>0</v>
      </c>
      <c r="R95" s="209">
        <v>0</v>
      </c>
      <c r="S95" s="209">
        <v>0</v>
      </c>
      <c r="T95" s="209">
        <v>0</v>
      </c>
      <c r="U95" s="209">
        <v>0</v>
      </c>
      <c r="V95" s="209">
        <v>0</v>
      </c>
      <c r="W95" s="209">
        <v>0</v>
      </c>
      <c r="X95" s="209">
        <v>0</v>
      </c>
      <c r="Y95" s="209">
        <v>0</v>
      </c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spans="1:37" ht="20.149999999999999" customHeight="1" x14ac:dyDescent="0.45">
      <c r="A96" s="220"/>
      <c r="B96" s="195" t="s">
        <v>220</v>
      </c>
      <c r="C96" s="101"/>
      <c r="D96" s="196"/>
      <c r="E96" s="133">
        <v>0</v>
      </c>
      <c r="F96" s="108">
        <v>2767.0171555063639</v>
      </c>
      <c r="G96" s="42">
        <f t="shared" si="35"/>
        <v>0</v>
      </c>
      <c r="H96" s="42">
        <f t="shared" si="34"/>
        <v>50000</v>
      </c>
      <c r="I96" s="42">
        <f t="shared" si="36"/>
        <v>0</v>
      </c>
      <c r="J96" s="42">
        <f t="shared" si="25"/>
        <v>0</v>
      </c>
      <c r="K96" s="66"/>
      <c r="L96" s="209">
        <v>0</v>
      </c>
      <c r="M96" s="209">
        <f t="shared" si="37"/>
        <v>0</v>
      </c>
      <c r="N96" s="209">
        <f>M96</f>
        <v>0</v>
      </c>
      <c r="O96" s="209">
        <f t="shared" si="39"/>
        <v>0</v>
      </c>
      <c r="P96" s="209">
        <f t="shared" si="38"/>
        <v>0</v>
      </c>
      <c r="Q96" s="209">
        <v>0</v>
      </c>
      <c r="R96" s="209">
        <v>0</v>
      </c>
      <c r="S96" s="209">
        <v>0</v>
      </c>
      <c r="T96" s="209">
        <v>0</v>
      </c>
      <c r="U96" s="209">
        <v>0</v>
      </c>
      <c r="V96" s="209">
        <v>0</v>
      </c>
      <c r="W96" s="209">
        <v>0</v>
      </c>
      <c r="X96" s="209">
        <v>0</v>
      </c>
      <c r="Y96" s="209">
        <v>0</v>
      </c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spans="1:37" ht="20.149999999999999" customHeight="1" x14ac:dyDescent="0.45">
      <c r="A97" s="220"/>
      <c r="B97" s="195" t="s">
        <v>221</v>
      </c>
      <c r="C97" s="101"/>
      <c r="D97" s="196"/>
      <c r="E97" s="133">
        <v>0</v>
      </c>
      <c r="F97" s="108">
        <v>0</v>
      </c>
      <c r="G97" s="42">
        <f t="shared" si="35"/>
        <v>0</v>
      </c>
      <c r="H97" s="42">
        <f t="shared" si="34"/>
        <v>0</v>
      </c>
      <c r="I97" s="42">
        <f t="shared" si="36"/>
        <v>0</v>
      </c>
      <c r="J97" s="42">
        <f t="shared" si="25"/>
        <v>0</v>
      </c>
      <c r="K97" s="66"/>
      <c r="L97" s="209">
        <v>0</v>
      </c>
      <c r="M97" s="209">
        <f t="shared" si="37"/>
        <v>0</v>
      </c>
      <c r="N97" s="209">
        <f>M97</f>
        <v>0</v>
      </c>
      <c r="O97" s="209">
        <f t="shared" si="39"/>
        <v>0</v>
      </c>
      <c r="P97" s="209">
        <f t="shared" si="38"/>
        <v>0</v>
      </c>
      <c r="Q97" s="209">
        <v>0</v>
      </c>
      <c r="R97" s="209">
        <v>0</v>
      </c>
      <c r="S97" s="209">
        <v>0</v>
      </c>
      <c r="T97" s="209">
        <v>0</v>
      </c>
      <c r="U97" s="209">
        <v>0</v>
      </c>
      <c r="V97" s="209">
        <v>0</v>
      </c>
      <c r="W97" s="209">
        <v>0</v>
      </c>
      <c r="X97" s="209">
        <v>0</v>
      </c>
      <c r="Y97" s="209">
        <v>0</v>
      </c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spans="1:37" ht="20.149999999999999" customHeight="1" x14ac:dyDescent="0.45">
      <c r="A98" s="220"/>
      <c r="B98" s="195" t="s">
        <v>222</v>
      </c>
      <c r="C98" s="101" t="s">
        <v>313</v>
      </c>
      <c r="D98" s="196"/>
      <c r="E98" s="133">
        <v>0</v>
      </c>
      <c r="F98" s="108">
        <v>5.5340343110127286</v>
      </c>
      <c r="G98" s="42">
        <f t="shared" si="35"/>
        <v>0</v>
      </c>
      <c r="H98" s="42">
        <f t="shared" si="34"/>
        <v>100</v>
      </c>
      <c r="I98" s="42">
        <f t="shared" si="36"/>
        <v>0</v>
      </c>
      <c r="J98" s="42">
        <f t="shared" si="25"/>
        <v>0</v>
      </c>
      <c r="K98" s="66"/>
      <c r="L98" s="209">
        <f>I98</f>
        <v>0</v>
      </c>
      <c r="M98" s="209">
        <f>I98</f>
        <v>0</v>
      </c>
      <c r="N98" s="209">
        <v>0</v>
      </c>
      <c r="O98" s="209">
        <f t="shared" si="39"/>
        <v>0</v>
      </c>
      <c r="P98" s="209">
        <f t="shared" si="38"/>
        <v>0</v>
      </c>
      <c r="Q98" s="209">
        <v>0</v>
      </c>
      <c r="R98" s="209">
        <v>0</v>
      </c>
      <c r="S98" s="209">
        <v>0</v>
      </c>
      <c r="T98" s="209">
        <v>0</v>
      </c>
      <c r="U98" s="209">
        <v>0</v>
      </c>
      <c r="V98" s="209">
        <v>0</v>
      </c>
      <c r="W98" s="209">
        <v>0</v>
      </c>
      <c r="X98" s="209">
        <v>0</v>
      </c>
      <c r="Y98" s="209">
        <v>0</v>
      </c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spans="1:37" ht="20.149999999999999" customHeight="1" x14ac:dyDescent="0.45">
      <c r="A99" s="220"/>
      <c r="B99" s="195" t="s">
        <v>223</v>
      </c>
      <c r="C99" s="101"/>
      <c r="D99" s="196"/>
      <c r="E99" s="133">
        <v>0</v>
      </c>
      <c r="F99" s="108">
        <v>800</v>
      </c>
      <c r="G99" s="42">
        <f t="shared" si="35"/>
        <v>0</v>
      </c>
      <c r="H99" s="42">
        <f t="shared" si="34"/>
        <v>14456</v>
      </c>
      <c r="I99" s="42">
        <f t="shared" si="36"/>
        <v>0</v>
      </c>
      <c r="J99" s="42">
        <f t="shared" si="25"/>
        <v>0</v>
      </c>
      <c r="K99" s="66"/>
      <c r="L99" s="209">
        <v>0</v>
      </c>
      <c r="M99" s="209">
        <f t="shared" ref="M99:M104" si="40">L99</f>
        <v>0</v>
      </c>
      <c r="N99" s="209">
        <f>I99</f>
        <v>0</v>
      </c>
      <c r="O99" s="209">
        <f t="shared" si="39"/>
        <v>0</v>
      </c>
      <c r="P99" s="209">
        <f t="shared" si="38"/>
        <v>0</v>
      </c>
      <c r="Q99" s="209">
        <v>0</v>
      </c>
      <c r="R99" s="209">
        <v>0</v>
      </c>
      <c r="S99" s="209">
        <v>0</v>
      </c>
      <c r="T99" s="209">
        <v>0</v>
      </c>
      <c r="U99" s="209">
        <v>0</v>
      </c>
      <c r="V99" s="209">
        <v>0</v>
      </c>
      <c r="W99" s="209">
        <v>0</v>
      </c>
      <c r="X99" s="209">
        <v>0</v>
      </c>
      <c r="Y99" s="209">
        <v>0</v>
      </c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spans="1:37" ht="20.149999999999999" customHeight="1" x14ac:dyDescent="0.45">
      <c r="A100" s="220"/>
      <c r="B100" s="195" t="s">
        <v>224</v>
      </c>
      <c r="C100" s="101"/>
      <c r="D100" s="196"/>
      <c r="E100" s="133">
        <v>0</v>
      </c>
      <c r="F100" s="108">
        <v>0</v>
      </c>
      <c r="G100" s="42">
        <f t="shared" si="35"/>
        <v>0</v>
      </c>
      <c r="H100" s="42">
        <f t="shared" si="34"/>
        <v>0</v>
      </c>
      <c r="I100" s="42">
        <f t="shared" si="36"/>
        <v>0</v>
      </c>
      <c r="J100" s="42">
        <f t="shared" si="25"/>
        <v>0</v>
      </c>
      <c r="K100" s="66"/>
      <c r="L100" s="209">
        <v>0</v>
      </c>
      <c r="M100" s="209">
        <f t="shared" si="40"/>
        <v>0</v>
      </c>
      <c r="N100" s="209">
        <f>M100</f>
        <v>0</v>
      </c>
      <c r="O100" s="209">
        <f t="shared" si="39"/>
        <v>0</v>
      </c>
      <c r="P100" s="209">
        <f t="shared" si="38"/>
        <v>0</v>
      </c>
      <c r="Q100" s="209">
        <v>0</v>
      </c>
      <c r="R100" s="209">
        <v>0</v>
      </c>
      <c r="S100" s="209">
        <v>0</v>
      </c>
      <c r="T100" s="209">
        <v>0</v>
      </c>
      <c r="U100" s="209">
        <v>0</v>
      </c>
      <c r="V100" s="209">
        <v>0</v>
      </c>
      <c r="W100" s="209">
        <v>0</v>
      </c>
      <c r="X100" s="209">
        <v>0</v>
      </c>
      <c r="Y100" s="209">
        <v>0</v>
      </c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spans="1:37" ht="20.149999999999999" customHeight="1" x14ac:dyDescent="0.45">
      <c r="A101" s="220"/>
      <c r="B101" s="195" t="s">
        <v>225</v>
      </c>
      <c r="C101" s="101"/>
      <c r="D101" s="196"/>
      <c r="E101" s="133">
        <v>0</v>
      </c>
      <c r="F101" s="108">
        <v>0</v>
      </c>
      <c r="G101" s="42">
        <f t="shared" si="35"/>
        <v>0</v>
      </c>
      <c r="H101" s="42">
        <f t="shared" si="34"/>
        <v>0</v>
      </c>
      <c r="I101" s="42">
        <f t="shared" si="36"/>
        <v>0</v>
      </c>
      <c r="J101" s="42">
        <f t="shared" si="25"/>
        <v>0</v>
      </c>
      <c r="K101" s="66"/>
      <c r="L101" s="209">
        <v>0</v>
      </c>
      <c r="M101" s="209">
        <f t="shared" si="40"/>
        <v>0</v>
      </c>
      <c r="N101" s="209">
        <f>M101</f>
        <v>0</v>
      </c>
      <c r="O101" s="209">
        <f t="shared" si="39"/>
        <v>0</v>
      </c>
      <c r="P101" s="209">
        <f t="shared" si="38"/>
        <v>0</v>
      </c>
      <c r="Q101" s="209">
        <v>0</v>
      </c>
      <c r="R101" s="209">
        <v>0</v>
      </c>
      <c r="S101" s="209">
        <v>0</v>
      </c>
      <c r="T101" s="209">
        <v>0</v>
      </c>
      <c r="U101" s="209">
        <v>0</v>
      </c>
      <c r="V101" s="209">
        <v>0</v>
      </c>
      <c r="W101" s="209">
        <v>0</v>
      </c>
      <c r="X101" s="209">
        <v>0</v>
      </c>
      <c r="Y101" s="209">
        <v>0</v>
      </c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spans="1:37" ht="20.149999999999999" customHeight="1" x14ac:dyDescent="0.45">
      <c r="A102" s="220"/>
      <c r="B102" s="195" t="s">
        <v>226</v>
      </c>
      <c r="C102" s="101"/>
      <c r="D102" s="196"/>
      <c r="E102" s="133">
        <v>0</v>
      </c>
      <c r="F102" s="108">
        <v>0</v>
      </c>
      <c r="G102" s="42">
        <f t="shared" si="35"/>
        <v>0</v>
      </c>
      <c r="H102" s="42">
        <f t="shared" si="34"/>
        <v>0</v>
      </c>
      <c r="I102" s="42">
        <f t="shared" si="36"/>
        <v>0</v>
      </c>
      <c r="J102" s="42">
        <f t="shared" si="25"/>
        <v>0</v>
      </c>
      <c r="K102" s="66"/>
      <c r="L102" s="209">
        <v>0</v>
      </c>
      <c r="M102" s="209">
        <f t="shared" si="40"/>
        <v>0</v>
      </c>
      <c r="N102" s="209">
        <f>M102</f>
        <v>0</v>
      </c>
      <c r="O102" s="209">
        <f t="shared" si="39"/>
        <v>0</v>
      </c>
      <c r="P102" s="209">
        <f t="shared" si="38"/>
        <v>0</v>
      </c>
      <c r="Q102" s="209">
        <v>0</v>
      </c>
      <c r="R102" s="209">
        <v>0</v>
      </c>
      <c r="S102" s="209">
        <v>0</v>
      </c>
      <c r="T102" s="209">
        <v>0</v>
      </c>
      <c r="U102" s="209">
        <v>0</v>
      </c>
      <c r="V102" s="209">
        <v>0</v>
      </c>
      <c r="W102" s="209">
        <v>0</v>
      </c>
      <c r="X102" s="209">
        <v>0</v>
      </c>
      <c r="Y102" s="209">
        <v>0</v>
      </c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spans="1:37" ht="20.149999999999999" customHeight="1" x14ac:dyDescent="0.45">
      <c r="A103" s="220"/>
      <c r="B103" s="195" t="s">
        <v>227</v>
      </c>
      <c r="C103" s="101"/>
      <c r="D103" s="196"/>
      <c r="E103" s="133">
        <v>0</v>
      </c>
      <c r="F103" s="108">
        <v>0</v>
      </c>
      <c r="G103" s="42">
        <f t="shared" si="35"/>
        <v>0</v>
      </c>
      <c r="H103" s="42">
        <f t="shared" si="34"/>
        <v>0</v>
      </c>
      <c r="I103" s="42">
        <f t="shared" si="36"/>
        <v>0</v>
      </c>
      <c r="J103" s="42">
        <f t="shared" si="25"/>
        <v>0</v>
      </c>
      <c r="K103" s="66"/>
      <c r="L103" s="209">
        <v>0</v>
      </c>
      <c r="M103" s="209">
        <f t="shared" si="40"/>
        <v>0</v>
      </c>
      <c r="N103" s="209">
        <f>M103</f>
        <v>0</v>
      </c>
      <c r="O103" s="209">
        <f t="shared" si="39"/>
        <v>0</v>
      </c>
      <c r="P103" s="209">
        <f t="shared" si="38"/>
        <v>0</v>
      </c>
      <c r="Q103" s="209">
        <v>0</v>
      </c>
      <c r="R103" s="209">
        <v>0</v>
      </c>
      <c r="S103" s="209">
        <v>0</v>
      </c>
      <c r="T103" s="209">
        <v>0</v>
      </c>
      <c r="U103" s="209">
        <v>0</v>
      </c>
      <c r="V103" s="209">
        <v>0</v>
      </c>
      <c r="W103" s="209">
        <v>0</v>
      </c>
      <c r="X103" s="209">
        <v>0</v>
      </c>
      <c r="Y103" s="209">
        <v>0</v>
      </c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1:37" ht="20.149999999999999" customHeight="1" x14ac:dyDescent="0.45">
      <c r="A104" s="220"/>
      <c r="B104" s="195" t="s">
        <v>228</v>
      </c>
      <c r="C104" s="101"/>
      <c r="D104" s="196"/>
      <c r="E104" s="133">
        <v>0</v>
      </c>
      <c r="F104" s="108">
        <v>0</v>
      </c>
      <c r="G104" s="42">
        <f t="shared" si="35"/>
        <v>0</v>
      </c>
      <c r="H104" s="42">
        <f t="shared" si="34"/>
        <v>0</v>
      </c>
      <c r="I104" s="42">
        <f t="shared" si="36"/>
        <v>0</v>
      </c>
      <c r="J104" s="42">
        <f t="shared" si="25"/>
        <v>0</v>
      </c>
      <c r="K104" s="66"/>
      <c r="L104" s="209">
        <v>0</v>
      </c>
      <c r="M104" s="209">
        <f t="shared" si="40"/>
        <v>0</v>
      </c>
      <c r="N104" s="209">
        <f>M104</f>
        <v>0</v>
      </c>
      <c r="O104" s="209">
        <f t="shared" si="39"/>
        <v>0</v>
      </c>
      <c r="P104" s="209">
        <f t="shared" si="38"/>
        <v>0</v>
      </c>
      <c r="Q104" s="209">
        <v>0</v>
      </c>
      <c r="R104" s="209">
        <v>0</v>
      </c>
      <c r="S104" s="209">
        <v>0</v>
      </c>
      <c r="T104" s="209">
        <v>0</v>
      </c>
      <c r="U104" s="209">
        <v>0</v>
      </c>
      <c r="V104" s="209">
        <v>0</v>
      </c>
      <c r="W104" s="209">
        <v>0</v>
      </c>
      <c r="X104" s="209">
        <v>0</v>
      </c>
      <c r="Y104" s="209">
        <v>0</v>
      </c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spans="1:37" ht="20.149999999999999" customHeight="1" x14ac:dyDescent="0.45">
      <c r="A105" s="220"/>
      <c r="B105" s="195" t="s">
        <v>229</v>
      </c>
      <c r="C105" s="101"/>
      <c r="D105" s="196"/>
      <c r="E105" s="133">
        <v>1</v>
      </c>
      <c r="F105" s="108">
        <v>4000</v>
      </c>
      <c r="G105" s="42">
        <f t="shared" si="35"/>
        <v>4000</v>
      </c>
      <c r="H105" s="42">
        <f t="shared" si="34"/>
        <v>72280</v>
      </c>
      <c r="I105" s="42">
        <f t="shared" si="36"/>
        <v>72280</v>
      </c>
      <c r="J105" s="42">
        <f t="shared" si="25"/>
        <v>83844.799999999988</v>
      </c>
      <c r="K105" s="66"/>
      <c r="L105" s="209">
        <v>0</v>
      </c>
      <c r="M105" s="209">
        <f>I105</f>
        <v>72280</v>
      </c>
      <c r="N105" s="209">
        <v>0</v>
      </c>
      <c r="O105" s="209">
        <v>0</v>
      </c>
      <c r="P105" s="209">
        <v>0</v>
      </c>
      <c r="Q105" s="209">
        <v>0</v>
      </c>
      <c r="R105" s="209">
        <v>0</v>
      </c>
      <c r="S105" s="209">
        <v>0</v>
      </c>
      <c r="T105" s="209">
        <v>0</v>
      </c>
      <c r="U105" s="209">
        <v>0</v>
      </c>
      <c r="V105" s="209">
        <v>0</v>
      </c>
      <c r="W105" s="209">
        <v>0</v>
      </c>
      <c r="X105" s="209">
        <v>0</v>
      </c>
      <c r="Y105" s="209">
        <v>0</v>
      </c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spans="1:37" ht="20.149999999999999" customHeight="1" x14ac:dyDescent="0.45">
      <c r="A106" s="220"/>
      <c r="B106" s="195" t="s">
        <v>105</v>
      </c>
      <c r="C106" s="101"/>
      <c r="D106" s="196"/>
      <c r="E106" s="133">
        <v>0</v>
      </c>
      <c r="F106" s="108">
        <v>0</v>
      </c>
      <c r="G106" s="42">
        <f t="shared" si="35"/>
        <v>0</v>
      </c>
      <c r="H106" s="42">
        <f t="shared" si="34"/>
        <v>0</v>
      </c>
      <c r="I106" s="42">
        <f t="shared" si="36"/>
        <v>0</v>
      </c>
      <c r="J106" s="42">
        <f t="shared" si="25"/>
        <v>0</v>
      </c>
      <c r="K106" s="66"/>
      <c r="L106" s="209">
        <v>0</v>
      </c>
      <c r="M106" s="209">
        <f t="shared" ref="M106:P108" si="41">L106</f>
        <v>0</v>
      </c>
      <c r="N106" s="209">
        <f t="shared" si="41"/>
        <v>0</v>
      </c>
      <c r="O106" s="209">
        <f t="shared" si="41"/>
        <v>0</v>
      </c>
      <c r="P106" s="209">
        <f t="shared" si="41"/>
        <v>0</v>
      </c>
      <c r="Q106" s="209">
        <v>0</v>
      </c>
      <c r="R106" s="209">
        <v>0</v>
      </c>
      <c r="S106" s="209">
        <v>0</v>
      </c>
      <c r="T106" s="209">
        <v>0</v>
      </c>
      <c r="U106" s="209">
        <v>0</v>
      </c>
      <c r="V106" s="209">
        <v>0</v>
      </c>
      <c r="W106" s="209">
        <v>0</v>
      </c>
      <c r="X106" s="209">
        <v>0</v>
      </c>
      <c r="Y106" s="209">
        <v>0</v>
      </c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spans="1:37" ht="20.149999999999999" customHeight="1" x14ac:dyDescent="0.45">
      <c r="A107" s="220"/>
      <c r="B107" s="195" t="s">
        <v>230</v>
      </c>
      <c r="C107" s="101"/>
      <c r="D107" s="196"/>
      <c r="E107" s="133">
        <v>0</v>
      </c>
      <c r="F107" s="108">
        <v>0</v>
      </c>
      <c r="G107" s="42">
        <f t="shared" si="35"/>
        <v>0</v>
      </c>
      <c r="H107" s="42">
        <f t="shared" si="34"/>
        <v>0</v>
      </c>
      <c r="I107" s="42">
        <f t="shared" si="36"/>
        <v>0</v>
      </c>
      <c r="J107" s="42">
        <f t="shared" si="25"/>
        <v>0</v>
      </c>
      <c r="K107" s="66"/>
      <c r="L107" s="209">
        <v>0</v>
      </c>
      <c r="M107" s="209">
        <f t="shared" si="41"/>
        <v>0</v>
      </c>
      <c r="N107" s="209">
        <f t="shared" si="41"/>
        <v>0</v>
      </c>
      <c r="O107" s="209">
        <f t="shared" si="41"/>
        <v>0</v>
      </c>
      <c r="P107" s="209">
        <f t="shared" si="41"/>
        <v>0</v>
      </c>
      <c r="Q107" s="209">
        <v>0</v>
      </c>
      <c r="R107" s="209">
        <v>0</v>
      </c>
      <c r="S107" s="209">
        <v>0</v>
      </c>
      <c r="T107" s="209">
        <v>0</v>
      </c>
      <c r="U107" s="209">
        <v>0</v>
      </c>
      <c r="V107" s="209">
        <v>0</v>
      </c>
      <c r="W107" s="209">
        <v>0</v>
      </c>
      <c r="X107" s="209">
        <v>0</v>
      </c>
      <c r="Y107" s="209">
        <v>0</v>
      </c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spans="1:37" ht="20.149999999999999" customHeight="1" x14ac:dyDescent="0.45">
      <c r="A108" s="220"/>
      <c r="B108" s="195" t="s">
        <v>231</v>
      </c>
      <c r="C108" s="101"/>
      <c r="D108" s="196"/>
      <c r="E108" s="133">
        <v>0</v>
      </c>
      <c r="F108" s="108">
        <v>0</v>
      </c>
      <c r="G108" s="42">
        <f t="shared" si="35"/>
        <v>0</v>
      </c>
      <c r="H108" s="42">
        <f t="shared" si="34"/>
        <v>0</v>
      </c>
      <c r="I108" s="42">
        <f t="shared" si="36"/>
        <v>0</v>
      </c>
      <c r="J108" s="42">
        <f t="shared" si="25"/>
        <v>0</v>
      </c>
      <c r="K108" s="66"/>
      <c r="L108" s="209">
        <v>0</v>
      </c>
      <c r="M108" s="209">
        <f t="shared" si="41"/>
        <v>0</v>
      </c>
      <c r="N108" s="209">
        <f t="shared" si="41"/>
        <v>0</v>
      </c>
      <c r="O108" s="209">
        <f t="shared" si="41"/>
        <v>0</v>
      </c>
      <c r="P108" s="209">
        <f t="shared" si="41"/>
        <v>0</v>
      </c>
      <c r="Q108" s="209">
        <v>0</v>
      </c>
      <c r="R108" s="209">
        <v>0</v>
      </c>
      <c r="S108" s="209">
        <v>0</v>
      </c>
      <c r="T108" s="209">
        <v>0</v>
      </c>
      <c r="U108" s="209">
        <v>0</v>
      </c>
      <c r="V108" s="209">
        <v>0</v>
      </c>
      <c r="W108" s="209">
        <v>0</v>
      </c>
      <c r="X108" s="209">
        <v>0</v>
      </c>
      <c r="Y108" s="209">
        <v>0</v>
      </c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spans="1:37" ht="20.149999999999999" customHeight="1" x14ac:dyDescent="0.45">
      <c r="A109" s="220"/>
      <c r="B109" s="195" t="s">
        <v>232</v>
      </c>
      <c r="C109" t="s">
        <v>433</v>
      </c>
      <c r="D109" s="196"/>
      <c r="E109" s="133">
        <v>0</v>
      </c>
      <c r="F109" s="108">
        <v>2300</v>
      </c>
      <c r="G109" s="42">
        <f t="shared" si="35"/>
        <v>0</v>
      </c>
      <c r="H109" s="42">
        <f t="shared" si="34"/>
        <v>41561</v>
      </c>
      <c r="I109" s="42">
        <f t="shared" si="36"/>
        <v>0</v>
      </c>
      <c r="J109" s="42">
        <f t="shared" si="25"/>
        <v>0</v>
      </c>
      <c r="K109" s="66"/>
      <c r="L109" s="209">
        <v>0</v>
      </c>
      <c r="M109" s="209"/>
      <c r="N109" s="209">
        <f>I109*0.5</f>
        <v>0</v>
      </c>
      <c r="O109" s="209">
        <f>N109</f>
        <v>0</v>
      </c>
      <c r="P109" s="209">
        <f>O109</f>
        <v>0</v>
      </c>
      <c r="Q109" s="209">
        <v>0</v>
      </c>
      <c r="R109" s="209">
        <v>0</v>
      </c>
      <c r="S109" s="209">
        <v>0</v>
      </c>
      <c r="T109" s="209">
        <v>0</v>
      </c>
      <c r="U109" s="209">
        <v>0</v>
      </c>
      <c r="V109" s="209">
        <v>0</v>
      </c>
      <c r="W109" s="209">
        <v>0</v>
      </c>
      <c r="X109" s="209">
        <v>0</v>
      </c>
      <c r="Y109" s="209">
        <v>0</v>
      </c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spans="1:37" ht="20.149999999999999" customHeight="1" x14ac:dyDescent="0.45">
      <c r="A110" s="220"/>
      <c r="B110" s="195" t="s">
        <v>233</v>
      </c>
      <c r="C110" s="101" t="s">
        <v>327</v>
      </c>
      <c r="D110" s="196"/>
      <c r="E110" s="133">
        <v>0</v>
      </c>
      <c r="F110" s="108">
        <v>2500</v>
      </c>
      <c r="G110" s="42">
        <f t="shared" si="35"/>
        <v>0</v>
      </c>
      <c r="H110" s="42">
        <f t="shared" si="34"/>
        <v>45175</v>
      </c>
      <c r="I110" s="42">
        <f t="shared" si="36"/>
        <v>0</v>
      </c>
      <c r="J110" s="42">
        <f t="shared" si="25"/>
        <v>0</v>
      </c>
      <c r="K110" s="66"/>
      <c r="L110" s="209">
        <v>0</v>
      </c>
      <c r="M110" s="209">
        <f t="shared" ref="M110:M115" si="42">L110</f>
        <v>0</v>
      </c>
      <c r="N110" s="209">
        <f>I110</f>
        <v>0</v>
      </c>
      <c r="O110" s="209">
        <v>0</v>
      </c>
      <c r="P110" s="209">
        <f t="shared" ref="P110:P115" si="43">O110</f>
        <v>0</v>
      </c>
      <c r="Q110" s="209">
        <v>0</v>
      </c>
      <c r="R110" s="209">
        <v>0</v>
      </c>
      <c r="S110" s="209">
        <v>0</v>
      </c>
      <c r="T110" s="209">
        <v>0</v>
      </c>
      <c r="U110" s="209">
        <v>0</v>
      </c>
      <c r="V110" s="209">
        <v>0</v>
      </c>
      <c r="W110" s="209">
        <v>0</v>
      </c>
      <c r="X110" s="209">
        <v>0</v>
      </c>
      <c r="Y110" s="209">
        <v>0</v>
      </c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spans="1:37" ht="20.149999999999999" customHeight="1" x14ac:dyDescent="0.45">
      <c r="A111" s="220"/>
      <c r="B111" s="195" t="s">
        <v>234</v>
      </c>
      <c r="C111" s="101" t="s">
        <v>328</v>
      </c>
      <c r="D111" s="196"/>
      <c r="E111" s="133">
        <v>0</v>
      </c>
      <c r="F111" s="108">
        <v>3154.3995572772551</v>
      </c>
      <c r="G111" s="42">
        <f t="shared" si="35"/>
        <v>0</v>
      </c>
      <c r="H111" s="42">
        <f t="shared" si="34"/>
        <v>57000</v>
      </c>
      <c r="I111" s="42">
        <f t="shared" si="36"/>
        <v>0</v>
      </c>
      <c r="J111" s="42">
        <f t="shared" si="25"/>
        <v>0</v>
      </c>
      <c r="K111" s="66"/>
      <c r="L111" s="209">
        <v>0</v>
      </c>
      <c r="M111" s="209">
        <f t="shared" si="42"/>
        <v>0</v>
      </c>
      <c r="N111" s="209">
        <f>I111</f>
        <v>0</v>
      </c>
      <c r="O111" s="209">
        <v>0</v>
      </c>
      <c r="P111" s="209">
        <f t="shared" si="43"/>
        <v>0</v>
      </c>
      <c r="Q111" s="209">
        <v>0</v>
      </c>
      <c r="R111" s="209">
        <v>0</v>
      </c>
      <c r="S111" s="209">
        <v>0</v>
      </c>
      <c r="T111" s="209">
        <v>0</v>
      </c>
      <c r="U111" s="209">
        <v>0</v>
      </c>
      <c r="V111" s="209">
        <v>0</v>
      </c>
      <c r="W111" s="209">
        <v>0</v>
      </c>
      <c r="X111" s="209">
        <v>0</v>
      </c>
      <c r="Y111" s="209">
        <v>0</v>
      </c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spans="1:37" ht="20.149999999999999" customHeight="1" x14ac:dyDescent="0.45">
      <c r="A112" s="220"/>
      <c r="B112" s="195" t="s">
        <v>235</v>
      </c>
      <c r="C112" s="101" t="s">
        <v>329</v>
      </c>
      <c r="D112" s="196"/>
      <c r="E112" s="133">
        <v>0</v>
      </c>
      <c r="F112" s="108">
        <v>4427.227448810183</v>
      </c>
      <c r="G112" s="42">
        <f t="shared" si="35"/>
        <v>0</v>
      </c>
      <c r="H112" s="42">
        <f t="shared" si="34"/>
        <v>80000.000000000015</v>
      </c>
      <c r="I112" s="42">
        <f t="shared" si="36"/>
        <v>0</v>
      </c>
      <c r="J112" s="42">
        <f t="shared" si="25"/>
        <v>0</v>
      </c>
      <c r="K112" s="66"/>
      <c r="L112" s="209">
        <v>0</v>
      </c>
      <c r="M112" s="209">
        <f t="shared" si="42"/>
        <v>0</v>
      </c>
      <c r="N112" s="209">
        <f t="shared" ref="N112:O115" si="44">M112</f>
        <v>0</v>
      </c>
      <c r="O112" s="209">
        <f t="shared" si="44"/>
        <v>0</v>
      </c>
      <c r="P112" s="209">
        <f t="shared" si="43"/>
        <v>0</v>
      </c>
      <c r="Q112" s="209">
        <v>0</v>
      </c>
      <c r="R112" s="209">
        <v>0</v>
      </c>
      <c r="S112" s="209">
        <v>0</v>
      </c>
      <c r="T112" s="209">
        <v>0</v>
      </c>
      <c r="U112" s="209">
        <v>0</v>
      </c>
      <c r="V112" s="209">
        <v>0</v>
      </c>
      <c r="W112" s="209">
        <v>0</v>
      </c>
      <c r="X112" s="209">
        <v>0</v>
      </c>
      <c r="Y112" s="209">
        <v>0</v>
      </c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spans="1:37" ht="20.149999999999999" customHeight="1" x14ac:dyDescent="0.45">
      <c r="A113" s="220"/>
      <c r="B113" s="195" t="s">
        <v>191</v>
      </c>
      <c r="C113" s="101"/>
      <c r="D113" s="196"/>
      <c r="E113" s="133">
        <v>0</v>
      </c>
      <c r="F113" s="108">
        <v>0</v>
      </c>
      <c r="G113" s="42">
        <f t="shared" si="35"/>
        <v>0</v>
      </c>
      <c r="H113" s="42">
        <f t="shared" si="34"/>
        <v>0</v>
      </c>
      <c r="I113" s="42">
        <f t="shared" si="36"/>
        <v>0</v>
      </c>
      <c r="J113" s="42">
        <f t="shared" si="25"/>
        <v>0</v>
      </c>
      <c r="K113" s="66"/>
      <c r="L113" s="209">
        <v>0</v>
      </c>
      <c r="M113" s="209">
        <f t="shared" si="42"/>
        <v>0</v>
      </c>
      <c r="N113" s="209">
        <f t="shared" si="44"/>
        <v>0</v>
      </c>
      <c r="O113" s="209">
        <f t="shared" si="44"/>
        <v>0</v>
      </c>
      <c r="P113" s="209">
        <f t="shared" si="43"/>
        <v>0</v>
      </c>
      <c r="Q113" s="209">
        <v>0</v>
      </c>
      <c r="R113" s="209">
        <v>0</v>
      </c>
      <c r="S113" s="209">
        <v>0</v>
      </c>
      <c r="T113" s="209">
        <v>0</v>
      </c>
      <c r="U113" s="209">
        <v>0</v>
      </c>
      <c r="V113" s="209">
        <v>0</v>
      </c>
      <c r="W113" s="209">
        <v>0</v>
      </c>
      <c r="X113" s="209">
        <v>0</v>
      </c>
      <c r="Y113" s="209">
        <v>0</v>
      </c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spans="1:37" ht="20.149999999999999" customHeight="1" x14ac:dyDescent="0.45">
      <c r="A114" s="220"/>
      <c r="B114" s="195" t="s">
        <v>236</v>
      </c>
      <c r="C114" s="101"/>
      <c r="D114" s="196"/>
      <c r="E114" s="133">
        <v>0</v>
      </c>
      <c r="F114" s="108">
        <v>0</v>
      </c>
      <c r="G114" s="42">
        <f t="shared" si="35"/>
        <v>0</v>
      </c>
      <c r="H114" s="42">
        <f t="shared" si="34"/>
        <v>0</v>
      </c>
      <c r="I114" s="42">
        <f t="shared" si="36"/>
        <v>0</v>
      </c>
      <c r="J114" s="42">
        <f t="shared" si="25"/>
        <v>0</v>
      </c>
      <c r="K114" s="66"/>
      <c r="L114" s="209">
        <v>0</v>
      </c>
      <c r="M114" s="209">
        <f t="shared" si="42"/>
        <v>0</v>
      </c>
      <c r="N114" s="209">
        <f t="shared" si="44"/>
        <v>0</v>
      </c>
      <c r="O114" s="209">
        <f t="shared" si="44"/>
        <v>0</v>
      </c>
      <c r="P114" s="209">
        <f t="shared" si="43"/>
        <v>0</v>
      </c>
      <c r="Q114" s="209">
        <v>0</v>
      </c>
      <c r="R114" s="209">
        <v>0</v>
      </c>
      <c r="S114" s="209">
        <v>0</v>
      </c>
      <c r="T114" s="209">
        <v>0</v>
      </c>
      <c r="U114" s="209">
        <v>0</v>
      </c>
      <c r="V114" s="209">
        <v>0</v>
      </c>
      <c r="W114" s="209">
        <v>0</v>
      </c>
      <c r="X114" s="209">
        <v>0</v>
      </c>
      <c r="Y114" s="209">
        <v>0</v>
      </c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spans="1:37" ht="20.149999999999999" customHeight="1" x14ac:dyDescent="0.45">
      <c r="A115" s="220"/>
      <c r="B115" s="195" t="s">
        <v>237</v>
      </c>
      <c r="C115" s="101" t="s">
        <v>348</v>
      </c>
      <c r="D115" s="196"/>
      <c r="E115" s="133">
        <v>0</v>
      </c>
      <c r="F115" s="108">
        <v>55.340343110127279</v>
      </c>
      <c r="G115" s="42">
        <f t="shared" si="35"/>
        <v>0</v>
      </c>
      <c r="H115" s="42">
        <f t="shared" si="34"/>
        <v>999.99999999999989</v>
      </c>
      <c r="I115" s="42">
        <f t="shared" si="36"/>
        <v>0</v>
      </c>
      <c r="J115" s="42">
        <f t="shared" si="25"/>
        <v>0</v>
      </c>
      <c r="K115" s="66"/>
      <c r="L115" s="209">
        <v>0</v>
      </c>
      <c r="M115" s="209">
        <f t="shared" si="42"/>
        <v>0</v>
      </c>
      <c r="N115" s="209">
        <f t="shared" si="44"/>
        <v>0</v>
      </c>
      <c r="O115" s="209">
        <f t="shared" si="44"/>
        <v>0</v>
      </c>
      <c r="P115" s="209">
        <f t="shared" si="43"/>
        <v>0</v>
      </c>
      <c r="Q115" s="209">
        <v>0</v>
      </c>
      <c r="R115" s="209">
        <v>0</v>
      </c>
      <c r="S115" s="209">
        <v>0</v>
      </c>
      <c r="T115" s="209">
        <v>0</v>
      </c>
      <c r="U115" s="209">
        <v>0</v>
      </c>
      <c r="V115" s="209">
        <v>0</v>
      </c>
      <c r="W115" s="209">
        <v>0</v>
      </c>
      <c r="X115" s="209">
        <v>0</v>
      </c>
      <c r="Y115" s="209">
        <v>0</v>
      </c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spans="1:37" ht="20.149999999999999" customHeight="1" x14ac:dyDescent="0.45">
      <c r="A116" s="220"/>
      <c r="B116" s="210"/>
      <c r="C116" s="11"/>
      <c r="D116" s="123"/>
      <c r="E116" s="120"/>
      <c r="F116" s="158"/>
      <c r="G116" s="219"/>
      <c r="H116" s="158"/>
      <c r="I116" s="158"/>
      <c r="J116" s="219"/>
      <c r="K116" s="66"/>
      <c r="L116" s="158"/>
      <c r="M116" s="158"/>
      <c r="N116" s="158"/>
      <c r="O116" s="158"/>
      <c r="P116" s="158"/>
      <c r="Q116" s="158"/>
      <c r="R116" s="158"/>
      <c r="S116" s="158"/>
      <c r="T116" s="158"/>
      <c r="U116" s="158"/>
      <c r="V116" s="158"/>
      <c r="W116" s="158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spans="1:37" ht="20.149999999999999" customHeight="1" x14ac:dyDescent="0.45">
      <c r="A117" s="220"/>
      <c r="B117" s="140"/>
      <c r="C117" s="140"/>
      <c r="D117" s="117"/>
      <c r="E117" s="11"/>
      <c r="F117" s="486">
        <f>EGRESOS!R22</f>
        <v>3241593.2775999997</v>
      </c>
      <c r="G117" s="485" t="s">
        <v>301</v>
      </c>
      <c r="H117" s="485"/>
      <c r="I117" s="279"/>
      <c r="J117" s="102" t="s">
        <v>262</v>
      </c>
      <c r="K117" s="66"/>
      <c r="L117" s="215">
        <f>SUM(L53:L115)</f>
        <v>1959720.8087999998</v>
      </c>
      <c r="M117" s="215">
        <f t="shared" ref="M117:W117" si="45">SUM(M53:M115)</f>
        <v>1281872.4687999999</v>
      </c>
      <c r="N117" s="215">
        <f t="shared" si="45"/>
        <v>0</v>
      </c>
      <c r="O117" s="215">
        <f t="shared" si="45"/>
        <v>0</v>
      </c>
      <c r="P117" s="215">
        <f t="shared" si="45"/>
        <v>0</v>
      </c>
      <c r="Q117" s="215">
        <f t="shared" si="45"/>
        <v>0</v>
      </c>
      <c r="R117" s="215">
        <f t="shared" si="45"/>
        <v>0</v>
      </c>
      <c r="S117" s="215">
        <f t="shared" si="45"/>
        <v>0</v>
      </c>
      <c r="T117" s="215">
        <f t="shared" si="45"/>
        <v>0</v>
      </c>
      <c r="U117" s="215">
        <f t="shared" si="45"/>
        <v>0</v>
      </c>
      <c r="V117" s="215">
        <f t="shared" si="45"/>
        <v>0</v>
      </c>
      <c r="W117" s="215">
        <f t="shared" si="45"/>
        <v>0</v>
      </c>
      <c r="X117" s="215">
        <f>SUM(X53:X115)</f>
        <v>0</v>
      </c>
      <c r="Y117" s="215">
        <f>SUM(Y53:Y115)</f>
        <v>0</v>
      </c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spans="1:37" ht="20.149999999999999" customHeight="1" x14ac:dyDescent="0.45">
      <c r="A118" s="220"/>
      <c r="B118" s="140"/>
      <c r="C118" s="140"/>
      <c r="D118" s="11"/>
      <c r="E118" s="11"/>
      <c r="F118" s="485"/>
      <c r="G118" s="485"/>
      <c r="H118" s="485"/>
      <c r="I118" s="279"/>
      <c r="J118" s="103" t="s">
        <v>263</v>
      </c>
      <c r="K118" s="66"/>
      <c r="L118" s="216">
        <f t="shared" ref="L118:W118" si="46">L117/$C$200</f>
        <v>108451.62195904813</v>
      </c>
      <c r="M118" s="216">
        <f t="shared" si="46"/>
        <v>70939.262246817918</v>
      </c>
      <c r="N118" s="216">
        <f t="shared" si="46"/>
        <v>0</v>
      </c>
      <c r="O118" s="216">
        <f t="shared" si="46"/>
        <v>0</v>
      </c>
      <c r="P118" s="216">
        <f t="shared" si="46"/>
        <v>0</v>
      </c>
      <c r="Q118" s="216">
        <f t="shared" si="46"/>
        <v>0</v>
      </c>
      <c r="R118" s="216">
        <f t="shared" si="46"/>
        <v>0</v>
      </c>
      <c r="S118" s="216">
        <f t="shared" si="46"/>
        <v>0</v>
      </c>
      <c r="T118" s="216">
        <f t="shared" si="46"/>
        <v>0</v>
      </c>
      <c r="U118" s="216">
        <f t="shared" si="46"/>
        <v>0</v>
      </c>
      <c r="V118" s="216">
        <f t="shared" si="46"/>
        <v>0</v>
      </c>
      <c r="W118" s="216">
        <f t="shared" si="46"/>
        <v>0</v>
      </c>
      <c r="X118" s="216">
        <f>X117/$C$200</f>
        <v>0</v>
      </c>
      <c r="Y118" s="216">
        <f>Y117/$C$200</f>
        <v>0</v>
      </c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spans="1:37" ht="20.149999999999999" customHeight="1" x14ac:dyDescent="0.45">
      <c r="A119" s="220"/>
      <c r="B119" s="140"/>
      <c r="C119" s="140"/>
      <c r="D119" s="11"/>
      <c r="E119" s="11"/>
      <c r="F119" s="485"/>
      <c r="G119" s="485"/>
      <c r="H119" s="485"/>
      <c r="I119" s="279"/>
      <c r="J119" s="102" t="s">
        <v>284</v>
      </c>
      <c r="K119" s="66"/>
      <c r="L119" s="51">
        <f>SUM(L117:Y117)</f>
        <v>3241593.2775999997</v>
      </c>
      <c r="M119" s="217"/>
      <c r="N119" s="217"/>
      <c r="O119" s="217"/>
      <c r="P119" s="217"/>
      <c r="Q119" s="217"/>
      <c r="R119" s="217"/>
      <c r="S119" s="217"/>
      <c r="T119" s="217"/>
      <c r="U119" s="217"/>
      <c r="V119" s="217"/>
      <c r="W119" s="217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spans="1:37" ht="20.149999999999999" customHeight="1" x14ac:dyDescent="0.45">
      <c r="A120" s="220"/>
      <c r="B120" s="140"/>
      <c r="C120" s="140"/>
      <c r="D120" s="11"/>
      <c r="E120" s="221"/>
      <c r="F120" s="485"/>
      <c r="G120" s="485"/>
      <c r="H120" s="485"/>
      <c r="I120" s="279"/>
      <c r="J120" s="103" t="s">
        <v>261</v>
      </c>
      <c r="K120" s="66"/>
      <c r="L120" s="112">
        <f>L119/$C$200</f>
        <v>179390.88420586605</v>
      </c>
      <c r="M120" s="158"/>
      <c r="N120" s="158"/>
      <c r="O120" s="158"/>
      <c r="P120" s="158"/>
      <c r="Q120" s="158"/>
      <c r="R120" s="158"/>
      <c r="S120" s="158"/>
      <c r="T120" s="158"/>
      <c r="U120" s="158"/>
      <c r="V120" s="158"/>
      <c r="W120" s="158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spans="1:37" ht="20.149999999999999" customHeight="1" x14ac:dyDescent="0.45">
      <c r="A121" s="220"/>
      <c r="B121" s="140"/>
      <c r="C121" s="140"/>
      <c r="D121" s="140"/>
      <c r="E121" s="140"/>
      <c r="F121" s="140"/>
      <c r="G121" s="140"/>
      <c r="H121" s="140"/>
      <c r="I121" s="140"/>
      <c r="J121" s="140"/>
      <c r="K121" s="66"/>
      <c r="L121" s="18"/>
      <c r="M121" s="158"/>
      <c r="N121" s="158"/>
      <c r="O121" s="158"/>
      <c r="P121" s="158"/>
      <c r="Q121" s="158"/>
      <c r="R121" s="158"/>
      <c r="S121" s="158"/>
      <c r="T121" s="158"/>
      <c r="U121" s="158"/>
      <c r="V121" s="158"/>
      <c r="W121" s="158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spans="1:37" ht="20.149999999999999" customHeight="1" x14ac:dyDescent="0.45">
      <c r="A122" s="220"/>
      <c r="B122" s="484" t="s">
        <v>98</v>
      </c>
      <c r="C122" s="484"/>
      <c r="D122" s="484"/>
      <c r="E122" s="484"/>
      <c r="F122" s="484"/>
      <c r="G122" s="484"/>
      <c r="H122" s="484"/>
      <c r="I122" s="484"/>
      <c r="J122" s="484"/>
      <c r="K122" s="66"/>
      <c r="L122" s="283"/>
      <c r="M122" s="283"/>
      <c r="N122" s="283"/>
      <c r="O122" s="283"/>
      <c r="P122" s="283"/>
      <c r="Q122" s="283"/>
      <c r="R122" s="283"/>
      <c r="S122" s="283"/>
      <c r="T122" s="283"/>
      <c r="U122" s="283"/>
      <c r="V122" s="283"/>
      <c r="W122" s="283"/>
      <c r="X122" s="283"/>
      <c r="Y122" s="283"/>
      <c r="Z122" s="2"/>
      <c r="AA122" s="2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spans="1:37" ht="20.149999999999999" customHeight="1" x14ac:dyDescent="0.45">
      <c r="A123" s="220"/>
      <c r="B123" s="458" t="s">
        <v>285</v>
      </c>
      <c r="C123" s="458" t="s">
        <v>266</v>
      </c>
      <c r="D123" s="458" t="s">
        <v>28</v>
      </c>
      <c r="E123" s="458" t="s">
        <v>264</v>
      </c>
      <c r="F123" s="472" t="s">
        <v>430</v>
      </c>
      <c r="G123" s="472" t="s">
        <v>355</v>
      </c>
      <c r="H123" s="474" t="s">
        <v>335</v>
      </c>
      <c r="I123" s="474" t="s">
        <v>356</v>
      </c>
      <c r="J123" s="476" t="s">
        <v>265</v>
      </c>
      <c r="K123" s="66"/>
      <c r="L123" s="390" t="s">
        <v>84</v>
      </c>
      <c r="M123" s="390" t="s">
        <v>84</v>
      </c>
      <c r="N123" s="391" t="s">
        <v>66</v>
      </c>
      <c r="O123" s="390" t="s">
        <v>67</v>
      </c>
      <c r="P123" s="390" t="s">
        <v>68</v>
      </c>
      <c r="Q123" s="390" t="s">
        <v>69</v>
      </c>
      <c r="R123" s="390" t="s">
        <v>70</v>
      </c>
      <c r="S123" s="390" t="s">
        <v>71</v>
      </c>
      <c r="T123" s="390" t="s">
        <v>72</v>
      </c>
      <c r="U123" s="390" t="s">
        <v>73</v>
      </c>
      <c r="V123" s="390" t="s">
        <v>74</v>
      </c>
      <c r="W123" s="390" t="s">
        <v>75</v>
      </c>
      <c r="X123" s="390" t="s">
        <v>76</v>
      </c>
      <c r="Y123" s="390" t="s">
        <v>77</v>
      </c>
      <c r="Z123" s="2"/>
      <c r="AA123" s="2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spans="1:37" ht="20.149999999999999" customHeight="1" x14ac:dyDescent="0.45">
      <c r="A124" s="220"/>
      <c r="B124" s="458"/>
      <c r="C124" s="458"/>
      <c r="D124" s="458"/>
      <c r="E124" s="458"/>
      <c r="F124" s="473"/>
      <c r="G124" s="473"/>
      <c r="H124" s="475"/>
      <c r="I124" s="475"/>
      <c r="J124" s="477"/>
      <c r="K124" s="66"/>
      <c r="L124" s="392" t="s">
        <v>272</v>
      </c>
      <c r="M124" s="392" t="s">
        <v>272</v>
      </c>
      <c r="N124" s="392" t="s">
        <v>436</v>
      </c>
      <c r="O124" s="392" t="s">
        <v>437</v>
      </c>
      <c r="P124" s="392" t="s">
        <v>438</v>
      </c>
      <c r="Q124" s="392" t="s">
        <v>439</v>
      </c>
      <c r="R124" s="392" t="s">
        <v>392</v>
      </c>
      <c r="S124" s="392" t="s">
        <v>393</v>
      </c>
      <c r="T124" s="392" t="s">
        <v>394</v>
      </c>
      <c r="U124" s="392" t="s">
        <v>395</v>
      </c>
      <c r="V124" s="392" t="s">
        <v>396</v>
      </c>
      <c r="W124" s="392" t="s">
        <v>397</v>
      </c>
      <c r="X124" s="392" t="s">
        <v>398</v>
      </c>
      <c r="Y124" s="392" t="s">
        <v>399</v>
      </c>
      <c r="Z124" s="2"/>
      <c r="AA124" s="2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spans="1:37" ht="20.149999999999999" customHeight="1" x14ac:dyDescent="0.45">
      <c r="A125" s="220"/>
      <c r="B125" s="458"/>
      <c r="C125" s="458"/>
      <c r="D125" s="458"/>
      <c r="E125" s="458"/>
      <c r="F125" s="369" t="s">
        <v>259</v>
      </c>
      <c r="G125" s="370" t="s">
        <v>259</v>
      </c>
      <c r="H125" s="371" t="s">
        <v>260</v>
      </c>
      <c r="I125" s="372" t="s">
        <v>260</v>
      </c>
      <c r="J125" s="373" t="s">
        <v>260</v>
      </c>
      <c r="K125" s="66"/>
      <c r="L125" s="393" t="s">
        <v>272</v>
      </c>
      <c r="M125" s="393" t="s">
        <v>272</v>
      </c>
      <c r="N125" s="393">
        <v>31</v>
      </c>
      <c r="O125" s="393">
        <v>29</v>
      </c>
      <c r="P125" s="393">
        <v>31</v>
      </c>
      <c r="Q125" s="393">
        <v>30</v>
      </c>
      <c r="R125" s="393">
        <v>30</v>
      </c>
      <c r="S125" s="393">
        <v>31</v>
      </c>
      <c r="T125" s="393">
        <v>31</v>
      </c>
      <c r="U125" s="393">
        <v>31</v>
      </c>
      <c r="V125" s="393">
        <v>30</v>
      </c>
      <c r="W125" s="393">
        <v>31</v>
      </c>
      <c r="X125" s="393">
        <v>30</v>
      </c>
      <c r="Y125" s="393">
        <v>31</v>
      </c>
      <c r="Z125" s="2"/>
      <c r="AA125" s="2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spans="1:37" ht="20.149999999999999" customHeight="1" x14ac:dyDescent="0.45">
      <c r="A126" s="220"/>
      <c r="B126" s="195" t="s">
        <v>132</v>
      </c>
      <c r="C126" s="222"/>
      <c r="D126" s="107"/>
      <c r="E126" s="133">
        <v>0</v>
      </c>
      <c r="F126" s="108">
        <v>27.670171555063639</v>
      </c>
      <c r="G126" s="42">
        <f>E126*F126</f>
        <v>0</v>
      </c>
      <c r="H126" s="42">
        <f>F126*$C$200</f>
        <v>499.99999999999994</v>
      </c>
      <c r="I126" s="42">
        <f>(E126*H126)</f>
        <v>0</v>
      </c>
      <c r="J126" s="42">
        <f>I126*1.16</f>
        <v>0</v>
      </c>
      <c r="K126" s="66"/>
      <c r="L126" s="209">
        <f>I126</f>
        <v>0</v>
      </c>
      <c r="M126" s="209">
        <f>I126</f>
        <v>0</v>
      </c>
      <c r="N126" s="209">
        <v>0</v>
      </c>
      <c r="O126" s="209">
        <f t="shared" ref="O126:P129" si="47">N126</f>
        <v>0</v>
      </c>
      <c r="P126" s="209">
        <f t="shared" si="47"/>
        <v>0</v>
      </c>
      <c r="Q126" s="209">
        <v>0</v>
      </c>
      <c r="R126" s="209">
        <v>0</v>
      </c>
      <c r="S126" s="209">
        <v>0</v>
      </c>
      <c r="T126" s="209">
        <v>0</v>
      </c>
      <c r="U126" s="209">
        <v>0</v>
      </c>
      <c r="V126" s="209">
        <v>0</v>
      </c>
      <c r="W126" s="209">
        <v>0</v>
      </c>
      <c r="X126" s="209">
        <v>0</v>
      </c>
      <c r="Y126" s="209">
        <v>0</v>
      </c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spans="1:37" ht="20.149999999999999" customHeight="1" x14ac:dyDescent="0.45">
      <c r="A127" s="220"/>
      <c r="B127" s="195" t="s">
        <v>133</v>
      </c>
      <c r="C127" s="222"/>
      <c r="D127" s="107"/>
      <c r="E127" s="133">
        <v>0</v>
      </c>
      <c r="F127" s="108">
        <v>13.83508577753182</v>
      </c>
      <c r="G127" s="42">
        <f>E127*F127</f>
        <v>0</v>
      </c>
      <c r="H127" s="42">
        <f>F127*$C$200</f>
        <v>249.99999999999997</v>
      </c>
      <c r="I127" s="42">
        <f>(E127*H127)</f>
        <v>0</v>
      </c>
      <c r="J127" s="42">
        <f>I127*1.16</f>
        <v>0</v>
      </c>
      <c r="K127" s="66"/>
      <c r="L127" s="209">
        <f t="shared" ref="L127:L129" si="48">I127</f>
        <v>0</v>
      </c>
      <c r="M127" s="209">
        <f>I127</f>
        <v>0</v>
      </c>
      <c r="N127" s="209">
        <v>0</v>
      </c>
      <c r="O127" s="209">
        <f t="shared" si="47"/>
        <v>0</v>
      </c>
      <c r="P127" s="209">
        <f t="shared" si="47"/>
        <v>0</v>
      </c>
      <c r="Q127" s="209">
        <v>0</v>
      </c>
      <c r="R127" s="209">
        <v>0</v>
      </c>
      <c r="S127" s="209">
        <v>0</v>
      </c>
      <c r="T127" s="209">
        <v>0</v>
      </c>
      <c r="U127" s="209">
        <v>0</v>
      </c>
      <c r="V127" s="209">
        <v>0</v>
      </c>
      <c r="W127" s="209">
        <v>0</v>
      </c>
      <c r="X127" s="209">
        <v>0</v>
      </c>
      <c r="Y127" s="209">
        <v>0</v>
      </c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spans="1:37" ht="20.149999999999999" customHeight="1" x14ac:dyDescent="0.45">
      <c r="A128" s="220"/>
      <c r="B128" s="195" t="s">
        <v>134</v>
      </c>
      <c r="C128" s="222"/>
      <c r="D128" s="107"/>
      <c r="E128" s="133">
        <v>0</v>
      </c>
      <c r="F128" s="108">
        <v>13.83508577753182</v>
      </c>
      <c r="G128" s="42">
        <f>E128*F128</f>
        <v>0</v>
      </c>
      <c r="H128" s="42">
        <f>F128*$C$200</f>
        <v>249.99999999999997</v>
      </c>
      <c r="I128" s="42">
        <f>(E128*H128)</f>
        <v>0</v>
      </c>
      <c r="J128" s="42">
        <f>I128*1.16</f>
        <v>0</v>
      </c>
      <c r="K128" s="66"/>
      <c r="L128" s="209">
        <f t="shared" si="48"/>
        <v>0</v>
      </c>
      <c r="M128" s="209">
        <f>I128</f>
        <v>0</v>
      </c>
      <c r="N128" s="209">
        <v>0</v>
      </c>
      <c r="O128" s="209">
        <f t="shared" si="47"/>
        <v>0</v>
      </c>
      <c r="P128" s="209">
        <f t="shared" si="47"/>
        <v>0</v>
      </c>
      <c r="Q128" s="209">
        <v>0</v>
      </c>
      <c r="R128" s="209">
        <v>0</v>
      </c>
      <c r="S128" s="209">
        <v>0</v>
      </c>
      <c r="T128" s="209">
        <v>0</v>
      </c>
      <c r="U128" s="209">
        <v>0</v>
      </c>
      <c r="V128" s="209">
        <v>0</v>
      </c>
      <c r="W128" s="209">
        <v>0</v>
      </c>
      <c r="X128" s="209">
        <v>0</v>
      </c>
      <c r="Y128" s="209">
        <v>0</v>
      </c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spans="1:37" ht="20.149999999999999" customHeight="1" x14ac:dyDescent="0.45">
      <c r="A129" s="220"/>
      <c r="B129" s="195" t="s">
        <v>135</v>
      </c>
      <c r="C129" s="222"/>
      <c r="D129" s="107"/>
      <c r="E129" s="133">
        <v>0</v>
      </c>
      <c r="F129" s="108">
        <v>11.068068622025457</v>
      </c>
      <c r="G129" s="42">
        <f>E129*F129</f>
        <v>0</v>
      </c>
      <c r="H129" s="42">
        <f>F129*$C$200</f>
        <v>200</v>
      </c>
      <c r="I129" s="42">
        <f>(E129*H129)</f>
        <v>0</v>
      </c>
      <c r="J129" s="42">
        <f>I129*1.16</f>
        <v>0</v>
      </c>
      <c r="K129" s="66"/>
      <c r="L129" s="209">
        <f t="shared" si="48"/>
        <v>0</v>
      </c>
      <c r="M129" s="209">
        <f>I129</f>
        <v>0</v>
      </c>
      <c r="N129" s="209">
        <v>0</v>
      </c>
      <c r="O129" s="209">
        <f t="shared" si="47"/>
        <v>0</v>
      </c>
      <c r="P129" s="209">
        <f t="shared" si="47"/>
        <v>0</v>
      </c>
      <c r="Q129" s="209">
        <v>0</v>
      </c>
      <c r="R129" s="209">
        <v>0</v>
      </c>
      <c r="S129" s="209">
        <v>0</v>
      </c>
      <c r="T129" s="209">
        <v>0</v>
      </c>
      <c r="U129" s="209">
        <v>0</v>
      </c>
      <c r="V129" s="209">
        <v>0</v>
      </c>
      <c r="W129" s="209">
        <v>0</v>
      </c>
      <c r="X129" s="209">
        <v>0</v>
      </c>
      <c r="Y129" s="209">
        <v>0</v>
      </c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spans="1:37" ht="20.149999999999999" customHeight="1" x14ac:dyDescent="0.45">
      <c r="A130" s="220"/>
      <c r="B130" s="210"/>
      <c r="C130" s="223"/>
      <c r="E130" s="219"/>
      <c r="F130" s="158"/>
      <c r="G130" s="11"/>
      <c r="H130" s="11"/>
      <c r="I130" s="11"/>
      <c r="J130" s="219"/>
      <c r="K130" s="66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spans="1:37" ht="20.149999999999999" customHeight="1" x14ac:dyDescent="0.45">
      <c r="A131" s="220"/>
      <c r="B131" s="11"/>
      <c r="C131" s="11"/>
      <c r="E131" s="11"/>
      <c r="F131" s="11"/>
      <c r="H131"/>
      <c r="I131"/>
      <c r="J131" s="102" t="s">
        <v>262</v>
      </c>
      <c r="K131" s="66"/>
      <c r="L131" s="215">
        <f>SUM(L126:L129)</f>
        <v>0</v>
      </c>
      <c r="M131" s="215">
        <f t="shared" ref="M131:W131" si="49">SUM(M126:M129)</f>
        <v>0</v>
      </c>
      <c r="N131" s="215">
        <f t="shared" si="49"/>
        <v>0</v>
      </c>
      <c r="O131" s="215">
        <f t="shared" si="49"/>
        <v>0</v>
      </c>
      <c r="P131" s="215">
        <f t="shared" si="49"/>
        <v>0</v>
      </c>
      <c r="Q131" s="215">
        <f t="shared" si="49"/>
        <v>0</v>
      </c>
      <c r="R131" s="215">
        <f t="shared" si="49"/>
        <v>0</v>
      </c>
      <c r="S131" s="215">
        <f t="shared" si="49"/>
        <v>0</v>
      </c>
      <c r="T131" s="215">
        <f t="shared" si="49"/>
        <v>0</v>
      </c>
      <c r="U131" s="215">
        <f t="shared" si="49"/>
        <v>0</v>
      </c>
      <c r="V131" s="215">
        <f t="shared" si="49"/>
        <v>0</v>
      </c>
      <c r="W131" s="215">
        <f t="shared" si="49"/>
        <v>0</v>
      </c>
      <c r="X131" s="215">
        <f>SUM(X126:X129)</f>
        <v>0</v>
      </c>
      <c r="Y131" s="215">
        <f>SUM(Y126:Y129)</f>
        <v>0</v>
      </c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spans="1:37" ht="20.149999999999999" customHeight="1" x14ac:dyDescent="0.45">
      <c r="A132" s="220"/>
      <c r="B132" s="11"/>
      <c r="C132" s="11"/>
      <c r="E132" s="11"/>
      <c r="F132" s="11"/>
      <c r="H132"/>
      <c r="I132"/>
      <c r="J132" s="103" t="s">
        <v>263</v>
      </c>
      <c r="K132" s="66"/>
      <c r="L132" s="216">
        <f t="shared" ref="L132:W132" si="50">L131/$C$200</f>
        <v>0</v>
      </c>
      <c r="M132" s="216">
        <f t="shared" si="50"/>
        <v>0</v>
      </c>
      <c r="N132" s="216">
        <f t="shared" si="50"/>
        <v>0</v>
      </c>
      <c r="O132" s="216">
        <f t="shared" si="50"/>
        <v>0</v>
      </c>
      <c r="P132" s="216">
        <f t="shared" si="50"/>
        <v>0</v>
      </c>
      <c r="Q132" s="216">
        <f t="shared" si="50"/>
        <v>0</v>
      </c>
      <c r="R132" s="216">
        <f t="shared" si="50"/>
        <v>0</v>
      </c>
      <c r="S132" s="216">
        <f t="shared" si="50"/>
        <v>0</v>
      </c>
      <c r="T132" s="216">
        <f t="shared" si="50"/>
        <v>0</v>
      </c>
      <c r="U132" s="216">
        <f t="shared" si="50"/>
        <v>0</v>
      </c>
      <c r="V132" s="216">
        <f t="shared" si="50"/>
        <v>0</v>
      </c>
      <c r="W132" s="216">
        <f t="shared" si="50"/>
        <v>0</v>
      </c>
      <c r="X132" s="216">
        <f>X131/$C$200</f>
        <v>0</v>
      </c>
      <c r="Y132" s="216">
        <f>Y131/$C$200</f>
        <v>0</v>
      </c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spans="1:37" ht="20.149999999999999" customHeight="1" x14ac:dyDescent="0.45">
      <c r="A133" s="220"/>
      <c r="B133" s="140"/>
      <c r="C133" s="140"/>
      <c r="E133" s="140"/>
      <c r="F133" s="140"/>
      <c r="G133" s="140"/>
      <c r="H133" s="140"/>
      <c r="I133" s="140"/>
      <c r="J133" s="102" t="s">
        <v>284</v>
      </c>
      <c r="K133" s="66"/>
      <c r="L133" s="51">
        <f>SUM(L131:Y131)</f>
        <v>0</v>
      </c>
      <c r="M133" s="140"/>
      <c r="N133" s="140"/>
      <c r="O133" s="140"/>
      <c r="P133" s="140"/>
      <c r="Q133" s="140"/>
      <c r="R133" s="140"/>
      <c r="S133" s="140"/>
      <c r="T133" s="140"/>
      <c r="U133" s="140"/>
      <c r="V133" s="140"/>
      <c r="W133" s="140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spans="1:37" ht="20.149999999999999" customHeight="1" x14ac:dyDescent="0.45">
      <c r="A134" s="220"/>
      <c r="B134" s="140"/>
      <c r="C134" s="140"/>
      <c r="D134" s="140"/>
      <c r="E134" s="140"/>
      <c r="F134" s="140"/>
      <c r="G134" s="140"/>
      <c r="H134" s="140"/>
      <c r="I134" s="140"/>
      <c r="J134" s="103" t="s">
        <v>261</v>
      </c>
      <c r="K134" s="66"/>
      <c r="L134" s="112">
        <f>L133/$C$200</f>
        <v>0</v>
      </c>
      <c r="M134" s="140"/>
      <c r="N134" s="140"/>
      <c r="O134" s="140"/>
      <c r="P134" s="140"/>
      <c r="Q134" s="140"/>
      <c r="R134" s="140"/>
      <c r="S134" s="140"/>
      <c r="T134" s="140"/>
      <c r="U134" s="140"/>
      <c r="V134" s="140"/>
      <c r="W134" s="140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spans="1:37" ht="20.149999999999999" customHeight="1" x14ac:dyDescent="0.45">
      <c r="A135" s="220"/>
      <c r="B135" s="140"/>
      <c r="C135" s="140"/>
      <c r="D135" s="140"/>
      <c r="E135" s="140"/>
      <c r="F135" s="140"/>
      <c r="G135" s="140"/>
      <c r="H135" s="140"/>
      <c r="I135" s="140"/>
      <c r="J135" s="224"/>
      <c r="K135" s="66"/>
      <c r="L135" s="18"/>
      <c r="M135" s="140"/>
      <c r="N135" s="140"/>
      <c r="O135" s="140"/>
      <c r="P135" s="140"/>
      <c r="Q135" s="140"/>
      <c r="R135" s="140"/>
      <c r="S135" s="140"/>
      <c r="T135" s="140"/>
      <c r="U135" s="140"/>
      <c r="V135" s="140"/>
      <c r="W135" s="140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spans="1:37" ht="20.149999999999999" customHeight="1" x14ac:dyDescent="0.45">
      <c r="A136" s="220"/>
      <c r="B136" s="484" t="s">
        <v>99</v>
      </c>
      <c r="C136" s="484"/>
      <c r="D136" s="484"/>
      <c r="E136" s="484"/>
      <c r="F136" s="484"/>
      <c r="G136" s="484"/>
      <c r="H136" s="484"/>
      <c r="I136" s="484"/>
      <c r="J136" s="484"/>
      <c r="K136" s="66"/>
      <c r="L136" s="283"/>
      <c r="M136" s="283"/>
      <c r="N136" s="283"/>
      <c r="O136" s="283"/>
      <c r="P136" s="283"/>
      <c r="Q136" s="283"/>
      <c r="R136" s="283"/>
      <c r="S136" s="283"/>
      <c r="T136" s="283"/>
      <c r="U136" s="283"/>
      <c r="V136" s="283"/>
      <c r="W136" s="283"/>
      <c r="X136" s="283"/>
      <c r="Y136" s="283"/>
      <c r="Z136" s="2"/>
      <c r="AA136" s="2"/>
    </row>
    <row r="137" spans="1:37" s="11" customFormat="1" ht="20.149999999999999" customHeight="1" x14ac:dyDescent="0.45">
      <c r="A137" s="225"/>
      <c r="B137" s="458" t="s">
        <v>285</v>
      </c>
      <c r="C137" s="458" t="s">
        <v>266</v>
      </c>
      <c r="D137" s="458" t="s">
        <v>28</v>
      </c>
      <c r="E137" s="458" t="s">
        <v>264</v>
      </c>
      <c r="F137" s="472" t="s">
        <v>430</v>
      </c>
      <c r="G137" s="472" t="s">
        <v>355</v>
      </c>
      <c r="H137" s="474" t="s">
        <v>335</v>
      </c>
      <c r="I137" s="474" t="s">
        <v>356</v>
      </c>
      <c r="J137" s="476" t="s">
        <v>265</v>
      </c>
      <c r="K137" s="66"/>
      <c r="L137" s="390" t="s">
        <v>84</v>
      </c>
      <c r="M137" s="390" t="s">
        <v>84</v>
      </c>
      <c r="N137" s="391" t="s">
        <v>66</v>
      </c>
      <c r="O137" s="390" t="s">
        <v>67</v>
      </c>
      <c r="P137" s="390" t="s">
        <v>68</v>
      </c>
      <c r="Q137" s="390" t="s">
        <v>69</v>
      </c>
      <c r="R137" s="390" t="s">
        <v>70</v>
      </c>
      <c r="S137" s="390" t="s">
        <v>71</v>
      </c>
      <c r="T137" s="390" t="s">
        <v>72</v>
      </c>
      <c r="U137" s="390" t="s">
        <v>73</v>
      </c>
      <c r="V137" s="390" t="s">
        <v>74</v>
      </c>
      <c r="W137" s="390" t="s">
        <v>75</v>
      </c>
      <c r="X137" s="390" t="s">
        <v>76</v>
      </c>
      <c r="Y137" s="390" t="s">
        <v>77</v>
      </c>
      <c r="Z137" s="2"/>
      <c r="AA137" s="2"/>
    </row>
    <row r="138" spans="1:37" s="11" customFormat="1" ht="20.149999999999999" customHeight="1" x14ac:dyDescent="0.45">
      <c r="A138" s="225"/>
      <c r="B138" s="458"/>
      <c r="C138" s="458"/>
      <c r="D138" s="458"/>
      <c r="E138" s="458"/>
      <c r="F138" s="473"/>
      <c r="G138" s="473"/>
      <c r="H138" s="475"/>
      <c r="I138" s="475"/>
      <c r="J138" s="477"/>
      <c r="K138" s="66"/>
      <c r="L138" s="392" t="s">
        <v>272</v>
      </c>
      <c r="M138" s="392" t="s">
        <v>272</v>
      </c>
      <c r="N138" s="392" t="s">
        <v>436</v>
      </c>
      <c r="O138" s="392" t="s">
        <v>437</v>
      </c>
      <c r="P138" s="392" t="s">
        <v>438</v>
      </c>
      <c r="Q138" s="392" t="s">
        <v>439</v>
      </c>
      <c r="R138" s="392" t="s">
        <v>392</v>
      </c>
      <c r="S138" s="392" t="s">
        <v>393</v>
      </c>
      <c r="T138" s="392" t="s">
        <v>394</v>
      </c>
      <c r="U138" s="392" t="s">
        <v>395</v>
      </c>
      <c r="V138" s="392" t="s">
        <v>396</v>
      </c>
      <c r="W138" s="392" t="s">
        <v>397</v>
      </c>
      <c r="X138" s="392" t="s">
        <v>398</v>
      </c>
      <c r="Y138" s="392" t="s">
        <v>399</v>
      </c>
      <c r="Z138" s="2"/>
      <c r="AA138" s="2"/>
    </row>
    <row r="139" spans="1:37" s="11" customFormat="1" ht="20.149999999999999" customHeight="1" x14ac:dyDescent="0.45">
      <c r="A139" s="225"/>
      <c r="B139" s="458"/>
      <c r="C139" s="458"/>
      <c r="D139" s="458"/>
      <c r="E139" s="458"/>
      <c r="F139" s="369" t="s">
        <v>259</v>
      </c>
      <c r="G139" s="370" t="s">
        <v>259</v>
      </c>
      <c r="H139" s="371" t="s">
        <v>260</v>
      </c>
      <c r="I139" s="372" t="s">
        <v>260</v>
      </c>
      <c r="J139" s="373" t="s">
        <v>260</v>
      </c>
      <c r="K139" s="66"/>
      <c r="L139" s="393" t="s">
        <v>272</v>
      </c>
      <c r="M139" s="393" t="s">
        <v>272</v>
      </c>
      <c r="N139" s="393">
        <v>31</v>
      </c>
      <c r="O139" s="393">
        <v>29</v>
      </c>
      <c r="P139" s="393">
        <v>31</v>
      </c>
      <c r="Q139" s="393">
        <v>30</v>
      </c>
      <c r="R139" s="393">
        <v>30</v>
      </c>
      <c r="S139" s="393">
        <v>31</v>
      </c>
      <c r="T139" s="393">
        <v>31</v>
      </c>
      <c r="U139" s="393">
        <v>31</v>
      </c>
      <c r="V139" s="393">
        <v>30</v>
      </c>
      <c r="W139" s="393">
        <v>31</v>
      </c>
      <c r="X139" s="393">
        <v>30</v>
      </c>
      <c r="Y139" s="393">
        <v>31</v>
      </c>
      <c r="Z139" s="2"/>
      <c r="AA139" s="2"/>
    </row>
    <row r="140" spans="1:37" s="11" customFormat="1" ht="20.149999999999999" customHeight="1" x14ac:dyDescent="0.45">
      <c r="A140" s="225"/>
      <c r="B140" s="195" t="s">
        <v>136</v>
      </c>
      <c r="C140" s="222"/>
      <c r="D140" s="107"/>
      <c r="E140" s="133">
        <v>0</v>
      </c>
      <c r="F140" s="108">
        <v>442.72274488101823</v>
      </c>
      <c r="G140" s="42">
        <f>E140*F140</f>
        <v>0</v>
      </c>
      <c r="H140" s="42">
        <f>F140*$C$200</f>
        <v>7999.9999999999991</v>
      </c>
      <c r="I140" s="42">
        <f>(E140*H140)</f>
        <v>0</v>
      </c>
      <c r="J140" s="42">
        <f>I140*1.16</f>
        <v>0</v>
      </c>
      <c r="K140" s="66"/>
      <c r="L140" s="209">
        <v>0</v>
      </c>
      <c r="M140" s="209">
        <f>L140</f>
        <v>0</v>
      </c>
      <c r="N140" s="209">
        <f>$I$140</f>
        <v>0</v>
      </c>
      <c r="O140" s="209">
        <f t="shared" ref="O140:Y140" si="51">$I$140</f>
        <v>0</v>
      </c>
      <c r="P140" s="209">
        <f t="shared" si="51"/>
        <v>0</v>
      </c>
      <c r="Q140" s="209">
        <f t="shared" si="51"/>
        <v>0</v>
      </c>
      <c r="R140" s="209">
        <f t="shared" si="51"/>
        <v>0</v>
      </c>
      <c r="S140" s="209">
        <f t="shared" si="51"/>
        <v>0</v>
      </c>
      <c r="T140" s="209">
        <f t="shared" si="51"/>
        <v>0</v>
      </c>
      <c r="U140" s="209">
        <f t="shared" si="51"/>
        <v>0</v>
      </c>
      <c r="V140" s="209">
        <f t="shared" si="51"/>
        <v>0</v>
      </c>
      <c r="W140" s="209">
        <f t="shared" si="51"/>
        <v>0</v>
      </c>
      <c r="X140" s="209">
        <f t="shared" si="51"/>
        <v>0</v>
      </c>
      <c r="Y140" s="209">
        <f t="shared" si="51"/>
        <v>0</v>
      </c>
    </row>
    <row r="141" spans="1:37" s="11" customFormat="1" ht="20.149999999999999" customHeight="1" x14ac:dyDescent="0.45">
      <c r="A141" s="225"/>
      <c r="B141" s="195" t="s">
        <v>137</v>
      </c>
      <c r="C141" s="222"/>
      <c r="D141" s="107"/>
      <c r="E141" s="133">
        <v>0</v>
      </c>
      <c r="F141" s="108">
        <v>110.68068622025456</v>
      </c>
      <c r="G141" s="42">
        <f>E141*F141</f>
        <v>0</v>
      </c>
      <c r="H141" s="42">
        <f>F141*$C$200</f>
        <v>1999.9999999999998</v>
      </c>
      <c r="I141" s="42">
        <f>(E141*H141)</f>
        <v>0</v>
      </c>
      <c r="J141" s="42">
        <f>I141*1.16</f>
        <v>0</v>
      </c>
      <c r="K141" s="66"/>
      <c r="L141" s="209">
        <v>0</v>
      </c>
      <c r="M141" s="209">
        <f t="shared" ref="M141:Y141" si="52">L141</f>
        <v>0</v>
      </c>
      <c r="N141" s="209">
        <f t="shared" si="52"/>
        <v>0</v>
      </c>
      <c r="O141" s="209">
        <f t="shared" si="52"/>
        <v>0</v>
      </c>
      <c r="P141" s="209">
        <f t="shared" si="52"/>
        <v>0</v>
      </c>
      <c r="Q141" s="209">
        <f t="shared" si="52"/>
        <v>0</v>
      </c>
      <c r="R141" s="209">
        <f t="shared" si="52"/>
        <v>0</v>
      </c>
      <c r="S141" s="209">
        <f t="shared" si="52"/>
        <v>0</v>
      </c>
      <c r="T141" s="209">
        <f t="shared" si="52"/>
        <v>0</v>
      </c>
      <c r="U141" s="209">
        <f t="shared" si="52"/>
        <v>0</v>
      </c>
      <c r="V141" s="209">
        <f t="shared" si="52"/>
        <v>0</v>
      </c>
      <c r="W141" s="209">
        <f t="shared" si="52"/>
        <v>0</v>
      </c>
      <c r="X141" s="209">
        <f t="shared" si="52"/>
        <v>0</v>
      </c>
      <c r="Y141" s="209">
        <f t="shared" si="52"/>
        <v>0</v>
      </c>
    </row>
    <row r="142" spans="1:37" ht="20.149999999999999" customHeight="1" x14ac:dyDescent="0.45">
      <c r="A142" s="225"/>
      <c r="D142" s="239"/>
      <c r="K142" s="66"/>
    </row>
    <row r="143" spans="1:37" s="11" customFormat="1" ht="20.149999999999999" customHeight="1" x14ac:dyDescent="0.45">
      <c r="A143" s="225"/>
      <c r="B143" s="123"/>
      <c r="C143" s="123"/>
      <c r="D143" s="378"/>
      <c r="G143"/>
      <c r="H143"/>
      <c r="I143"/>
      <c r="J143" s="102" t="s">
        <v>262</v>
      </c>
      <c r="K143" s="66"/>
      <c r="L143" s="215">
        <f t="shared" ref="L143:W143" si="53">SUM(L140:L142)</f>
        <v>0</v>
      </c>
      <c r="M143" s="215">
        <f t="shared" si="53"/>
        <v>0</v>
      </c>
      <c r="N143" s="215">
        <f t="shared" si="53"/>
        <v>0</v>
      </c>
      <c r="O143" s="215">
        <f t="shared" si="53"/>
        <v>0</v>
      </c>
      <c r="P143" s="215">
        <f t="shared" si="53"/>
        <v>0</v>
      </c>
      <c r="Q143" s="215">
        <f t="shared" si="53"/>
        <v>0</v>
      </c>
      <c r="R143" s="215">
        <f t="shared" si="53"/>
        <v>0</v>
      </c>
      <c r="S143" s="215">
        <f t="shared" si="53"/>
        <v>0</v>
      </c>
      <c r="T143" s="215">
        <f t="shared" si="53"/>
        <v>0</v>
      </c>
      <c r="U143" s="215">
        <f t="shared" si="53"/>
        <v>0</v>
      </c>
      <c r="V143" s="215">
        <f t="shared" si="53"/>
        <v>0</v>
      </c>
      <c r="W143" s="215">
        <f t="shared" si="53"/>
        <v>0</v>
      </c>
      <c r="X143" s="215">
        <f>SUM(X140:X142)</f>
        <v>0</v>
      </c>
      <c r="Y143" s="215">
        <f>SUM(Y140:Y142)</f>
        <v>0</v>
      </c>
    </row>
    <row r="144" spans="1:37" s="11" customFormat="1" ht="20.149999999999999" customHeight="1" x14ac:dyDescent="0.45">
      <c r="A144" s="225"/>
      <c r="B144" s="123"/>
      <c r="C144" s="123"/>
      <c r="D144" s="123"/>
      <c r="G144"/>
      <c r="H144"/>
      <c r="I144"/>
      <c r="J144" s="103" t="s">
        <v>263</v>
      </c>
      <c r="K144" s="66"/>
      <c r="L144" s="216">
        <f t="shared" ref="L144:W144" si="54">L143/$C$200</f>
        <v>0</v>
      </c>
      <c r="M144" s="216">
        <f t="shared" si="54"/>
        <v>0</v>
      </c>
      <c r="N144" s="216">
        <f t="shared" si="54"/>
        <v>0</v>
      </c>
      <c r="O144" s="216">
        <f t="shared" si="54"/>
        <v>0</v>
      </c>
      <c r="P144" s="216">
        <f t="shared" si="54"/>
        <v>0</v>
      </c>
      <c r="Q144" s="216">
        <f t="shared" si="54"/>
        <v>0</v>
      </c>
      <c r="R144" s="216">
        <f t="shared" si="54"/>
        <v>0</v>
      </c>
      <c r="S144" s="216">
        <f t="shared" si="54"/>
        <v>0</v>
      </c>
      <c r="T144" s="216">
        <f t="shared" si="54"/>
        <v>0</v>
      </c>
      <c r="U144" s="216">
        <f t="shared" si="54"/>
        <v>0</v>
      </c>
      <c r="V144" s="216">
        <f t="shared" si="54"/>
        <v>0</v>
      </c>
      <c r="W144" s="216">
        <f t="shared" si="54"/>
        <v>0</v>
      </c>
      <c r="X144" s="216">
        <f>X143/$C$200</f>
        <v>0</v>
      </c>
      <c r="Y144" s="216">
        <f>Y143/$C$200</f>
        <v>0</v>
      </c>
    </row>
    <row r="145" spans="1:27" s="11" customFormat="1" ht="20.149999999999999" customHeight="1" x14ac:dyDescent="0.45">
      <c r="A145" s="225"/>
      <c r="B145" s="226"/>
      <c r="C145" s="226"/>
      <c r="D145" s="226"/>
      <c r="E145" s="226"/>
      <c r="F145" s="226"/>
      <c r="G145" s="226"/>
      <c r="H145" s="226"/>
      <c r="I145" s="226"/>
      <c r="J145" s="102" t="s">
        <v>284</v>
      </c>
      <c r="K145" s="66"/>
      <c r="L145" s="51">
        <f>SUM(L143:Y143)</f>
        <v>0</v>
      </c>
      <c r="M145" s="226"/>
      <c r="N145" s="226"/>
      <c r="O145" s="226"/>
      <c r="P145" s="226"/>
      <c r="Q145" s="226"/>
      <c r="R145" s="226"/>
      <c r="S145" s="226"/>
      <c r="T145" s="226"/>
      <c r="U145" s="226"/>
      <c r="V145" s="226"/>
      <c r="W145" s="226"/>
      <c r="X145" s="38"/>
      <c r="Y145" s="38"/>
    </row>
    <row r="146" spans="1:27" s="11" customFormat="1" ht="20.149999999999999" customHeight="1" x14ac:dyDescent="0.45">
      <c r="A146" s="225"/>
      <c r="B146" s="226"/>
      <c r="C146" s="226"/>
      <c r="D146" s="226"/>
      <c r="E146" s="226"/>
      <c r="F146" s="226"/>
      <c r="G146" s="226"/>
      <c r="H146" s="226"/>
      <c r="I146" s="226"/>
      <c r="J146" s="103" t="s">
        <v>261</v>
      </c>
      <c r="K146" s="66"/>
      <c r="L146" s="112">
        <f>L145/$C$200</f>
        <v>0</v>
      </c>
      <c r="M146" s="226"/>
      <c r="N146" s="226"/>
      <c r="O146" s="226"/>
      <c r="P146" s="226"/>
      <c r="Q146" s="226"/>
      <c r="R146" s="226"/>
      <c r="S146" s="226"/>
      <c r="T146" s="226"/>
      <c r="U146" s="226"/>
      <c r="V146" s="226"/>
      <c r="W146" s="226"/>
      <c r="X146" s="38"/>
      <c r="Y146" s="38"/>
    </row>
    <row r="147" spans="1:27" s="11" customFormat="1" ht="20.149999999999999" customHeight="1" x14ac:dyDescent="0.45">
      <c r="A147" s="225"/>
      <c r="B147" s="226"/>
      <c r="C147" s="226"/>
      <c r="D147" s="226"/>
      <c r="E147" s="226"/>
      <c r="F147" s="226"/>
      <c r="G147" s="226"/>
      <c r="H147" s="226"/>
      <c r="I147" s="226"/>
      <c r="J147" s="224"/>
      <c r="K147" s="66"/>
      <c r="L147" s="18"/>
      <c r="M147" s="226"/>
      <c r="N147" s="226"/>
      <c r="O147" s="226"/>
      <c r="P147" s="226"/>
      <c r="Q147" s="226"/>
      <c r="R147" s="226"/>
      <c r="S147" s="226"/>
      <c r="T147" s="226"/>
      <c r="U147" s="226"/>
      <c r="V147" s="226"/>
      <c r="W147" s="226"/>
      <c r="X147" s="38"/>
      <c r="Y147" s="38"/>
    </row>
    <row r="148" spans="1:27" s="11" customFormat="1" ht="20.149999999999999" customHeight="1" x14ac:dyDescent="0.45">
      <c r="A148" s="225"/>
      <c r="B148" s="484" t="s">
        <v>100</v>
      </c>
      <c r="C148" s="484"/>
      <c r="D148" s="484"/>
      <c r="E148" s="484"/>
      <c r="F148" s="484"/>
      <c r="G148" s="484"/>
      <c r="H148" s="484"/>
      <c r="I148" s="484"/>
      <c r="J148" s="484"/>
      <c r="K148" s="66"/>
      <c r="L148" s="283"/>
      <c r="M148" s="283"/>
      <c r="N148" s="283"/>
      <c r="O148" s="283"/>
      <c r="P148" s="283"/>
      <c r="Q148" s="283"/>
      <c r="R148" s="283"/>
      <c r="S148" s="283"/>
      <c r="T148" s="283"/>
      <c r="U148" s="283"/>
      <c r="V148" s="283"/>
      <c r="W148" s="283"/>
      <c r="X148" s="283"/>
      <c r="Y148" s="283"/>
      <c r="Z148" s="2"/>
      <c r="AA148" s="2"/>
    </row>
    <row r="149" spans="1:27" s="11" customFormat="1" ht="20.149999999999999" customHeight="1" x14ac:dyDescent="0.45">
      <c r="A149" s="225"/>
      <c r="B149" s="458" t="s">
        <v>285</v>
      </c>
      <c r="C149" s="458" t="s">
        <v>266</v>
      </c>
      <c r="D149" s="458" t="s">
        <v>28</v>
      </c>
      <c r="E149" s="458" t="s">
        <v>264</v>
      </c>
      <c r="F149" s="472" t="s">
        <v>430</v>
      </c>
      <c r="G149" s="472" t="s">
        <v>355</v>
      </c>
      <c r="H149" s="474" t="s">
        <v>335</v>
      </c>
      <c r="I149" s="474" t="s">
        <v>356</v>
      </c>
      <c r="J149" s="476" t="s">
        <v>265</v>
      </c>
      <c r="K149" s="66"/>
      <c r="L149" s="390" t="s">
        <v>84</v>
      </c>
      <c r="M149" s="390" t="s">
        <v>84</v>
      </c>
      <c r="N149" s="391" t="s">
        <v>66</v>
      </c>
      <c r="O149" s="390" t="s">
        <v>67</v>
      </c>
      <c r="P149" s="390" t="s">
        <v>68</v>
      </c>
      <c r="Q149" s="390" t="s">
        <v>69</v>
      </c>
      <c r="R149" s="390" t="s">
        <v>70</v>
      </c>
      <c r="S149" s="390" t="s">
        <v>71</v>
      </c>
      <c r="T149" s="390" t="s">
        <v>72</v>
      </c>
      <c r="U149" s="390" t="s">
        <v>73</v>
      </c>
      <c r="V149" s="390" t="s">
        <v>74</v>
      </c>
      <c r="W149" s="390" t="s">
        <v>75</v>
      </c>
      <c r="X149" s="390" t="s">
        <v>76</v>
      </c>
      <c r="Y149" s="390" t="s">
        <v>77</v>
      </c>
      <c r="Z149" s="2"/>
      <c r="AA149" s="2"/>
    </row>
    <row r="150" spans="1:27" s="11" customFormat="1" ht="20.149999999999999" customHeight="1" x14ac:dyDescent="0.45">
      <c r="A150" s="225"/>
      <c r="B150" s="458"/>
      <c r="C150" s="458"/>
      <c r="D150" s="458"/>
      <c r="E150" s="458"/>
      <c r="F150" s="473"/>
      <c r="G150" s="473"/>
      <c r="H150" s="475"/>
      <c r="I150" s="475"/>
      <c r="J150" s="477"/>
      <c r="K150" s="66"/>
      <c r="L150" s="392" t="s">
        <v>272</v>
      </c>
      <c r="M150" s="392" t="s">
        <v>272</v>
      </c>
      <c r="N150" s="392" t="s">
        <v>436</v>
      </c>
      <c r="O150" s="392" t="s">
        <v>437</v>
      </c>
      <c r="P150" s="392" t="s">
        <v>438</v>
      </c>
      <c r="Q150" s="392" t="s">
        <v>439</v>
      </c>
      <c r="R150" s="392" t="s">
        <v>392</v>
      </c>
      <c r="S150" s="392" t="s">
        <v>393</v>
      </c>
      <c r="T150" s="392" t="s">
        <v>394</v>
      </c>
      <c r="U150" s="392" t="s">
        <v>395</v>
      </c>
      <c r="V150" s="392" t="s">
        <v>396</v>
      </c>
      <c r="W150" s="392" t="s">
        <v>397</v>
      </c>
      <c r="X150" s="392" t="s">
        <v>398</v>
      </c>
      <c r="Y150" s="392" t="s">
        <v>399</v>
      </c>
      <c r="Z150" s="2"/>
      <c r="AA150" s="2"/>
    </row>
    <row r="151" spans="1:27" s="11" customFormat="1" ht="20.149999999999999" customHeight="1" x14ac:dyDescent="0.45">
      <c r="A151" s="225"/>
      <c r="B151" s="458"/>
      <c r="C151" s="458"/>
      <c r="D151" s="458"/>
      <c r="E151" s="458"/>
      <c r="F151" s="369" t="s">
        <v>259</v>
      </c>
      <c r="G151" s="370" t="s">
        <v>259</v>
      </c>
      <c r="H151" s="371" t="s">
        <v>260</v>
      </c>
      <c r="I151" s="372" t="s">
        <v>260</v>
      </c>
      <c r="J151" s="373" t="s">
        <v>260</v>
      </c>
      <c r="K151" s="66"/>
      <c r="L151" s="393" t="s">
        <v>272</v>
      </c>
      <c r="M151" s="393" t="s">
        <v>272</v>
      </c>
      <c r="N151" s="393">
        <v>31</v>
      </c>
      <c r="O151" s="393">
        <v>29</v>
      </c>
      <c r="P151" s="393">
        <v>31</v>
      </c>
      <c r="Q151" s="393">
        <v>30</v>
      </c>
      <c r="R151" s="393">
        <v>30</v>
      </c>
      <c r="S151" s="393">
        <v>31</v>
      </c>
      <c r="T151" s="393">
        <v>31</v>
      </c>
      <c r="U151" s="393">
        <v>31</v>
      </c>
      <c r="V151" s="393">
        <v>30</v>
      </c>
      <c r="W151" s="393">
        <v>31</v>
      </c>
      <c r="X151" s="393">
        <v>30</v>
      </c>
      <c r="Y151" s="393">
        <v>31</v>
      </c>
      <c r="Z151" s="2"/>
      <c r="AA151" s="2"/>
    </row>
    <row r="152" spans="1:27" s="11" customFormat="1" ht="20.149999999999999" customHeight="1" x14ac:dyDescent="0.45">
      <c r="A152" s="225"/>
      <c r="B152" s="107" t="s">
        <v>173</v>
      </c>
      <c r="C152" s="207" t="s">
        <v>287</v>
      </c>
      <c r="D152" s="107"/>
      <c r="E152" s="133">
        <v>0</v>
      </c>
      <c r="F152" s="108">
        <v>110.68068622025456</v>
      </c>
      <c r="G152" s="42">
        <f>E152*F152</f>
        <v>0</v>
      </c>
      <c r="H152" s="42">
        <f t="shared" ref="H152:H160" si="55">F152*$C$200</f>
        <v>1999.9999999999998</v>
      </c>
      <c r="I152" s="42">
        <f>(E152*H152)</f>
        <v>0</v>
      </c>
      <c r="J152" s="42">
        <f t="shared" ref="J152:J160" si="56">I152*1.16</f>
        <v>0</v>
      </c>
      <c r="K152" s="66"/>
      <c r="L152" s="209">
        <f>I152</f>
        <v>0</v>
      </c>
      <c r="M152" s="209">
        <f>I152</f>
        <v>0</v>
      </c>
      <c r="N152" s="209">
        <v>0</v>
      </c>
      <c r="O152" s="209">
        <f>N152</f>
        <v>0</v>
      </c>
      <c r="P152" s="209">
        <f>O152</f>
        <v>0</v>
      </c>
      <c r="Q152" s="209">
        <v>0</v>
      </c>
      <c r="R152" s="209">
        <v>0</v>
      </c>
      <c r="S152" s="209">
        <v>0</v>
      </c>
      <c r="T152" s="209">
        <v>0</v>
      </c>
      <c r="U152" s="209">
        <v>0</v>
      </c>
      <c r="V152" s="209">
        <v>0</v>
      </c>
      <c r="W152" s="209">
        <v>0</v>
      </c>
      <c r="X152" s="209">
        <v>0</v>
      </c>
      <c r="Y152" s="209">
        <v>0</v>
      </c>
    </row>
    <row r="153" spans="1:27" s="11" customFormat="1" ht="20.149999999999999" customHeight="1" x14ac:dyDescent="0.45">
      <c r="A153" s="225"/>
      <c r="B153" s="107" t="s">
        <v>173</v>
      </c>
      <c r="C153" s="107" t="s">
        <v>288</v>
      </c>
      <c r="D153" s="107"/>
      <c r="E153" s="133">
        <v>0</v>
      </c>
      <c r="F153" s="108">
        <v>11.068068622025457</v>
      </c>
      <c r="G153" s="42">
        <f>E153*F153</f>
        <v>0</v>
      </c>
      <c r="H153" s="42">
        <f t="shared" si="55"/>
        <v>200</v>
      </c>
      <c r="I153" s="42">
        <f>(E153*H153)</f>
        <v>0</v>
      </c>
      <c r="J153" s="42">
        <f t="shared" si="56"/>
        <v>0</v>
      </c>
      <c r="K153" s="66"/>
      <c r="L153" s="209">
        <f t="shared" ref="L153:L155" si="57">I153</f>
        <v>0</v>
      </c>
      <c r="M153" s="209">
        <f>I153</f>
        <v>0</v>
      </c>
      <c r="N153" s="209">
        <v>0</v>
      </c>
      <c r="O153" s="209">
        <f>N153</f>
        <v>0</v>
      </c>
      <c r="P153" s="209">
        <f>O153</f>
        <v>0</v>
      </c>
      <c r="Q153" s="209">
        <v>0</v>
      </c>
      <c r="R153" s="209">
        <v>0</v>
      </c>
      <c r="S153" s="209">
        <v>0</v>
      </c>
      <c r="T153" s="209">
        <v>0</v>
      </c>
      <c r="U153" s="209">
        <v>0</v>
      </c>
      <c r="V153" s="209">
        <v>0</v>
      </c>
      <c r="W153" s="209">
        <v>0</v>
      </c>
      <c r="X153" s="209">
        <v>0</v>
      </c>
      <c r="Y153" s="209">
        <v>0</v>
      </c>
    </row>
    <row r="154" spans="1:27" s="11" customFormat="1" ht="20.149999999999999" customHeight="1" x14ac:dyDescent="0.45">
      <c r="A154" s="225"/>
      <c r="B154" s="107" t="s">
        <v>173</v>
      </c>
      <c r="C154" s="207" t="s">
        <v>289</v>
      </c>
      <c r="D154" s="107"/>
      <c r="E154" s="133">
        <v>0</v>
      </c>
      <c r="F154" s="108">
        <v>110.68068622025456</v>
      </c>
      <c r="G154" s="42">
        <f t="shared" ref="G154:G160" si="58">E154*F154</f>
        <v>0</v>
      </c>
      <c r="H154" s="42">
        <f t="shared" si="55"/>
        <v>1999.9999999999998</v>
      </c>
      <c r="I154" s="42">
        <f t="shared" ref="I154:I160" si="59">(E154*H154)</f>
        <v>0</v>
      </c>
      <c r="J154" s="42">
        <f t="shared" si="56"/>
        <v>0</v>
      </c>
      <c r="K154" s="66"/>
      <c r="L154" s="209">
        <f t="shared" si="57"/>
        <v>0</v>
      </c>
      <c r="M154" s="209">
        <f>$I$154</f>
        <v>0</v>
      </c>
      <c r="N154" s="209">
        <v>0</v>
      </c>
      <c r="O154" s="209">
        <v>0</v>
      </c>
      <c r="P154" s="209">
        <v>0</v>
      </c>
      <c r="Q154" s="209">
        <v>0</v>
      </c>
      <c r="R154" s="209">
        <v>0</v>
      </c>
      <c r="S154" s="209">
        <v>0</v>
      </c>
      <c r="T154" s="209">
        <v>0</v>
      </c>
      <c r="U154" s="209">
        <v>0</v>
      </c>
      <c r="V154" s="209">
        <v>0</v>
      </c>
      <c r="W154" s="209">
        <v>0</v>
      </c>
      <c r="X154" s="209">
        <v>0</v>
      </c>
      <c r="Y154" s="209">
        <v>0</v>
      </c>
    </row>
    <row r="155" spans="1:27" s="11" customFormat="1" ht="20.149999999999999" customHeight="1" x14ac:dyDescent="0.45">
      <c r="A155" s="225"/>
      <c r="B155" s="107" t="s">
        <v>173</v>
      </c>
      <c r="C155" s="107" t="s">
        <v>290</v>
      </c>
      <c r="D155" s="107"/>
      <c r="E155" s="133">
        <v>0</v>
      </c>
      <c r="F155" s="108">
        <v>11.068068622025457</v>
      </c>
      <c r="G155" s="42">
        <f t="shared" si="58"/>
        <v>0</v>
      </c>
      <c r="H155" s="42">
        <f t="shared" si="55"/>
        <v>200</v>
      </c>
      <c r="I155" s="42">
        <f t="shared" si="59"/>
        <v>0</v>
      </c>
      <c r="J155" s="42">
        <f t="shared" si="56"/>
        <v>0</v>
      </c>
      <c r="K155" s="66"/>
      <c r="L155" s="209">
        <f t="shared" si="57"/>
        <v>0</v>
      </c>
      <c r="M155" s="209">
        <f>I155</f>
        <v>0</v>
      </c>
      <c r="N155" s="209">
        <v>0</v>
      </c>
      <c r="O155" s="209">
        <f>N155</f>
        <v>0</v>
      </c>
      <c r="P155" s="209">
        <f>O155</f>
        <v>0</v>
      </c>
      <c r="Q155" s="209">
        <v>0</v>
      </c>
      <c r="R155" s="209">
        <v>0</v>
      </c>
      <c r="S155" s="209">
        <v>0</v>
      </c>
      <c r="T155" s="209">
        <v>0</v>
      </c>
      <c r="U155" s="209">
        <v>0</v>
      </c>
      <c r="V155" s="209">
        <v>0</v>
      </c>
      <c r="W155" s="209">
        <v>0</v>
      </c>
      <c r="X155" s="209">
        <v>0</v>
      </c>
      <c r="Y155" s="209">
        <v>0</v>
      </c>
    </row>
    <row r="156" spans="1:27" s="11" customFormat="1" ht="20.149999999999999" customHeight="1" x14ac:dyDescent="0.45">
      <c r="A156" s="225"/>
      <c r="B156" s="107" t="s">
        <v>173</v>
      </c>
      <c r="C156" s="207" t="s">
        <v>308</v>
      </c>
      <c r="D156" s="107"/>
      <c r="E156" s="133">
        <v>0</v>
      </c>
      <c r="F156" s="108">
        <v>110.68068622025456</v>
      </c>
      <c r="G156" s="42">
        <f t="shared" si="58"/>
        <v>0</v>
      </c>
      <c r="H156" s="42">
        <f t="shared" si="55"/>
        <v>1999.9999999999998</v>
      </c>
      <c r="I156" s="42">
        <f t="shared" si="59"/>
        <v>0</v>
      </c>
      <c r="J156" s="42">
        <f t="shared" si="56"/>
        <v>0</v>
      </c>
      <c r="K156" s="66"/>
      <c r="L156" s="209">
        <v>0</v>
      </c>
      <c r="M156" s="209">
        <f t="shared" ref="M156:Y156" si="60">L156</f>
        <v>0</v>
      </c>
      <c r="N156" s="209">
        <f t="shared" ref="N156:N160" si="61">I156</f>
        <v>0</v>
      </c>
      <c r="O156" s="209">
        <v>0</v>
      </c>
      <c r="P156" s="209">
        <f t="shared" si="60"/>
        <v>0</v>
      </c>
      <c r="Q156" s="209">
        <f t="shared" si="60"/>
        <v>0</v>
      </c>
      <c r="R156" s="209">
        <f t="shared" si="60"/>
        <v>0</v>
      </c>
      <c r="S156" s="209">
        <f t="shared" si="60"/>
        <v>0</v>
      </c>
      <c r="T156" s="209">
        <f t="shared" si="60"/>
        <v>0</v>
      </c>
      <c r="U156" s="209">
        <f t="shared" si="60"/>
        <v>0</v>
      </c>
      <c r="V156" s="209">
        <f t="shared" si="60"/>
        <v>0</v>
      </c>
      <c r="W156" s="209">
        <f t="shared" si="60"/>
        <v>0</v>
      </c>
      <c r="X156" s="209">
        <f t="shared" si="60"/>
        <v>0</v>
      </c>
      <c r="Y156" s="209">
        <f t="shared" si="60"/>
        <v>0</v>
      </c>
    </row>
    <row r="157" spans="1:27" s="11" customFormat="1" ht="20.149999999999999" customHeight="1" x14ac:dyDescent="0.45">
      <c r="A157" s="225"/>
      <c r="B157" s="107" t="s">
        <v>173</v>
      </c>
      <c r="C157" s="107" t="s">
        <v>330</v>
      </c>
      <c r="D157" s="107"/>
      <c r="E157" s="133">
        <v>0</v>
      </c>
      <c r="F157" s="108">
        <v>11.068068622025457</v>
      </c>
      <c r="G157" s="42">
        <f t="shared" si="58"/>
        <v>0</v>
      </c>
      <c r="H157" s="42">
        <f t="shared" si="55"/>
        <v>200</v>
      </c>
      <c r="I157" s="42">
        <f t="shared" si="59"/>
        <v>0</v>
      </c>
      <c r="J157" s="42">
        <f t="shared" si="56"/>
        <v>0</v>
      </c>
      <c r="K157" s="66"/>
      <c r="L157" s="209">
        <v>0</v>
      </c>
      <c r="M157" s="209">
        <f t="shared" ref="M157:Y157" si="62">L157</f>
        <v>0</v>
      </c>
      <c r="N157" s="209">
        <f t="shared" si="61"/>
        <v>0</v>
      </c>
      <c r="O157" s="209">
        <v>0</v>
      </c>
      <c r="P157" s="209">
        <f t="shared" si="62"/>
        <v>0</v>
      </c>
      <c r="Q157" s="209">
        <f t="shared" si="62"/>
        <v>0</v>
      </c>
      <c r="R157" s="209">
        <f t="shared" si="62"/>
        <v>0</v>
      </c>
      <c r="S157" s="209">
        <f t="shared" si="62"/>
        <v>0</v>
      </c>
      <c r="T157" s="209">
        <f t="shared" si="62"/>
        <v>0</v>
      </c>
      <c r="U157" s="209">
        <f t="shared" si="62"/>
        <v>0</v>
      </c>
      <c r="V157" s="209">
        <f t="shared" si="62"/>
        <v>0</v>
      </c>
      <c r="W157" s="209">
        <f t="shared" si="62"/>
        <v>0</v>
      </c>
      <c r="X157" s="209">
        <f t="shared" si="62"/>
        <v>0</v>
      </c>
      <c r="Y157" s="209">
        <f t="shared" si="62"/>
        <v>0</v>
      </c>
    </row>
    <row r="158" spans="1:27" s="11" customFormat="1" ht="20.149999999999999" customHeight="1" x14ac:dyDescent="0.45">
      <c r="A158" s="225"/>
      <c r="B158" s="107" t="s">
        <v>173</v>
      </c>
      <c r="C158" s="107" t="s">
        <v>292</v>
      </c>
      <c r="D158" s="107"/>
      <c r="E158" s="133">
        <v>0</v>
      </c>
      <c r="F158" s="108">
        <v>16.602102933038186</v>
      </c>
      <c r="G158" s="42">
        <f t="shared" si="58"/>
        <v>0</v>
      </c>
      <c r="H158" s="42">
        <f t="shared" si="55"/>
        <v>300</v>
      </c>
      <c r="I158" s="42">
        <f t="shared" si="59"/>
        <v>0</v>
      </c>
      <c r="J158" s="42">
        <f t="shared" si="56"/>
        <v>0</v>
      </c>
      <c r="K158" s="66"/>
      <c r="L158" s="209">
        <v>0</v>
      </c>
      <c r="M158" s="209">
        <f t="shared" ref="M158:Y158" si="63">L158</f>
        <v>0</v>
      </c>
      <c r="N158" s="209">
        <f t="shared" si="61"/>
        <v>0</v>
      </c>
      <c r="O158" s="209">
        <v>0</v>
      </c>
      <c r="P158" s="209">
        <f t="shared" si="63"/>
        <v>0</v>
      </c>
      <c r="Q158" s="209">
        <f t="shared" si="63"/>
        <v>0</v>
      </c>
      <c r="R158" s="209">
        <f t="shared" si="63"/>
        <v>0</v>
      </c>
      <c r="S158" s="209">
        <f t="shared" si="63"/>
        <v>0</v>
      </c>
      <c r="T158" s="209">
        <f t="shared" si="63"/>
        <v>0</v>
      </c>
      <c r="U158" s="209">
        <f t="shared" si="63"/>
        <v>0</v>
      </c>
      <c r="V158" s="209">
        <f t="shared" si="63"/>
        <v>0</v>
      </c>
      <c r="W158" s="209">
        <f t="shared" si="63"/>
        <v>0</v>
      </c>
      <c r="X158" s="209">
        <f t="shared" si="63"/>
        <v>0</v>
      </c>
      <c r="Y158" s="209">
        <f t="shared" si="63"/>
        <v>0</v>
      </c>
    </row>
    <row r="159" spans="1:27" s="11" customFormat="1" ht="20.149999999999999" customHeight="1" x14ac:dyDescent="0.45">
      <c r="A159" s="225"/>
      <c r="B159" s="107" t="s">
        <v>173</v>
      </c>
      <c r="C159" s="107" t="s">
        <v>293</v>
      </c>
      <c r="D159" s="107"/>
      <c r="E159" s="133">
        <v>0</v>
      </c>
      <c r="F159" s="108">
        <v>16.602102933038186</v>
      </c>
      <c r="G159" s="42">
        <f t="shared" si="58"/>
        <v>0</v>
      </c>
      <c r="H159" s="42">
        <f t="shared" si="55"/>
        <v>300</v>
      </c>
      <c r="I159" s="42">
        <f t="shared" si="59"/>
        <v>0</v>
      </c>
      <c r="J159" s="42">
        <f t="shared" si="56"/>
        <v>0</v>
      </c>
      <c r="K159" s="66"/>
      <c r="L159" s="209">
        <v>0</v>
      </c>
      <c r="M159" s="209">
        <f t="shared" ref="M159:Y159" si="64">L159</f>
        <v>0</v>
      </c>
      <c r="N159" s="209">
        <f t="shared" si="61"/>
        <v>0</v>
      </c>
      <c r="O159" s="209">
        <v>0</v>
      </c>
      <c r="P159" s="209">
        <f t="shared" si="64"/>
        <v>0</v>
      </c>
      <c r="Q159" s="209">
        <f t="shared" si="64"/>
        <v>0</v>
      </c>
      <c r="R159" s="209">
        <f t="shared" si="64"/>
        <v>0</v>
      </c>
      <c r="S159" s="209">
        <f t="shared" si="64"/>
        <v>0</v>
      </c>
      <c r="T159" s="209">
        <f t="shared" si="64"/>
        <v>0</v>
      </c>
      <c r="U159" s="209">
        <f t="shared" si="64"/>
        <v>0</v>
      </c>
      <c r="V159" s="209">
        <f t="shared" si="64"/>
        <v>0</v>
      </c>
      <c r="W159" s="209">
        <f t="shared" si="64"/>
        <v>0</v>
      </c>
      <c r="X159" s="209">
        <f t="shared" si="64"/>
        <v>0</v>
      </c>
      <c r="Y159" s="209">
        <f t="shared" si="64"/>
        <v>0</v>
      </c>
    </row>
    <row r="160" spans="1:27" s="11" customFormat="1" ht="20.149999999999999" customHeight="1" x14ac:dyDescent="0.45">
      <c r="A160" s="225"/>
      <c r="B160" s="107" t="s">
        <v>173</v>
      </c>
      <c r="C160" s="107" t="s">
        <v>291</v>
      </c>
      <c r="D160" s="107"/>
      <c r="E160" s="133">
        <v>0</v>
      </c>
      <c r="F160" s="108">
        <v>16.602102933038186</v>
      </c>
      <c r="G160" s="42">
        <f t="shared" si="58"/>
        <v>0</v>
      </c>
      <c r="H160" s="42">
        <f t="shared" si="55"/>
        <v>300</v>
      </c>
      <c r="I160" s="42">
        <f t="shared" si="59"/>
        <v>0</v>
      </c>
      <c r="J160" s="42">
        <f t="shared" si="56"/>
        <v>0</v>
      </c>
      <c r="K160" s="66"/>
      <c r="L160" s="209">
        <v>0</v>
      </c>
      <c r="M160" s="209">
        <f t="shared" ref="M160:Y160" si="65">L160</f>
        <v>0</v>
      </c>
      <c r="N160" s="209">
        <f t="shared" si="61"/>
        <v>0</v>
      </c>
      <c r="O160" s="209">
        <v>0</v>
      </c>
      <c r="P160" s="209">
        <f t="shared" si="65"/>
        <v>0</v>
      </c>
      <c r="Q160" s="209">
        <f t="shared" si="65"/>
        <v>0</v>
      </c>
      <c r="R160" s="209">
        <f t="shared" si="65"/>
        <v>0</v>
      </c>
      <c r="S160" s="209">
        <f t="shared" si="65"/>
        <v>0</v>
      </c>
      <c r="T160" s="209">
        <f t="shared" si="65"/>
        <v>0</v>
      </c>
      <c r="U160" s="209">
        <f t="shared" si="65"/>
        <v>0</v>
      </c>
      <c r="V160" s="209">
        <f t="shared" si="65"/>
        <v>0</v>
      </c>
      <c r="W160" s="209">
        <f t="shared" si="65"/>
        <v>0</v>
      </c>
      <c r="X160" s="209">
        <f t="shared" si="65"/>
        <v>0</v>
      </c>
      <c r="Y160" s="209">
        <f t="shared" si="65"/>
        <v>0</v>
      </c>
    </row>
    <row r="161" spans="1:27" s="11" customFormat="1" ht="20.149999999999999" customHeight="1" x14ac:dyDescent="0.45">
      <c r="A161" s="225"/>
      <c r="B161" s="227" t="s">
        <v>173</v>
      </c>
      <c r="C161" s="13"/>
      <c r="D161" s="117"/>
      <c r="E161" s="219"/>
      <c r="F161" s="219"/>
      <c r="J161" s="219"/>
      <c r="K161" s="66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</row>
    <row r="162" spans="1:27" s="11" customFormat="1" ht="20.149999999999999" customHeight="1" x14ac:dyDescent="0.45">
      <c r="A162" s="225"/>
      <c r="B162" s="13"/>
      <c r="C162" s="13"/>
      <c r="D162" s="117"/>
      <c r="E162" s="219"/>
      <c r="F162" s="219"/>
      <c r="J162" s="219"/>
      <c r="K162" s="66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</row>
    <row r="163" spans="1:27" s="11" customFormat="1" ht="20.149999999999999" customHeight="1" x14ac:dyDescent="0.45">
      <c r="A163" s="225"/>
      <c r="B163" s="140"/>
      <c r="C163" s="140"/>
      <c r="D163" s="140"/>
      <c r="E163" s="140"/>
      <c r="F163" s="140"/>
      <c r="G163"/>
      <c r="H163"/>
      <c r="I163"/>
      <c r="J163" s="102" t="s">
        <v>262</v>
      </c>
      <c r="K163" s="66"/>
      <c r="L163" s="215">
        <f>SUM(L152:L160)</f>
        <v>0</v>
      </c>
      <c r="M163" s="215">
        <f t="shared" ref="M163:W163" si="66">SUM(M152:M160)</f>
        <v>0</v>
      </c>
      <c r="N163" s="215">
        <f t="shared" si="66"/>
        <v>0</v>
      </c>
      <c r="O163" s="215">
        <f t="shared" si="66"/>
        <v>0</v>
      </c>
      <c r="P163" s="215">
        <f t="shared" si="66"/>
        <v>0</v>
      </c>
      <c r="Q163" s="215">
        <f t="shared" si="66"/>
        <v>0</v>
      </c>
      <c r="R163" s="215">
        <f t="shared" si="66"/>
        <v>0</v>
      </c>
      <c r="S163" s="215">
        <f t="shared" si="66"/>
        <v>0</v>
      </c>
      <c r="T163" s="215">
        <f t="shared" si="66"/>
        <v>0</v>
      </c>
      <c r="U163" s="215">
        <f t="shared" si="66"/>
        <v>0</v>
      </c>
      <c r="V163" s="215">
        <f t="shared" si="66"/>
        <v>0</v>
      </c>
      <c r="W163" s="215">
        <f t="shared" si="66"/>
        <v>0</v>
      </c>
      <c r="X163" s="215">
        <f>SUM(X152:X160)</f>
        <v>0</v>
      </c>
      <c r="Y163" s="215">
        <f>SUM(Y152:Y160)</f>
        <v>0</v>
      </c>
    </row>
    <row r="164" spans="1:27" s="11" customFormat="1" ht="20.149999999999999" customHeight="1" x14ac:dyDescent="0.45">
      <c r="A164" s="225"/>
      <c r="B164" s="140"/>
      <c r="C164" s="140"/>
      <c r="D164" s="140"/>
      <c r="E164" s="140"/>
      <c r="F164" s="140"/>
      <c r="G164"/>
      <c r="H164"/>
      <c r="I164"/>
      <c r="J164" s="103" t="s">
        <v>263</v>
      </c>
      <c r="K164" s="66"/>
      <c r="L164" s="216">
        <f t="shared" ref="L164:W164" si="67">L163/$C$200</f>
        <v>0</v>
      </c>
      <c r="M164" s="216">
        <f t="shared" si="67"/>
        <v>0</v>
      </c>
      <c r="N164" s="216">
        <f t="shared" si="67"/>
        <v>0</v>
      </c>
      <c r="O164" s="216">
        <f t="shared" si="67"/>
        <v>0</v>
      </c>
      <c r="P164" s="216">
        <f t="shared" si="67"/>
        <v>0</v>
      </c>
      <c r="Q164" s="216">
        <f t="shared" si="67"/>
        <v>0</v>
      </c>
      <c r="R164" s="216">
        <f t="shared" si="67"/>
        <v>0</v>
      </c>
      <c r="S164" s="216">
        <f t="shared" si="67"/>
        <v>0</v>
      </c>
      <c r="T164" s="216">
        <f t="shared" si="67"/>
        <v>0</v>
      </c>
      <c r="U164" s="216">
        <f t="shared" si="67"/>
        <v>0</v>
      </c>
      <c r="V164" s="216">
        <f t="shared" si="67"/>
        <v>0</v>
      </c>
      <c r="W164" s="216">
        <f t="shared" si="67"/>
        <v>0</v>
      </c>
      <c r="X164" s="216">
        <f>X163/$C$200</f>
        <v>0</v>
      </c>
      <c r="Y164" s="216">
        <f>Y163/$C$200</f>
        <v>0</v>
      </c>
    </row>
    <row r="165" spans="1:27" s="11" customFormat="1" ht="20.149999999999999" customHeight="1" x14ac:dyDescent="0.45">
      <c r="A165" s="225"/>
      <c r="B165" s="140"/>
      <c r="C165" s="140"/>
      <c r="D165" s="140"/>
      <c r="E165" s="140"/>
      <c r="F165" s="140"/>
      <c r="G165" s="140"/>
      <c r="H165" s="140"/>
      <c r="I165" s="140"/>
      <c r="J165" s="102" t="s">
        <v>284</v>
      </c>
      <c r="K165" s="66"/>
      <c r="L165" s="51">
        <f>SUM(L163:Y163)</f>
        <v>0</v>
      </c>
      <c r="M165" s="140"/>
      <c r="N165" s="140"/>
      <c r="O165" s="140"/>
      <c r="P165" s="140"/>
      <c r="Q165" s="140"/>
      <c r="R165" s="140"/>
      <c r="S165" s="140"/>
      <c r="T165" s="140"/>
      <c r="U165" s="140"/>
      <c r="V165" s="140"/>
      <c r="W165" s="140"/>
      <c r="X165" s="38"/>
      <c r="Y165" s="38"/>
    </row>
    <row r="166" spans="1:27" s="11" customFormat="1" ht="20.149999999999999" customHeight="1" x14ac:dyDescent="0.45">
      <c r="A166" s="225"/>
      <c r="B166" s="140"/>
      <c r="C166" s="140"/>
      <c r="D166" s="140"/>
      <c r="E166" s="140"/>
      <c r="F166" s="140"/>
      <c r="G166" s="140"/>
      <c r="H166" s="140"/>
      <c r="I166" s="140"/>
      <c r="J166" s="103" t="s">
        <v>261</v>
      </c>
      <c r="K166" s="66"/>
      <c r="L166" s="112">
        <f>L165/$C$200</f>
        <v>0</v>
      </c>
      <c r="M166" s="140"/>
      <c r="N166" s="140"/>
      <c r="O166" s="140"/>
      <c r="P166" s="140"/>
      <c r="Q166" s="140"/>
      <c r="R166" s="140"/>
      <c r="S166" s="140"/>
      <c r="T166" s="140"/>
      <c r="U166" s="140"/>
      <c r="V166" s="140"/>
      <c r="W166" s="140"/>
      <c r="X166" s="38"/>
      <c r="Y166" s="38"/>
    </row>
    <row r="167" spans="1:27" s="11" customFormat="1" ht="20.149999999999999" customHeight="1" x14ac:dyDescent="0.45">
      <c r="A167" s="225"/>
      <c r="B167" s="140"/>
      <c r="C167" s="140"/>
      <c r="E167" s="221"/>
      <c r="F167" s="221"/>
      <c r="G167" s="221"/>
      <c r="H167" s="221"/>
      <c r="I167" s="221"/>
      <c r="J167" s="221"/>
      <c r="K167" s="66"/>
      <c r="M167" s="18"/>
      <c r="N167" s="158"/>
      <c r="O167" s="158"/>
      <c r="P167" s="158"/>
      <c r="Q167" s="158"/>
      <c r="R167" s="158"/>
      <c r="S167" s="158"/>
      <c r="T167" s="158"/>
      <c r="U167" s="158"/>
      <c r="V167" s="158"/>
      <c r="W167" s="158"/>
      <c r="X167" s="158"/>
      <c r="Y167" s="158"/>
    </row>
    <row r="168" spans="1:27" s="11" customFormat="1" ht="20.149999999999999" customHeight="1" x14ac:dyDescent="0.45">
      <c r="A168" s="225"/>
      <c r="B168" s="484" t="s">
        <v>102</v>
      </c>
      <c r="C168" s="484"/>
      <c r="D168" s="484"/>
      <c r="E168" s="484"/>
      <c r="F168" s="484"/>
      <c r="G168" s="484"/>
      <c r="H168" s="484"/>
      <c r="I168" s="484"/>
      <c r="J168" s="484"/>
      <c r="K168" s="66"/>
      <c r="L168" s="283"/>
      <c r="M168" s="283"/>
      <c r="N168" s="283"/>
      <c r="O168" s="283"/>
      <c r="P168" s="283"/>
      <c r="Q168" s="283"/>
      <c r="R168" s="283"/>
      <c r="S168" s="283"/>
      <c r="T168" s="283"/>
      <c r="U168" s="283"/>
      <c r="V168" s="283"/>
      <c r="W168" s="283"/>
      <c r="X168" s="283"/>
      <c r="Y168" s="283"/>
      <c r="Z168" s="2"/>
      <c r="AA168" s="2"/>
    </row>
    <row r="169" spans="1:27" s="11" customFormat="1" ht="20.149999999999999" customHeight="1" x14ac:dyDescent="0.45">
      <c r="A169" s="225"/>
      <c r="B169" s="458" t="s">
        <v>285</v>
      </c>
      <c r="C169" s="458" t="s">
        <v>266</v>
      </c>
      <c r="D169" s="458" t="s">
        <v>28</v>
      </c>
      <c r="E169" s="458" t="s">
        <v>264</v>
      </c>
      <c r="F169" s="472" t="s">
        <v>430</v>
      </c>
      <c r="G169" s="472" t="s">
        <v>355</v>
      </c>
      <c r="H169" s="474" t="s">
        <v>335</v>
      </c>
      <c r="I169" s="474" t="s">
        <v>356</v>
      </c>
      <c r="J169" s="476" t="s">
        <v>265</v>
      </c>
      <c r="K169" s="66"/>
      <c r="L169" s="390" t="s">
        <v>84</v>
      </c>
      <c r="M169" s="390" t="s">
        <v>84</v>
      </c>
      <c r="N169" s="391" t="s">
        <v>66</v>
      </c>
      <c r="O169" s="390" t="s">
        <v>67</v>
      </c>
      <c r="P169" s="390" t="s">
        <v>68</v>
      </c>
      <c r="Q169" s="390" t="s">
        <v>69</v>
      </c>
      <c r="R169" s="390" t="s">
        <v>70</v>
      </c>
      <c r="S169" s="390" t="s">
        <v>71</v>
      </c>
      <c r="T169" s="390" t="s">
        <v>72</v>
      </c>
      <c r="U169" s="390" t="s">
        <v>73</v>
      </c>
      <c r="V169" s="390" t="s">
        <v>74</v>
      </c>
      <c r="W169" s="390" t="s">
        <v>75</v>
      </c>
      <c r="X169" s="390" t="s">
        <v>76</v>
      </c>
      <c r="Y169" s="390" t="s">
        <v>77</v>
      </c>
      <c r="Z169" s="2"/>
      <c r="AA169" s="2"/>
    </row>
    <row r="170" spans="1:27" s="11" customFormat="1" ht="20.149999999999999" customHeight="1" x14ac:dyDescent="0.45">
      <c r="A170" s="225"/>
      <c r="B170" s="458"/>
      <c r="C170" s="458"/>
      <c r="D170" s="458"/>
      <c r="E170" s="458"/>
      <c r="F170" s="473"/>
      <c r="G170" s="473"/>
      <c r="H170" s="475"/>
      <c r="I170" s="475"/>
      <c r="J170" s="477"/>
      <c r="K170" s="66"/>
      <c r="L170" s="392" t="s">
        <v>272</v>
      </c>
      <c r="M170" s="392" t="s">
        <v>272</v>
      </c>
      <c r="N170" s="392" t="s">
        <v>436</v>
      </c>
      <c r="O170" s="392" t="s">
        <v>437</v>
      </c>
      <c r="P170" s="392" t="s">
        <v>438</v>
      </c>
      <c r="Q170" s="392" t="s">
        <v>439</v>
      </c>
      <c r="R170" s="392" t="s">
        <v>392</v>
      </c>
      <c r="S170" s="392" t="s">
        <v>393</v>
      </c>
      <c r="T170" s="392" t="s">
        <v>394</v>
      </c>
      <c r="U170" s="392" t="s">
        <v>395</v>
      </c>
      <c r="V170" s="392" t="s">
        <v>396</v>
      </c>
      <c r="W170" s="392" t="s">
        <v>397</v>
      </c>
      <c r="X170" s="392" t="s">
        <v>398</v>
      </c>
      <c r="Y170" s="392" t="s">
        <v>399</v>
      </c>
      <c r="Z170" s="2"/>
      <c r="AA170" s="2"/>
    </row>
    <row r="171" spans="1:27" s="11" customFormat="1" ht="20.149999999999999" customHeight="1" x14ac:dyDescent="0.45">
      <c r="A171" s="225"/>
      <c r="B171" s="458"/>
      <c r="C171" s="458"/>
      <c r="D171" s="458"/>
      <c r="E171" s="458"/>
      <c r="F171" s="369" t="s">
        <v>259</v>
      </c>
      <c r="G171" s="370" t="s">
        <v>259</v>
      </c>
      <c r="H171" s="371" t="s">
        <v>260</v>
      </c>
      <c r="I171" s="372" t="s">
        <v>260</v>
      </c>
      <c r="J171" s="373" t="s">
        <v>260</v>
      </c>
      <c r="K171" s="66"/>
      <c r="L171" s="393" t="s">
        <v>272</v>
      </c>
      <c r="M171" s="393" t="s">
        <v>272</v>
      </c>
      <c r="N171" s="393">
        <v>31</v>
      </c>
      <c r="O171" s="393">
        <v>29</v>
      </c>
      <c r="P171" s="393">
        <v>31</v>
      </c>
      <c r="Q171" s="393">
        <v>30</v>
      </c>
      <c r="R171" s="393">
        <v>30</v>
      </c>
      <c r="S171" s="393">
        <v>31</v>
      </c>
      <c r="T171" s="393">
        <v>31</v>
      </c>
      <c r="U171" s="393">
        <v>31</v>
      </c>
      <c r="V171" s="393">
        <v>30</v>
      </c>
      <c r="W171" s="393">
        <v>31</v>
      </c>
      <c r="X171" s="393">
        <v>30</v>
      </c>
      <c r="Y171" s="393">
        <v>31</v>
      </c>
      <c r="Z171" s="2"/>
      <c r="AA171" s="2"/>
    </row>
    <row r="172" spans="1:27" s="11" customFormat="1" ht="20.149999999999999" customHeight="1" x14ac:dyDescent="0.45">
      <c r="A172" s="225"/>
      <c r="B172" s="107" t="s">
        <v>102</v>
      </c>
      <c r="C172" s="101" t="s">
        <v>455</v>
      </c>
      <c r="D172" s="196"/>
      <c r="E172" s="133">
        <v>0</v>
      </c>
      <c r="F172" s="108">
        <v>5534.03</v>
      </c>
      <c r="G172" s="42">
        <f>E172*F172</f>
        <v>0</v>
      </c>
      <c r="H172" s="42">
        <f>F172*$C$200</f>
        <v>99999.922099999996</v>
      </c>
      <c r="I172" s="42">
        <f>(E172*H172)</f>
        <v>0</v>
      </c>
      <c r="J172" s="42">
        <f>I172*1.16</f>
        <v>0</v>
      </c>
      <c r="K172" s="66"/>
      <c r="L172" s="209">
        <v>0</v>
      </c>
      <c r="M172" s="209">
        <f t="shared" ref="M172:Y172" si="68">L172</f>
        <v>0</v>
      </c>
      <c r="N172" s="209">
        <f t="shared" si="68"/>
        <v>0</v>
      </c>
      <c r="O172" s="209">
        <f t="shared" si="68"/>
        <v>0</v>
      </c>
      <c r="P172" s="209">
        <f>I172</f>
        <v>0</v>
      </c>
      <c r="Q172" s="209">
        <v>0</v>
      </c>
      <c r="R172" s="209">
        <f t="shared" si="68"/>
        <v>0</v>
      </c>
      <c r="S172" s="209">
        <f t="shared" si="68"/>
        <v>0</v>
      </c>
      <c r="T172" s="209">
        <v>0</v>
      </c>
      <c r="U172" s="209">
        <f t="shared" si="68"/>
        <v>0</v>
      </c>
      <c r="V172" s="209">
        <f t="shared" si="68"/>
        <v>0</v>
      </c>
      <c r="W172" s="209">
        <f t="shared" si="68"/>
        <v>0</v>
      </c>
      <c r="X172" s="209">
        <f t="shared" si="68"/>
        <v>0</v>
      </c>
      <c r="Y172" s="209">
        <f t="shared" si="68"/>
        <v>0</v>
      </c>
    </row>
    <row r="173" spans="1:27" s="11" customFormat="1" ht="20.149999999999999" customHeight="1" x14ac:dyDescent="0.45">
      <c r="A173" s="225"/>
      <c r="B173" s="107" t="s">
        <v>102</v>
      </c>
      <c r="C173" s="101" t="s">
        <v>444</v>
      </c>
      <c r="D173" s="196"/>
      <c r="E173" s="133">
        <v>0</v>
      </c>
      <c r="F173" s="108">
        <v>5534.03</v>
      </c>
      <c r="G173" s="42">
        <f>E173*F173</f>
        <v>0</v>
      </c>
      <c r="H173" s="42">
        <f>F173*$C$200</f>
        <v>99999.922099999996</v>
      </c>
      <c r="I173" s="42">
        <f>(E173*H173)</f>
        <v>0</v>
      </c>
      <c r="J173" s="42">
        <f>I173*1.16</f>
        <v>0</v>
      </c>
      <c r="K173" s="66"/>
      <c r="L173" s="209">
        <v>0</v>
      </c>
      <c r="M173" s="209">
        <f t="shared" ref="M173:Y173" si="69">L173</f>
        <v>0</v>
      </c>
      <c r="N173" s="209">
        <f t="shared" si="69"/>
        <v>0</v>
      </c>
      <c r="O173" s="209">
        <f t="shared" si="69"/>
        <v>0</v>
      </c>
      <c r="P173" s="209">
        <f t="shared" si="69"/>
        <v>0</v>
      </c>
      <c r="Q173" s="209">
        <f t="shared" si="69"/>
        <v>0</v>
      </c>
      <c r="R173" s="209">
        <f t="shared" si="69"/>
        <v>0</v>
      </c>
      <c r="S173" s="209">
        <f>I173</f>
        <v>0</v>
      </c>
      <c r="T173" s="209">
        <v>0</v>
      </c>
      <c r="U173" s="209">
        <f t="shared" si="69"/>
        <v>0</v>
      </c>
      <c r="V173" s="209">
        <v>0</v>
      </c>
      <c r="W173" s="209">
        <f t="shared" si="69"/>
        <v>0</v>
      </c>
      <c r="X173" s="209">
        <f t="shared" si="69"/>
        <v>0</v>
      </c>
      <c r="Y173" s="209">
        <f t="shared" si="69"/>
        <v>0</v>
      </c>
    </row>
    <row r="174" spans="1:27" s="11" customFormat="1" ht="20.149999999999999" customHeight="1" x14ac:dyDescent="0.45">
      <c r="A174" s="225"/>
      <c r="B174" s="107" t="s">
        <v>102</v>
      </c>
      <c r="C174" s="101" t="s">
        <v>445</v>
      </c>
      <c r="D174" s="196"/>
      <c r="E174" s="133">
        <v>0</v>
      </c>
      <c r="F174" s="108">
        <v>5534.03</v>
      </c>
      <c r="G174" s="42">
        <f>E174*F174</f>
        <v>0</v>
      </c>
      <c r="H174" s="42">
        <f>F174*$C$200</f>
        <v>99999.922099999996</v>
      </c>
      <c r="I174" s="42">
        <f>(E174*H174)</f>
        <v>0</v>
      </c>
      <c r="J174" s="42">
        <f>I174*1.16</f>
        <v>0</v>
      </c>
      <c r="K174" s="66"/>
      <c r="L174" s="209">
        <v>0</v>
      </c>
      <c r="M174" s="209">
        <f t="shared" ref="M174:V174" si="70">L174</f>
        <v>0</v>
      </c>
      <c r="N174" s="209">
        <f t="shared" si="70"/>
        <v>0</v>
      </c>
      <c r="O174" s="209">
        <f t="shared" si="70"/>
        <v>0</v>
      </c>
      <c r="P174" s="209">
        <f t="shared" si="70"/>
        <v>0</v>
      </c>
      <c r="Q174" s="209">
        <f t="shared" si="70"/>
        <v>0</v>
      </c>
      <c r="R174" s="209">
        <f t="shared" si="70"/>
        <v>0</v>
      </c>
      <c r="S174" s="209">
        <f t="shared" si="70"/>
        <v>0</v>
      </c>
      <c r="T174" s="209">
        <f t="shared" si="70"/>
        <v>0</v>
      </c>
      <c r="U174" s="209">
        <f t="shared" si="70"/>
        <v>0</v>
      </c>
      <c r="V174" s="209">
        <f t="shared" si="70"/>
        <v>0</v>
      </c>
      <c r="W174" s="209">
        <f>I174</f>
        <v>0</v>
      </c>
      <c r="X174" s="209">
        <v>0</v>
      </c>
      <c r="Y174" s="209">
        <f>X174</f>
        <v>0</v>
      </c>
    </row>
    <row r="175" spans="1:27" s="11" customFormat="1" ht="20.149999999999999" customHeight="1" x14ac:dyDescent="0.45">
      <c r="A175" s="225"/>
      <c r="B175" s="227"/>
      <c r="D175" s="200"/>
      <c r="E175" s="228"/>
      <c r="F175" s="229"/>
      <c r="G175" s="219"/>
      <c r="H175" s="158"/>
      <c r="I175" s="158"/>
      <c r="J175" s="219"/>
      <c r="K175" s="66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</row>
    <row r="176" spans="1:27" s="11" customFormat="1" ht="20.149999999999999" customHeight="1" x14ac:dyDescent="0.45">
      <c r="A176" s="225"/>
      <c r="B176" s="230"/>
      <c r="C176" s="230"/>
      <c r="D176" s="379"/>
      <c r="E176" s="231"/>
      <c r="F176" s="199"/>
      <c r="G176"/>
      <c r="H176"/>
      <c r="I176"/>
      <c r="J176" s="102" t="s">
        <v>262</v>
      </c>
      <c r="K176" s="66"/>
      <c r="L176" s="215">
        <f>SUM(L172:L173)</f>
        <v>0</v>
      </c>
      <c r="M176" s="215">
        <f t="shared" ref="M176:U176" si="71">SUM(M172:M173)</f>
        <v>0</v>
      </c>
      <c r="N176" s="215">
        <f t="shared" si="71"/>
        <v>0</v>
      </c>
      <c r="O176" s="215">
        <f t="shared" si="71"/>
        <v>0</v>
      </c>
      <c r="P176" s="215">
        <f t="shared" si="71"/>
        <v>0</v>
      </c>
      <c r="Q176" s="215">
        <f t="shared" si="71"/>
        <v>0</v>
      </c>
      <c r="R176" s="215">
        <f t="shared" si="71"/>
        <v>0</v>
      </c>
      <c r="S176" s="215">
        <f t="shared" si="71"/>
        <v>0</v>
      </c>
      <c r="T176" s="215">
        <f t="shared" si="71"/>
        <v>0</v>
      </c>
      <c r="U176" s="215">
        <f t="shared" si="71"/>
        <v>0</v>
      </c>
      <c r="V176" s="215">
        <f>SUM(V172:V174)</f>
        <v>0</v>
      </c>
      <c r="W176" s="215">
        <f>SUM(W172:W174)</f>
        <v>0</v>
      </c>
      <c r="X176" s="215">
        <f>SUM(X172:X173)</f>
        <v>0</v>
      </c>
      <c r="Y176" s="215">
        <f>SUM(Y172:Y173)</f>
        <v>0</v>
      </c>
    </row>
    <row r="177" spans="1:27" s="11" customFormat="1" ht="20.149999999999999" customHeight="1" x14ac:dyDescent="0.45">
      <c r="A177" s="225"/>
      <c r="B177" s="230"/>
      <c r="C177" s="230"/>
      <c r="D177" s="379"/>
      <c r="E177" s="231"/>
      <c r="F177" s="199"/>
      <c r="G177"/>
      <c r="H177"/>
      <c r="I177"/>
      <c r="J177" s="103" t="s">
        <v>263</v>
      </c>
      <c r="K177" s="66"/>
      <c r="L177" s="216">
        <f t="shared" ref="L177:W177" si="72">L176/$C$200</f>
        <v>0</v>
      </c>
      <c r="M177" s="216">
        <f t="shared" si="72"/>
        <v>0</v>
      </c>
      <c r="N177" s="216">
        <f t="shared" si="72"/>
        <v>0</v>
      </c>
      <c r="O177" s="216">
        <f t="shared" si="72"/>
        <v>0</v>
      </c>
      <c r="P177" s="216">
        <f t="shared" si="72"/>
        <v>0</v>
      </c>
      <c r="Q177" s="216">
        <f t="shared" si="72"/>
        <v>0</v>
      </c>
      <c r="R177" s="216">
        <f t="shared" si="72"/>
        <v>0</v>
      </c>
      <c r="S177" s="216">
        <f t="shared" si="72"/>
        <v>0</v>
      </c>
      <c r="T177" s="216">
        <f t="shared" si="72"/>
        <v>0</v>
      </c>
      <c r="U177" s="216">
        <f t="shared" si="72"/>
        <v>0</v>
      </c>
      <c r="V177" s="216">
        <f t="shared" si="72"/>
        <v>0</v>
      </c>
      <c r="W177" s="216">
        <f t="shared" si="72"/>
        <v>0</v>
      </c>
      <c r="X177" s="216">
        <f>X176/$C$200</f>
        <v>0</v>
      </c>
      <c r="Y177" s="216">
        <f>Y176/$C$200</f>
        <v>0</v>
      </c>
    </row>
    <row r="178" spans="1:27" s="11" customFormat="1" ht="20.149999999999999" customHeight="1" x14ac:dyDescent="0.45">
      <c r="A178" s="225"/>
      <c r="B178" s="230"/>
      <c r="C178" s="230"/>
      <c r="D178" s="230"/>
      <c r="E178" s="231"/>
      <c r="F178" s="199"/>
      <c r="G178" s="226"/>
      <c r="H178" s="226"/>
      <c r="I178" s="226"/>
      <c r="J178" s="102" t="s">
        <v>284</v>
      </c>
      <c r="K178" s="66"/>
      <c r="L178" s="51">
        <f>SUM(L176:Y176)</f>
        <v>0</v>
      </c>
      <c r="M178" s="226"/>
      <c r="N178" s="226"/>
      <c r="O178" s="226"/>
      <c r="P178" s="226"/>
      <c r="Q178" s="226"/>
      <c r="R178" s="226"/>
      <c r="S178" s="226"/>
      <c r="T178" s="226"/>
      <c r="U178" s="226"/>
      <c r="V178" s="226"/>
      <c r="W178" s="226"/>
    </row>
    <row r="179" spans="1:27" s="11" customFormat="1" ht="20.149999999999999" customHeight="1" x14ac:dyDescent="0.45">
      <c r="A179" s="225"/>
      <c r="B179" s="230"/>
      <c r="C179" s="230"/>
      <c r="D179" s="230"/>
      <c r="E179" s="231"/>
      <c r="F179" s="199"/>
      <c r="G179" s="226"/>
      <c r="H179" s="226"/>
      <c r="I179" s="226"/>
      <c r="J179" s="103" t="s">
        <v>261</v>
      </c>
      <c r="K179" s="66"/>
      <c r="L179" s="112">
        <f>L178/$C$200</f>
        <v>0</v>
      </c>
      <c r="M179" s="226"/>
      <c r="N179" s="226"/>
      <c r="O179" s="226"/>
      <c r="P179" s="226"/>
      <c r="Q179" s="226"/>
      <c r="R179" s="226"/>
      <c r="S179" s="226"/>
      <c r="T179" s="226"/>
      <c r="U179" s="226"/>
      <c r="V179" s="226"/>
      <c r="W179" s="226"/>
    </row>
    <row r="180" spans="1:27" s="11" customFormat="1" ht="20.149999999999999" customHeight="1" x14ac:dyDescent="0.45">
      <c r="A180" s="225"/>
      <c r="B180" s="232"/>
      <c r="C180" s="232"/>
      <c r="D180" s="232"/>
      <c r="E180" s="233"/>
      <c r="F180" s="234"/>
      <c r="G180" s="226"/>
      <c r="H180" s="226"/>
      <c r="I180" s="226"/>
      <c r="J180" s="226"/>
      <c r="K180" s="66"/>
      <c r="L180" s="226"/>
      <c r="M180" s="18"/>
      <c r="N180" s="226"/>
      <c r="O180" s="226"/>
      <c r="P180" s="226"/>
      <c r="Q180" s="226"/>
      <c r="R180" s="226"/>
      <c r="S180" s="226"/>
      <c r="T180" s="226"/>
      <c r="U180" s="226"/>
      <c r="V180" s="226"/>
      <c r="W180" s="226"/>
    </row>
    <row r="181" spans="1:27" s="11" customFormat="1" ht="20.149999999999999" customHeight="1" x14ac:dyDescent="0.45">
      <c r="A181" s="225"/>
      <c r="B181" s="484" t="s">
        <v>103</v>
      </c>
      <c r="C181" s="484"/>
      <c r="D181" s="484"/>
      <c r="E181" s="484"/>
      <c r="F181" s="484"/>
      <c r="G181" s="484"/>
      <c r="H181" s="484"/>
      <c r="I181" s="484"/>
      <c r="J181" s="484"/>
      <c r="K181" s="66"/>
      <c r="L181" s="283"/>
      <c r="M181" s="283"/>
      <c r="N181" s="283"/>
      <c r="O181" s="283"/>
      <c r="P181" s="283"/>
      <c r="Q181" s="283"/>
      <c r="R181" s="283"/>
      <c r="S181" s="283"/>
      <c r="T181" s="283"/>
      <c r="U181" s="283"/>
      <c r="V181" s="283"/>
      <c r="W181" s="283"/>
      <c r="X181" s="283"/>
      <c r="Y181" s="283"/>
      <c r="Z181" s="2"/>
      <c r="AA181" s="2"/>
    </row>
    <row r="182" spans="1:27" s="11" customFormat="1" ht="20.149999999999999" customHeight="1" x14ac:dyDescent="0.45">
      <c r="A182" s="225"/>
      <c r="B182" s="458" t="s">
        <v>285</v>
      </c>
      <c r="C182" s="458" t="s">
        <v>266</v>
      </c>
      <c r="D182" s="458" t="s">
        <v>28</v>
      </c>
      <c r="E182" s="458" t="s">
        <v>264</v>
      </c>
      <c r="F182" s="472" t="s">
        <v>430</v>
      </c>
      <c r="G182" s="472" t="s">
        <v>355</v>
      </c>
      <c r="H182" s="474" t="s">
        <v>335</v>
      </c>
      <c r="I182" s="474" t="s">
        <v>356</v>
      </c>
      <c r="J182" s="476" t="s">
        <v>265</v>
      </c>
      <c r="K182" s="66"/>
      <c r="L182" s="390" t="s">
        <v>84</v>
      </c>
      <c r="M182" s="390" t="s">
        <v>84</v>
      </c>
      <c r="N182" s="391" t="s">
        <v>66</v>
      </c>
      <c r="O182" s="390" t="s">
        <v>67</v>
      </c>
      <c r="P182" s="390" t="s">
        <v>68</v>
      </c>
      <c r="Q182" s="390" t="s">
        <v>69</v>
      </c>
      <c r="R182" s="390" t="s">
        <v>70</v>
      </c>
      <c r="S182" s="390" t="s">
        <v>71</v>
      </c>
      <c r="T182" s="390" t="s">
        <v>72</v>
      </c>
      <c r="U182" s="390" t="s">
        <v>73</v>
      </c>
      <c r="V182" s="390" t="s">
        <v>74</v>
      </c>
      <c r="W182" s="390" t="s">
        <v>75</v>
      </c>
      <c r="X182" s="390" t="s">
        <v>76</v>
      </c>
      <c r="Y182" s="390" t="s">
        <v>77</v>
      </c>
      <c r="Z182" s="2"/>
      <c r="AA182" s="2"/>
    </row>
    <row r="183" spans="1:27" s="11" customFormat="1" ht="20.149999999999999" customHeight="1" x14ac:dyDescent="0.45">
      <c r="A183" s="225"/>
      <c r="B183" s="458"/>
      <c r="C183" s="458"/>
      <c r="D183" s="458"/>
      <c r="E183" s="458"/>
      <c r="F183" s="473"/>
      <c r="G183" s="473"/>
      <c r="H183" s="475"/>
      <c r="I183" s="475"/>
      <c r="J183" s="477"/>
      <c r="K183" s="66"/>
      <c r="L183" s="392" t="s">
        <v>272</v>
      </c>
      <c r="M183" s="392" t="s">
        <v>272</v>
      </c>
      <c r="N183" s="392" t="s">
        <v>436</v>
      </c>
      <c r="O183" s="392" t="s">
        <v>437</v>
      </c>
      <c r="P183" s="392" t="s">
        <v>438</v>
      </c>
      <c r="Q183" s="392" t="s">
        <v>439</v>
      </c>
      <c r="R183" s="392" t="s">
        <v>392</v>
      </c>
      <c r="S183" s="392" t="s">
        <v>393</v>
      </c>
      <c r="T183" s="392" t="s">
        <v>394</v>
      </c>
      <c r="U183" s="392" t="s">
        <v>395</v>
      </c>
      <c r="V183" s="392" t="s">
        <v>396</v>
      </c>
      <c r="W183" s="392" t="s">
        <v>397</v>
      </c>
      <c r="X183" s="392" t="s">
        <v>398</v>
      </c>
      <c r="Y183" s="392" t="s">
        <v>399</v>
      </c>
      <c r="Z183" s="2"/>
      <c r="AA183" s="2"/>
    </row>
    <row r="184" spans="1:27" s="11" customFormat="1" ht="20.149999999999999" customHeight="1" x14ac:dyDescent="0.45">
      <c r="A184" s="225"/>
      <c r="B184" s="458"/>
      <c r="C184" s="458"/>
      <c r="D184" s="458"/>
      <c r="E184" s="458"/>
      <c r="F184" s="369" t="s">
        <v>259</v>
      </c>
      <c r="G184" s="370" t="s">
        <v>259</v>
      </c>
      <c r="H184" s="371" t="s">
        <v>260</v>
      </c>
      <c r="I184" s="372" t="s">
        <v>260</v>
      </c>
      <c r="J184" s="373" t="s">
        <v>260</v>
      </c>
      <c r="K184" s="66"/>
      <c r="L184" s="393" t="s">
        <v>272</v>
      </c>
      <c r="M184" s="393" t="s">
        <v>272</v>
      </c>
      <c r="N184" s="393">
        <v>31</v>
      </c>
      <c r="O184" s="393">
        <v>29</v>
      </c>
      <c r="P184" s="393">
        <v>31</v>
      </c>
      <c r="Q184" s="393">
        <v>30</v>
      </c>
      <c r="R184" s="393">
        <v>30</v>
      </c>
      <c r="S184" s="393">
        <v>31</v>
      </c>
      <c r="T184" s="393">
        <v>31</v>
      </c>
      <c r="U184" s="393">
        <v>31</v>
      </c>
      <c r="V184" s="393">
        <v>30</v>
      </c>
      <c r="W184" s="393">
        <v>31</v>
      </c>
      <c r="X184" s="393">
        <v>30</v>
      </c>
      <c r="Y184" s="393">
        <v>31</v>
      </c>
      <c r="Z184" s="2"/>
      <c r="AA184" s="2"/>
    </row>
    <row r="185" spans="1:27" s="11" customFormat="1" ht="20.149999999999999" customHeight="1" x14ac:dyDescent="0.45">
      <c r="A185" s="225"/>
      <c r="B185" s="107" t="s">
        <v>103</v>
      </c>
      <c r="C185" s="101" t="s">
        <v>296</v>
      </c>
      <c r="D185" s="196"/>
      <c r="E185" s="133">
        <v>0</v>
      </c>
      <c r="F185" s="108">
        <v>166.02102933038185</v>
      </c>
      <c r="G185" s="42">
        <f>E185*F185</f>
        <v>0</v>
      </c>
      <c r="H185" s="42">
        <f>F185*$C$200</f>
        <v>3000</v>
      </c>
      <c r="I185" s="42">
        <f>(E185*H185)</f>
        <v>0</v>
      </c>
      <c r="J185" s="42">
        <f>I185*1.16</f>
        <v>0</v>
      </c>
      <c r="K185" s="66"/>
      <c r="L185" s="209">
        <v>0</v>
      </c>
      <c r="M185" s="209">
        <f>I185</f>
        <v>0</v>
      </c>
      <c r="N185" s="209">
        <v>0</v>
      </c>
      <c r="O185" s="209">
        <v>0</v>
      </c>
      <c r="P185" s="209">
        <f t="shared" ref="P185:X185" si="73">O185</f>
        <v>0</v>
      </c>
      <c r="Q185" s="209">
        <v>0</v>
      </c>
      <c r="R185" s="209">
        <v>0</v>
      </c>
      <c r="S185" s="209">
        <f t="shared" si="73"/>
        <v>0</v>
      </c>
      <c r="T185" s="209">
        <v>0</v>
      </c>
      <c r="U185" s="209">
        <v>0</v>
      </c>
      <c r="V185" s="209">
        <v>0</v>
      </c>
      <c r="W185" s="209">
        <f t="shared" si="73"/>
        <v>0</v>
      </c>
      <c r="X185" s="209">
        <f t="shared" si="73"/>
        <v>0</v>
      </c>
      <c r="Y185" s="209">
        <v>0</v>
      </c>
    </row>
    <row r="186" spans="1:27" s="11" customFormat="1" ht="20.149999999999999" customHeight="1" x14ac:dyDescent="0.45">
      <c r="A186" s="225"/>
      <c r="B186" s="107" t="s">
        <v>103</v>
      </c>
      <c r="C186" s="101" t="s">
        <v>295</v>
      </c>
      <c r="D186" s="196"/>
      <c r="E186" s="133">
        <v>0</v>
      </c>
      <c r="F186" s="108">
        <v>166.02102933038185</v>
      </c>
      <c r="G186" s="42">
        <f>E186*F186</f>
        <v>0</v>
      </c>
      <c r="H186" s="42">
        <f>F186*$C$200</f>
        <v>3000</v>
      </c>
      <c r="I186" s="42">
        <f>(E186*H186)</f>
        <v>0</v>
      </c>
      <c r="J186" s="42">
        <f>I186*1.16</f>
        <v>0</v>
      </c>
      <c r="K186" s="66"/>
      <c r="L186" s="209">
        <v>0</v>
      </c>
      <c r="M186" s="209">
        <f>I186</f>
        <v>0</v>
      </c>
      <c r="N186" s="209">
        <v>0</v>
      </c>
      <c r="O186" s="209">
        <f t="shared" ref="O186:Y186" si="74">N186</f>
        <v>0</v>
      </c>
      <c r="P186" s="209">
        <f t="shared" si="74"/>
        <v>0</v>
      </c>
      <c r="Q186" s="209">
        <f t="shared" si="74"/>
        <v>0</v>
      </c>
      <c r="R186" s="209">
        <f t="shared" si="74"/>
        <v>0</v>
      </c>
      <c r="S186" s="209">
        <f t="shared" si="74"/>
        <v>0</v>
      </c>
      <c r="T186" s="209">
        <v>0</v>
      </c>
      <c r="U186" s="209">
        <f t="shared" si="74"/>
        <v>0</v>
      </c>
      <c r="V186" s="209">
        <f t="shared" si="74"/>
        <v>0</v>
      </c>
      <c r="W186" s="209">
        <f t="shared" si="74"/>
        <v>0</v>
      </c>
      <c r="X186" s="209">
        <v>0</v>
      </c>
      <c r="Y186" s="209">
        <f t="shared" si="74"/>
        <v>0</v>
      </c>
    </row>
    <row r="187" spans="1:27" s="11" customFormat="1" ht="20.149999999999999" customHeight="1" x14ac:dyDescent="0.45">
      <c r="A187" s="225"/>
      <c r="B187" s="107" t="s">
        <v>103</v>
      </c>
      <c r="C187" s="101" t="s">
        <v>297</v>
      </c>
      <c r="D187" s="196"/>
      <c r="E187" s="133">
        <v>0</v>
      </c>
      <c r="F187" s="108">
        <v>55.340343110127279</v>
      </c>
      <c r="G187" s="42">
        <f>E187*F187</f>
        <v>0</v>
      </c>
      <c r="H187" s="42">
        <f>F187*$C$200</f>
        <v>999.99999999999989</v>
      </c>
      <c r="I187" s="42">
        <f>(E187*H187)</f>
        <v>0</v>
      </c>
      <c r="J187" s="42">
        <f>I187*1.16</f>
        <v>0</v>
      </c>
      <c r="K187" s="66"/>
      <c r="L187" s="209">
        <v>0</v>
      </c>
      <c r="M187" s="209">
        <f t="shared" ref="M187:Y187" si="75">L187</f>
        <v>0</v>
      </c>
      <c r="N187" s="209">
        <f t="shared" si="75"/>
        <v>0</v>
      </c>
      <c r="O187" s="209">
        <f t="shared" si="75"/>
        <v>0</v>
      </c>
      <c r="P187" s="209">
        <f t="shared" si="75"/>
        <v>0</v>
      </c>
      <c r="Q187" s="209">
        <f t="shared" si="75"/>
        <v>0</v>
      </c>
      <c r="R187" s="209">
        <f t="shared" si="75"/>
        <v>0</v>
      </c>
      <c r="S187" s="209">
        <f t="shared" si="75"/>
        <v>0</v>
      </c>
      <c r="T187" s="209">
        <f t="shared" si="75"/>
        <v>0</v>
      </c>
      <c r="U187" s="209">
        <f t="shared" si="75"/>
        <v>0</v>
      </c>
      <c r="V187" s="209">
        <f t="shared" si="75"/>
        <v>0</v>
      </c>
      <c r="W187" s="209">
        <f t="shared" si="75"/>
        <v>0</v>
      </c>
      <c r="X187" s="209">
        <f t="shared" si="75"/>
        <v>0</v>
      </c>
      <c r="Y187" s="209">
        <f t="shared" si="75"/>
        <v>0</v>
      </c>
    </row>
    <row r="188" spans="1:27" s="11" customFormat="1" ht="20.149999999999999" customHeight="1" x14ac:dyDescent="0.45">
      <c r="A188" s="225"/>
      <c r="B188" s="117"/>
      <c r="C188" s="13"/>
      <c r="D188" s="117"/>
      <c r="E188" s="235"/>
      <c r="G188" s="219"/>
      <c r="H188" s="219"/>
      <c r="I188" s="219"/>
      <c r="J188" s="158"/>
      <c r="K188" s="66"/>
      <c r="L188" s="158"/>
      <c r="M188" s="158"/>
      <c r="N188" s="158"/>
      <c r="O188" s="158"/>
      <c r="P188" s="158"/>
      <c r="Q188" s="158"/>
      <c r="R188" s="158"/>
      <c r="S188" s="158"/>
      <c r="T188" s="158"/>
      <c r="U188" s="158"/>
      <c r="V188" s="158"/>
      <c r="W188" s="158"/>
      <c r="X188" s="158"/>
      <c r="Y188" s="158"/>
    </row>
    <row r="189" spans="1:27" s="11" customFormat="1" ht="20.149999999999999" customHeight="1" x14ac:dyDescent="0.45">
      <c r="A189" s="225"/>
      <c r="B189" s="117"/>
      <c r="C189" s="117"/>
      <c r="D189" s="368"/>
      <c r="E189" s="235"/>
      <c r="G189"/>
      <c r="H189"/>
      <c r="I189"/>
      <c r="J189" s="102" t="s">
        <v>262</v>
      </c>
      <c r="K189" s="66"/>
      <c r="L189" s="215">
        <f>SUM(L185:L187)</f>
        <v>0</v>
      </c>
      <c r="M189" s="215">
        <f t="shared" ref="M189:W189" si="76">SUM(M185:M187)</f>
        <v>0</v>
      </c>
      <c r="N189" s="215">
        <f t="shared" si="76"/>
        <v>0</v>
      </c>
      <c r="O189" s="215">
        <f t="shared" si="76"/>
        <v>0</v>
      </c>
      <c r="P189" s="215">
        <f t="shared" si="76"/>
        <v>0</v>
      </c>
      <c r="Q189" s="215">
        <f t="shared" si="76"/>
        <v>0</v>
      </c>
      <c r="R189" s="215">
        <f t="shared" si="76"/>
        <v>0</v>
      </c>
      <c r="S189" s="215">
        <f t="shared" si="76"/>
        <v>0</v>
      </c>
      <c r="T189" s="215">
        <f t="shared" si="76"/>
        <v>0</v>
      </c>
      <c r="U189" s="215">
        <f t="shared" si="76"/>
        <v>0</v>
      </c>
      <c r="V189" s="215">
        <f t="shared" si="76"/>
        <v>0</v>
      </c>
      <c r="W189" s="215">
        <f t="shared" si="76"/>
        <v>0</v>
      </c>
      <c r="X189" s="215">
        <f>SUM(X185:X187)</f>
        <v>0</v>
      </c>
      <c r="Y189" s="215">
        <f>SUM(Y185:Y187)</f>
        <v>0</v>
      </c>
    </row>
    <row r="190" spans="1:27" s="11" customFormat="1" ht="20.149999999999999" customHeight="1" x14ac:dyDescent="0.45">
      <c r="A190" s="225"/>
      <c r="B190" s="117"/>
      <c r="C190" s="117"/>
      <c r="D190" s="368"/>
      <c r="E190" s="235"/>
      <c r="G190"/>
      <c r="H190"/>
      <c r="I190"/>
      <c r="J190" s="103" t="s">
        <v>263</v>
      </c>
      <c r="K190" s="66"/>
      <c r="L190" s="216">
        <f t="shared" ref="L190:W190" si="77">L189/$C$200</f>
        <v>0</v>
      </c>
      <c r="M190" s="216">
        <f t="shared" si="77"/>
        <v>0</v>
      </c>
      <c r="N190" s="216">
        <f t="shared" si="77"/>
        <v>0</v>
      </c>
      <c r="O190" s="216">
        <f t="shared" si="77"/>
        <v>0</v>
      </c>
      <c r="P190" s="216">
        <f t="shared" si="77"/>
        <v>0</v>
      </c>
      <c r="Q190" s="216">
        <f t="shared" si="77"/>
        <v>0</v>
      </c>
      <c r="R190" s="216">
        <f t="shared" si="77"/>
        <v>0</v>
      </c>
      <c r="S190" s="216">
        <f t="shared" si="77"/>
        <v>0</v>
      </c>
      <c r="T190" s="216">
        <f t="shared" si="77"/>
        <v>0</v>
      </c>
      <c r="U190" s="216">
        <f t="shared" si="77"/>
        <v>0</v>
      </c>
      <c r="V190" s="216">
        <f t="shared" si="77"/>
        <v>0</v>
      </c>
      <c r="W190" s="216">
        <f t="shared" si="77"/>
        <v>0</v>
      </c>
      <c r="X190" s="216">
        <f>X189/$C$200</f>
        <v>0</v>
      </c>
      <c r="Y190" s="216">
        <f>Y189/$C$200</f>
        <v>0</v>
      </c>
    </row>
    <row r="191" spans="1:27" s="11" customFormat="1" ht="20.149999999999999" customHeight="1" x14ac:dyDescent="0.45">
      <c r="A191" s="225"/>
      <c r="B191" s="117"/>
      <c r="C191" s="117"/>
      <c r="D191" s="368"/>
      <c r="E191" s="235"/>
      <c r="G191" s="226"/>
      <c r="H191" s="226"/>
      <c r="I191" s="226"/>
      <c r="J191" s="102" t="s">
        <v>284</v>
      </c>
      <c r="K191" s="66"/>
      <c r="L191" s="51">
        <f>SUM(L189:Y189)</f>
        <v>0</v>
      </c>
      <c r="M191" s="226"/>
      <c r="N191" s="226"/>
      <c r="O191" s="226"/>
      <c r="P191" s="226"/>
      <c r="Q191" s="226"/>
      <c r="R191" s="226"/>
      <c r="S191" s="226"/>
      <c r="T191" s="226"/>
      <c r="U191" s="226"/>
      <c r="V191" s="226"/>
      <c r="W191" s="226"/>
    </row>
    <row r="192" spans="1:27" s="11" customFormat="1" ht="20.149999999999999" customHeight="1" x14ac:dyDescent="0.45">
      <c r="A192" s="225"/>
      <c r="B192" s="117"/>
      <c r="C192" s="117"/>
      <c r="D192" s="117"/>
      <c r="E192" s="235"/>
      <c r="G192" s="226"/>
      <c r="H192" s="226"/>
      <c r="I192" s="226"/>
      <c r="J192" s="103" t="s">
        <v>261</v>
      </c>
      <c r="K192" s="66"/>
      <c r="L192" s="112">
        <f>L191/$C$200</f>
        <v>0</v>
      </c>
      <c r="M192" s="226"/>
      <c r="N192" s="226"/>
      <c r="O192" s="226"/>
      <c r="P192" s="226"/>
      <c r="Q192" s="226"/>
      <c r="R192" s="226"/>
      <c r="S192" s="226"/>
      <c r="T192" s="226"/>
      <c r="U192" s="226"/>
      <c r="V192" s="226"/>
      <c r="W192" s="226"/>
    </row>
    <row r="193" spans="1:25" s="11" customFormat="1" ht="20.149999999999999" customHeight="1" x14ac:dyDescent="0.45">
      <c r="A193" s="225"/>
      <c r="B193" s="140"/>
      <c r="C193" s="140"/>
      <c r="D193" s="140"/>
      <c r="E193" s="140"/>
      <c r="F193" s="140"/>
      <c r="G193" s="140"/>
      <c r="H193" s="140"/>
      <c r="I193" s="140"/>
      <c r="J193" s="140"/>
      <c r="K193" s="66"/>
      <c r="L193" s="140"/>
      <c r="M193" s="18"/>
      <c r="N193" s="140"/>
      <c r="O193" s="140"/>
      <c r="P193" s="140"/>
      <c r="Q193" s="140"/>
      <c r="R193" s="140"/>
      <c r="S193" s="140"/>
      <c r="T193" s="140"/>
      <c r="U193" s="140"/>
      <c r="V193" s="140"/>
      <c r="W193" s="140"/>
    </row>
    <row r="194" spans="1:25" s="11" customFormat="1" ht="20.149999999999999" customHeight="1" x14ac:dyDescent="0.45">
      <c r="K194" s="66"/>
    </row>
    <row r="195" spans="1:25" s="11" customFormat="1" ht="20.149999999999999" customHeight="1" x14ac:dyDescent="0.45">
      <c r="A195"/>
      <c r="B195"/>
      <c r="C195"/>
      <c r="D195" s="140"/>
      <c r="E195" s="140"/>
      <c r="F195" s="486">
        <f>EGRESOS!R28</f>
        <v>0</v>
      </c>
      <c r="G195" s="485" t="s">
        <v>302</v>
      </c>
      <c r="H195" s="485"/>
      <c r="I195" s="279"/>
      <c r="J195" s="102" t="s">
        <v>262</v>
      </c>
      <c r="K195" s="66"/>
      <c r="L195" s="215">
        <f>L189+L176+L163+L143+L131</f>
        <v>0</v>
      </c>
      <c r="M195" s="215">
        <f t="shared" ref="M195:Y195" si="78">M189+M176+M163+M143+M131</f>
        <v>0</v>
      </c>
      <c r="N195" s="215">
        <f t="shared" si="78"/>
        <v>0</v>
      </c>
      <c r="O195" s="215">
        <f t="shared" si="78"/>
        <v>0</v>
      </c>
      <c r="P195" s="215">
        <f t="shared" si="78"/>
        <v>0</v>
      </c>
      <c r="Q195" s="215">
        <f t="shared" si="78"/>
        <v>0</v>
      </c>
      <c r="R195" s="215">
        <f t="shared" si="78"/>
        <v>0</v>
      </c>
      <c r="S195" s="215">
        <f t="shared" si="78"/>
        <v>0</v>
      </c>
      <c r="T195" s="215">
        <f t="shared" si="78"/>
        <v>0</v>
      </c>
      <c r="U195" s="215">
        <f t="shared" si="78"/>
        <v>0</v>
      </c>
      <c r="V195" s="215">
        <f t="shared" si="78"/>
        <v>0</v>
      </c>
      <c r="W195" s="215">
        <f t="shared" si="78"/>
        <v>0</v>
      </c>
      <c r="X195" s="215">
        <f t="shared" si="78"/>
        <v>0</v>
      </c>
      <c r="Y195" s="215">
        <f t="shared" si="78"/>
        <v>0</v>
      </c>
    </row>
    <row r="196" spans="1:25" s="11" customFormat="1" ht="20.149999999999999" customHeight="1" x14ac:dyDescent="0.45">
      <c r="A196"/>
      <c r="B196"/>
      <c r="C196"/>
      <c r="F196" s="485"/>
      <c r="G196" s="485"/>
      <c r="H196" s="485"/>
      <c r="I196" s="279"/>
      <c r="J196" s="103" t="s">
        <v>263</v>
      </c>
      <c r="K196" s="66"/>
      <c r="L196" s="216">
        <f t="shared" ref="L196:Y196" si="79">L195/$C$200</f>
        <v>0</v>
      </c>
      <c r="M196" s="216">
        <f t="shared" si="79"/>
        <v>0</v>
      </c>
      <c r="N196" s="216">
        <f t="shared" si="79"/>
        <v>0</v>
      </c>
      <c r="O196" s="216">
        <f t="shared" si="79"/>
        <v>0</v>
      </c>
      <c r="P196" s="216">
        <f t="shared" si="79"/>
        <v>0</v>
      </c>
      <c r="Q196" s="216">
        <f t="shared" si="79"/>
        <v>0</v>
      </c>
      <c r="R196" s="216">
        <f t="shared" si="79"/>
        <v>0</v>
      </c>
      <c r="S196" s="216">
        <f t="shared" si="79"/>
        <v>0</v>
      </c>
      <c r="T196" s="216">
        <f t="shared" si="79"/>
        <v>0</v>
      </c>
      <c r="U196" s="216">
        <f t="shared" si="79"/>
        <v>0</v>
      </c>
      <c r="V196" s="216">
        <f t="shared" si="79"/>
        <v>0</v>
      </c>
      <c r="W196" s="216">
        <f t="shared" si="79"/>
        <v>0</v>
      </c>
      <c r="X196" s="216">
        <f t="shared" si="79"/>
        <v>0</v>
      </c>
      <c r="Y196" s="216">
        <f t="shared" si="79"/>
        <v>0</v>
      </c>
    </row>
    <row r="197" spans="1:25" s="11" customFormat="1" ht="20.149999999999999" customHeight="1" x14ac:dyDescent="0.45">
      <c r="A197"/>
      <c r="B197"/>
      <c r="C197"/>
      <c r="F197" s="485"/>
      <c r="G197" s="485"/>
      <c r="H197" s="485"/>
      <c r="I197" s="279"/>
      <c r="J197" s="102" t="s">
        <v>284</v>
      </c>
      <c r="K197" s="66"/>
      <c r="L197" s="51">
        <f>SUM(L195:Y195)</f>
        <v>0</v>
      </c>
    </row>
    <row r="198" spans="1:25" s="11" customFormat="1" ht="20.149999999999999" customHeight="1" x14ac:dyDescent="0.45">
      <c r="A198"/>
      <c r="B198"/>
      <c r="C198"/>
      <c r="F198" s="485"/>
      <c r="G198" s="485"/>
      <c r="H198" s="485"/>
      <c r="I198" s="279"/>
      <c r="J198" s="103" t="s">
        <v>261</v>
      </c>
      <c r="K198" s="66"/>
      <c r="L198" s="112">
        <f>L197/$C$200</f>
        <v>0</v>
      </c>
    </row>
    <row r="199" spans="1:25" ht="20.149999999999999" customHeight="1" x14ac:dyDescent="0.45">
      <c r="K199" s="66"/>
    </row>
    <row r="200" spans="1:25" ht="20.149999999999999" customHeight="1" x14ac:dyDescent="0.45">
      <c r="B200" s="20" t="str">
        <f>PREMISAS!C18</f>
        <v>Paridad</v>
      </c>
      <c r="C200" s="202">
        <f>'F06 (MAT,SERV &amp; EQUIPO)'!C45</f>
        <v>18.07</v>
      </c>
      <c r="D200" s="204"/>
      <c r="E200" s="204"/>
      <c r="F200" s="204"/>
      <c r="G200" s="204"/>
      <c r="K200" s="66"/>
    </row>
    <row r="201" spans="1:25" ht="20.149999999999999" customHeight="1" x14ac:dyDescent="0.55000000000000004">
      <c r="B201" s="22" t="str">
        <f>PREMISAS!C19</f>
        <v xml:space="preserve">Mes </v>
      </c>
      <c r="C201" s="54">
        <f>'F06 (MAT,SERV &amp; EQUIPO)'!C46</f>
        <v>30.4</v>
      </c>
      <c r="D201" s="204"/>
      <c r="E201" s="204"/>
      <c r="F201" s="204"/>
      <c r="G201" s="204"/>
      <c r="K201" s="66"/>
      <c r="L201" s="19"/>
    </row>
    <row r="202" spans="1:25" ht="20.149999999999999" customHeight="1" x14ac:dyDescent="0.45">
      <c r="B202" s="24" t="str">
        <f>PREMISAS!C20</f>
        <v>Periodo Pago (días)</v>
      </c>
      <c r="C202" s="55">
        <f>'F06 (MAT,SERV &amp; EQUIPO)'!C47</f>
        <v>30</v>
      </c>
      <c r="D202" s="204"/>
      <c r="E202" s="204"/>
      <c r="F202" s="204"/>
      <c r="G202" s="204"/>
      <c r="K202" s="66"/>
    </row>
    <row r="203" spans="1:25" ht="20.149999999999999" customHeight="1" x14ac:dyDescent="0.45">
      <c r="B203" s="26" t="e">
        <f>PREMISAS!#REF!</f>
        <v>#REF!</v>
      </c>
      <c r="C203" s="58">
        <f>'F06 (MAT,SERV &amp; EQUIPO)'!C48</f>
        <v>0</v>
      </c>
      <c r="D203" s="204"/>
      <c r="E203" s="204"/>
      <c r="F203" s="204"/>
      <c r="G203" s="204"/>
      <c r="K203" s="66"/>
    </row>
    <row r="204" spans="1:25" ht="20.149999999999999" customHeight="1" x14ac:dyDescent="0.45">
      <c r="B204" s="28" t="e">
        <f>PREMISAS!#REF!</f>
        <v>#REF!</v>
      </c>
      <c r="C204" s="59">
        <f>'F06 (MAT,SERV &amp; EQUIPO)'!C49</f>
        <v>23.5</v>
      </c>
      <c r="D204" s="204"/>
      <c r="E204" s="204"/>
      <c r="F204" s="204"/>
      <c r="G204" s="204"/>
      <c r="K204" s="66"/>
    </row>
    <row r="205" spans="1:25" ht="20.149999999999999" customHeight="1" x14ac:dyDescent="0.35">
      <c r="B205" s="30" t="str">
        <f>PREMISAS!C21</f>
        <v>Gas lp</v>
      </c>
      <c r="C205" s="60">
        <f>'F06 (MAT,SERV &amp; EQUIPO)'!C50</f>
        <v>23</v>
      </c>
      <c r="D205" s="204"/>
      <c r="E205" s="204"/>
      <c r="F205" s="204"/>
      <c r="G205" s="204"/>
    </row>
    <row r="206" spans="1:25" ht="20.149999999999999" customHeight="1" x14ac:dyDescent="0.35">
      <c r="D206" s="204"/>
      <c r="E206" s="204"/>
      <c r="F206" s="204"/>
      <c r="G206" s="204"/>
    </row>
    <row r="207" spans="1:25" ht="20.149999999999999" customHeight="1" x14ac:dyDescent="0.35">
      <c r="D207" s="204"/>
      <c r="E207" s="204"/>
      <c r="F207" s="204"/>
      <c r="G207" s="204"/>
    </row>
    <row r="208" spans="1:25" ht="20.149999999999999" customHeight="1" x14ac:dyDescent="0.35">
      <c r="D208" s="204"/>
      <c r="E208" s="204"/>
      <c r="F208" s="204"/>
    </row>
    <row r="209" spans="4:6" ht="20.149999999999999" customHeight="1" x14ac:dyDescent="0.35">
      <c r="D209" s="204"/>
      <c r="E209" s="204"/>
      <c r="F209" s="204"/>
    </row>
    <row r="210" spans="4:6" ht="20.149999999999999" customHeight="1" x14ac:dyDescent="0.35">
      <c r="D210" s="204"/>
      <c r="E210" s="204"/>
      <c r="F210" s="204"/>
    </row>
    <row r="211" spans="4:6" ht="20.149999999999999" customHeight="1" x14ac:dyDescent="0.35">
      <c r="D211" s="204"/>
      <c r="E211" s="204"/>
      <c r="F211" s="204"/>
    </row>
    <row r="212" spans="4:6" ht="20.149999999999999" customHeight="1" x14ac:dyDescent="0.35">
      <c r="D212" s="204"/>
      <c r="E212" s="204"/>
      <c r="F212" s="204"/>
    </row>
    <row r="213" spans="4:6" ht="20.149999999999999" customHeight="1" x14ac:dyDescent="0.35">
      <c r="D213" s="204"/>
      <c r="E213" s="204"/>
      <c r="F213" s="204"/>
    </row>
    <row r="214" spans="4:6" ht="20.149999999999999" customHeight="1" x14ac:dyDescent="0.35">
      <c r="D214" s="204"/>
      <c r="E214" s="204"/>
      <c r="F214" s="204"/>
    </row>
    <row r="215" spans="4:6" ht="20.149999999999999" customHeight="1" x14ac:dyDescent="0.35">
      <c r="D215" s="204"/>
      <c r="E215" s="204"/>
      <c r="F215" s="204"/>
    </row>
    <row r="216" spans="4:6" ht="20.149999999999999" customHeight="1" x14ac:dyDescent="0.35">
      <c r="D216" s="204"/>
      <c r="E216" s="204"/>
      <c r="F216" s="204"/>
    </row>
    <row r="217" spans="4:6" ht="20.149999999999999" customHeight="1" x14ac:dyDescent="0.35">
      <c r="D217" s="204"/>
      <c r="E217" s="204"/>
      <c r="F217" s="204"/>
    </row>
    <row r="218" spans="4:6" ht="20.149999999999999" customHeight="1" x14ac:dyDescent="0.35">
      <c r="D218" s="204"/>
      <c r="E218" s="204"/>
      <c r="F218" s="204"/>
    </row>
    <row r="219" spans="4:6" ht="20.149999999999999" customHeight="1" x14ac:dyDescent="0.35">
      <c r="D219" s="204"/>
      <c r="E219" s="204"/>
      <c r="F219" s="204"/>
    </row>
    <row r="220" spans="4:6" ht="20.149999999999999" customHeight="1" x14ac:dyDescent="0.35">
      <c r="D220" s="204"/>
      <c r="E220" s="204"/>
      <c r="F220" s="204"/>
    </row>
    <row r="221" spans="4:6" ht="20.149999999999999" customHeight="1" x14ac:dyDescent="0.35">
      <c r="D221" s="204"/>
      <c r="E221" s="204"/>
      <c r="F221" s="204"/>
    </row>
    <row r="222" spans="4:6" ht="20.149999999999999" customHeight="1" x14ac:dyDescent="0.35">
      <c r="D222" s="204"/>
      <c r="E222" s="204"/>
      <c r="F222" s="204"/>
    </row>
    <row r="223" spans="4:6" ht="20.149999999999999" customHeight="1" x14ac:dyDescent="0.35">
      <c r="D223" s="204"/>
      <c r="E223" s="204"/>
      <c r="F223" s="204"/>
    </row>
    <row r="224" spans="4:6" ht="20.149999999999999" customHeight="1" x14ac:dyDescent="0.35">
      <c r="D224" s="204"/>
      <c r="E224" s="204"/>
      <c r="F224" s="204"/>
    </row>
    <row r="225" spans="4:21" ht="20.149999999999999" customHeight="1" x14ac:dyDescent="0.35">
      <c r="D225" s="204"/>
      <c r="E225" s="204"/>
      <c r="F225" s="204"/>
    </row>
    <row r="226" spans="4:21" ht="20.149999999999999" customHeight="1" x14ac:dyDescent="0.35">
      <c r="D226" s="204"/>
      <c r="E226" s="204"/>
      <c r="F226" s="204"/>
      <c r="U226" s="239"/>
    </row>
    <row r="227" spans="4:21" ht="20.149999999999999" customHeight="1" x14ac:dyDescent="0.35">
      <c r="D227" s="204"/>
      <c r="E227" s="204"/>
      <c r="F227" s="204"/>
    </row>
    <row r="228" spans="4:21" ht="20.149999999999999" customHeight="1" x14ac:dyDescent="0.35">
      <c r="D228" s="204"/>
      <c r="E228" s="204"/>
      <c r="F228" s="204"/>
    </row>
    <row r="229" spans="4:21" ht="20.149999999999999" customHeight="1" x14ac:dyDescent="0.35">
      <c r="D229" s="204"/>
      <c r="E229" s="204"/>
      <c r="F229" s="204"/>
    </row>
    <row r="230" spans="4:21" ht="20.149999999999999" customHeight="1" x14ac:dyDescent="0.35">
      <c r="D230" s="204"/>
      <c r="E230" s="204"/>
      <c r="F230" s="204"/>
    </row>
    <row r="231" spans="4:21" ht="20.149999999999999" customHeight="1" x14ac:dyDescent="0.35">
      <c r="D231" s="204"/>
      <c r="E231" s="204"/>
      <c r="F231" s="204"/>
    </row>
    <row r="232" spans="4:21" ht="20.149999999999999" customHeight="1" x14ac:dyDescent="0.35">
      <c r="D232" s="204"/>
      <c r="E232" s="204"/>
      <c r="F232" s="204"/>
    </row>
    <row r="233" spans="4:21" ht="20.149999999999999" customHeight="1" x14ac:dyDescent="0.35">
      <c r="D233" s="204"/>
      <c r="E233" s="204"/>
      <c r="F233" s="204"/>
    </row>
    <row r="234" spans="4:21" ht="20.149999999999999" customHeight="1" x14ac:dyDescent="0.35">
      <c r="D234" s="204"/>
      <c r="E234" s="204"/>
      <c r="F234" s="204"/>
    </row>
    <row r="235" spans="4:21" ht="20.149999999999999" customHeight="1" x14ac:dyDescent="0.35">
      <c r="D235" s="204"/>
      <c r="E235" s="204"/>
      <c r="F235" s="204"/>
    </row>
    <row r="236" spans="4:21" ht="20.149999999999999" customHeight="1" x14ac:dyDescent="0.35">
      <c r="D236" s="204"/>
      <c r="E236" s="204"/>
      <c r="F236" s="204"/>
    </row>
    <row r="237" spans="4:21" ht="20.149999999999999" customHeight="1" x14ac:dyDescent="0.35">
      <c r="D237" s="204"/>
      <c r="E237" s="204"/>
      <c r="F237" s="204"/>
    </row>
    <row r="238" spans="4:21" ht="20.149999999999999" customHeight="1" x14ac:dyDescent="0.35">
      <c r="D238" s="204"/>
      <c r="E238" s="204"/>
      <c r="F238" s="204"/>
    </row>
    <row r="239" spans="4:21" ht="20.149999999999999" customHeight="1" x14ac:dyDescent="0.35">
      <c r="D239" s="204"/>
      <c r="E239" s="204"/>
      <c r="F239" s="204"/>
    </row>
    <row r="240" spans="4:21" ht="20.149999999999999" customHeight="1" x14ac:dyDescent="0.35">
      <c r="D240" s="204"/>
      <c r="E240" s="204"/>
      <c r="F240" s="204"/>
    </row>
    <row r="241" spans="4:6" ht="20.149999999999999" customHeight="1" x14ac:dyDescent="0.35">
      <c r="D241" s="204"/>
      <c r="E241" s="204"/>
      <c r="F241" s="204"/>
    </row>
    <row r="242" spans="4:6" ht="20.149999999999999" customHeight="1" x14ac:dyDescent="0.35">
      <c r="D242" s="204"/>
      <c r="E242" s="204"/>
      <c r="F242" s="204"/>
    </row>
    <row r="243" spans="4:6" ht="20.149999999999999" customHeight="1" x14ac:dyDescent="0.35">
      <c r="D243" s="204"/>
      <c r="E243" s="204"/>
      <c r="F243" s="204"/>
    </row>
    <row r="244" spans="4:6" ht="20.149999999999999" customHeight="1" x14ac:dyDescent="0.35">
      <c r="D244" s="204"/>
      <c r="E244" s="204"/>
      <c r="F244" s="204"/>
    </row>
    <row r="245" spans="4:6" ht="20.149999999999999" customHeight="1" x14ac:dyDescent="0.35">
      <c r="D245" s="204"/>
      <c r="E245" s="204"/>
      <c r="F245" s="204"/>
    </row>
    <row r="246" spans="4:6" ht="20.149999999999999" customHeight="1" x14ac:dyDescent="0.35">
      <c r="D246" s="204"/>
      <c r="E246" s="204"/>
      <c r="F246" s="204"/>
    </row>
    <row r="247" spans="4:6" ht="20.149999999999999" customHeight="1" x14ac:dyDescent="0.35">
      <c r="D247" s="204"/>
      <c r="E247" s="204"/>
      <c r="F247" s="204"/>
    </row>
    <row r="248" spans="4:6" ht="20.149999999999999" customHeight="1" x14ac:dyDescent="0.35">
      <c r="D248" s="204"/>
      <c r="E248" s="204"/>
      <c r="F248" s="204"/>
    </row>
    <row r="249" spans="4:6" ht="20.149999999999999" customHeight="1" x14ac:dyDescent="0.35">
      <c r="D249" s="204"/>
      <c r="E249" s="204"/>
      <c r="F249" s="204"/>
    </row>
    <row r="250" spans="4:6" ht="20.149999999999999" customHeight="1" x14ac:dyDescent="0.35">
      <c r="D250" s="204"/>
      <c r="E250" s="204"/>
      <c r="F250" s="204"/>
    </row>
    <row r="251" spans="4:6" ht="20.149999999999999" customHeight="1" x14ac:dyDescent="0.35">
      <c r="D251" s="204"/>
      <c r="E251" s="204"/>
      <c r="F251" s="204"/>
    </row>
    <row r="252" spans="4:6" ht="20.149999999999999" customHeight="1" x14ac:dyDescent="0.35">
      <c r="D252" s="204"/>
      <c r="E252" s="204"/>
      <c r="F252" s="204"/>
    </row>
    <row r="253" spans="4:6" ht="20.149999999999999" customHeight="1" x14ac:dyDescent="0.35">
      <c r="D253" s="204"/>
      <c r="E253" s="204"/>
      <c r="F253" s="204"/>
    </row>
    <row r="254" spans="4:6" ht="20.149999999999999" customHeight="1" x14ac:dyDescent="0.35">
      <c r="D254" s="204"/>
      <c r="E254" s="204"/>
      <c r="F254" s="204"/>
    </row>
    <row r="255" spans="4:6" ht="20.149999999999999" customHeight="1" x14ac:dyDescent="0.35">
      <c r="D255" s="204"/>
      <c r="E255" s="204"/>
      <c r="F255" s="204"/>
    </row>
    <row r="256" spans="4:6" ht="20.149999999999999" customHeight="1" x14ac:dyDescent="0.35">
      <c r="D256" s="204"/>
      <c r="E256" s="204"/>
      <c r="F256" s="204"/>
    </row>
    <row r="257" spans="4:6" ht="20.149999999999999" customHeight="1" x14ac:dyDescent="0.35">
      <c r="D257" s="204"/>
      <c r="E257" s="204"/>
      <c r="F257" s="204"/>
    </row>
    <row r="258" spans="4:6" ht="20.149999999999999" customHeight="1" x14ac:dyDescent="0.35">
      <c r="D258" s="204"/>
      <c r="E258" s="204"/>
      <c r="F258" s="204"/>
    </row>
    <row r="259" spans="4:6" ht="20.149999999999999" customHeight="1" x14ac:dyDescent="0.35">
      <c r="D259" s="204"/>
      <c r="E259" s="204"/>
      <c r="F259" s="204"/>
    </row>
    <row r="260" spans="4:6" ht="20.149999999999999" customHeight="1" x14ac:dyDescent="0.35">
      <c r="D260" s="204"/>
      <c r="E260" s="204"/>
      <c r="F260" s="204"/>
    </row>
    <row r="261" spans="4:6" ht="20.149999999999999" customHeight="1" x14ac:dyDescent="0.35">
      <c r="D261" s="204"/>
      <c r="E261" s="204"/>
      <c r="F261" s="204"/>
    </row>
    <row r="262" spans="4:6" ht="20.149999999999999" customHeight="1" x14ac:dyDescent="0.35">
      <c r="D262" s="204"/>
      <c r="E262" s="204"/>
      <c r="F262" s="204"/>
    </row>
    <row r="263" spans="4:6" ht="20.149999999999999" customHeight="1" x14ac:dyDescent="0.35">
      <c r="D263" s="204"/>
      <c r="E263" s="204"/>
      <c r="F263" s="204"/>
    </row>
    <row r="264" spans="4:6" ht="20.149999999999999" customHeight="1" x14ac:dyDescent="0.35">
      <c r="D264" s="204"/>
      <c r="E264" s="204"/>
      <c r="F264" s="204"/>
    </row>
    <row r="265" spans="4:6" ht="20.149999999999999" customHeight="1" x14ac:dyDescent="0.35">
      <c r="D265" s="204"/>
      <c r="E265" s="204"/>
      <c r="F265" s="204"/>
    </row>
    <row r="266" spans="4:6" ht="20.149999999999999" customHeight="1" x14ac:dyDescent="0.35">
      <c r="D266" s="204"/>
      <c r="E266" s="204"/>
      <c r="F266" s="204"/>
    </row>
    <row r="267" spans="4:6" ht="20.149999999999999" customHeight="1" x14ac:dyDescent="0.35">
      <c r="D267" s="204"/>
      <c r="E267" s="204"/>
      <c r="F267" s="204"/>
    </row>
    <row r="268" spans="4:6" ht="20.149999999999999" customHeight="1" x14ac:dyDescent="0.35">
      <c r="D268" s="204"/>
      <c r="E268" s="204"/>
      <c r="F268" s="204"/>
    </row>
    <row r="269" spans="4:6" ht="20.149999999999999" customHeight="1" x14ac:dyDescent="0.35">
      <c r="D269" s="204"/>
      <c r="E269" s="204"/>
      <c r="F269" s="204"/>
    </row>
    <row r="270" spans="4:6" ht="20.149999999999999" customHeight="1" x14ac:dyDescent="0.35">
      <c r="D270" s="204"/>
      <c r="E270" s="204"/>
      <c r="F270" s="204"/>
    </row>
    <row r="271" spans="4:6" ht="20.149999999999999" customHeight="1" x14ac:dyDescent="0.35">
      <c r="D271" s="204"/>
      <c r="E271" s="204"/>
      <c r="F271" s="204"/>
    </row>
    <row r="272" spans="4:6" ht="20.149999999999999" customHeight="1" x14ac:dyDescent="0.35">
      <c r="D272" s="204"/>
      <c r="E272" s="204"/>
      <c r="F272" s="204"/>
    </row>
    <row r="273" spans="4:6" ht="20.149999999999999" customHeight="1" x14ac:dyDescent="0.35">
      <c r="D273" s="204"/>
      <c r="E273" s="204"/>
      <c r="F273" s="204"/>
    </row>
    <row r="274" spans="4:6" ht="20.149999999999999" customHeight="1" x14ac:dyDescent="0.35">
      <c r="D274" s="204"/>
      <c r="E274" s="204"/>
      <c r="F274" s="204"/>
    </row>
    <row r="275" spans="4:6" ht="20.149999999999999" customHeight="1" x14ac:dyDescent="0.35">
      <c r="D275" s="204"/>
      <c r="E275" s="204"/>
      <c r="F275" s="204"/>
    </row>
    <row r="276" spans="4:6" ht="20.149999999999999" customHeight="1" x14ac:dyDescent="0.35">
      <c r="D276" s="204"/>
      <c r="E276" s="204"/>
      <c r="F276" s="204"/>
    </row>
    <row r="277" spans="4:6" ht="20.149999999999999" customHeight="1" x14ac:dyDescent="0.35">
      <c r="D277" s="204"/>
      <c r="E277" s="204"/>
      <c r="F277" s="204"/>
    </row>
    <row r="278" spans="4:6" ht="20.149999999999999" customHeight="1" x14ac:dyDescent="0.35">
      <c r="D278" s="204"/>
      <c r="E278" s="204"/>
      <c r="F278" s="204"/>
    </row>
    <row r="279" spans="4:6" ht="20.149999999999999" customHeight="1" x14ac:dyDescent="0.35">
      <c r="D279" s="204"/>
      <c r="E279" s="204"/>
      <c r="F279" s="204"/>
    </row>
    <row r="280" spans="4:6" ht="20.149999999999999" customHeight="1" x14ac:dyDescent="0.35">
      <c r="D280" s="204"/>
      <c r="E280" s="204"/>
      <c r="F280" s="204"/>
    </row>
    <row r="281" spans="4:6" ht="20.149999999999999" customHeight="1" x14ac:dyDescent="0.35">
      <c r="D281" s="204"/>
      <c r="E281" s="204"/>
      <c r="F281" s="204"/>
    </row>
    <row r="282" spans="4:6" ht="20.149999999999999" customHeight="1" x14ac:dyDescent="0.35">
      <c r="D282" s="204"/>
      <c r="E282" s="204"/>
      <c r="F282" s="204"/>
    </row>
    <row r="283" spans="4:6" ht="20.149999999999999" customHeight="1" x14ac:dyDescent="0.35">
      <c r="D283" s="204"/>
      <c r="E283" s="204"/>
      <c r="F283" s="204"/>
    </row>
    <row r="284" spans="4:6" ht="20.149999999999999" customHeight="1" x14ac:dyDescent="0.35">
      <c r="D284" s="204"/>
      <c r="E284" s="204"/>
      <c r="F284" s="204"/>
    </row>
    <row r="285" spans="4:6" ht="20.149999999999999" customHeight="1" x14ac:dyDescent="0.35">
      <c r="D285" s="204"/>
      <c r="E285" s="204"/>
      <c r="F285" s="204"/>
    </row>
    <row r="286" spans="4:6" ht="20.149999999999999" customHeight="1" x14ac:dyDescent="0.35">
      <c r="D286" s="204"/>
      <c r="E286" s="204"/>
      <c r="F286" s="204"/>
    </row>
    <row r="287" spans="4:6" ht="20.149999999999999" customHeight="1" x14ac:dyDescent="0.35">
      <c r="D287" s="204"/>
      <c r="E287" s="204"/>
      <c r="F287" s="204"/>
    </row>
  </sheetData>
  <mergeCells count="87">
    <mergeCell ref="C123:C125"/>
    <mergeCell ref="B123:B125"/>
    <mergeCell ref="B49:J49"/>
    <mergeCell ref="F117:F120"/>
    <mergeCell ref="G117:H120"/>
    <mergeCell ref="B50:B52"/>
    <mergeCell ref="C50:C52"/>
    <mergeCell ref="F50:F51"/>
    <mergeCell ref="G50:G51"/>
    <mergeCell ref="H50:H51"/>
    <mergeCell ref="I50:I51"/>
    <mergeCell ref="J50:J51"/>
    <mergeCell ref="B149:B151"/>
    <mergeCell ref="C149:C151"/>
    <mergeCell ref="D149:D151"/>
    <mergeCell ref="E149:E151"/>
    <mergeCell ref="H137:H138"/>
    <mergeCell ref="B168:J168"/>
    <mergeCell ref="J169:J170"/>
    <mergeCell ref="F195:F198"/>
    <mergeCell ref="G195:H198"/>
    <mergeCell ref="B182:B184"/>
    <mergeCell ref="C182:C184"/>
    <mergeCell ref="D182:D184"/>
    <mergeCell ref="E182:E184"/>
    <mergeCell ref="F182:F183"/>
    <mergeCell ref="G182:G183"/>
    <mergeCell ref="H182:H183"/>
    <mergeCell ref="I182:I183"/>
    <mergeCell ref="J182:J183"/>
    <mergeCell ref="B181:J181"/>
    <mergeCell ref="E169:E171"/>
    <mergeCell ref="F169:F170"/>
    <mergeCell ref="B136:J136"/>
    <mergeCell ref="B148:J148"/>
    <mergeCell ref="B122:J122"/>
    <mergeCell ref="D123:D125"/>
    <mergeCell ref="F123:F124"/>
    <mergeCell ref="G123:G124"/>
    <mergeCell ref="H123:H124"/>
    <mergeCell ref="I123:I124"/>
    <mergeCell ref="J123:J124"/>
    <mergeCell ref="C137:C139"/>
    <mergeCell ref="B137:B139"/>
    <mergeCell ref="E137:E139"/>
    <mergeCell ref="D137:D139"/>
    <mergeCell ref="F137:F138"/>
    <mergeCell ref="G137:G138"/>
    <mergeCell ref="E123:E125"/>
    <mergeCell ref="I149:I150"/>
    <mergeCell ref="J149:J150"/>
    <mergeCell ref="E5:E7"/>
    <mergeCell ref="D5:D7"/>
    <mergeCell ref="C5:C7"/>
    <mergeCell ref="G5:G6"/>
    <mergeCell ref="H5:H6"/>
    <mergeCell ref="I137:I138"/>
    <mergeCell ref="J137:J138"/>
    <mergeCell ref="F149:F150"/>
    <mergeCell ref="G149:G150"/>
    <mergeCell ref="H149:H150"/>
    <mergeCell ref="D50:D52"/>
    <mergeCell ref="E50:E52"/>
    <mergeCell ref="F44:F47"/>
    <mergeCell ref="G44:H47"/>
    <mergeCell ref="B5:B7"/>
    <mergeCell ref="F5:F6"/>
    <mergeCell ref="B29:B31"/>
    <mergeCell ref="E29:E31"/>
    <mergeCell ref="B28:J28"/>
    <mergeCell ref="G22:H25"/>
    <mergeCell ref="F22:F25"/>
    <mergeCell ref="C29:C31"/>
    <mergeCell ref="D29:D31"/>
    <mergeCell ref="I5:I6"/>
    <mergeCell ref="J5:J6"/>
    <mergeCell ref="F29:F30"/>
    <mergeCell ref="G29:G30"/>
    <mergeCell ref="H29:H30"/>
    <mergeCell ref="I29:I30"/>
    <mergeCell ref="J29:J30"/>
    <mergeCell ref="G169:G170"/>
    <mergeCell ref="H169:H170"/>
    <mergeCell ref="I169:I170"/>
    <mergeCell ref="B169:B171"/>
    <mergeCell ref="C169:C171"/>
    <mergeCell ref="D169:D171"/>
  </mergeCells>
  <phoneticPr fontId="8" type="noConversion"/>
  <pageMargins left="0.25" right="0.25" top="0.75" bottom="0.75" header="0.3" footer="0.3"/>
  <pageSetup paperSize="3" scale="1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18</vt:i4>
      </vt:variant>
      <vt:variant>
        <vt:lpstr>Rangos con nombre</vt:lpstr>
      </vt:variant>
      <vt:variant>
        <vt:i4>2</vt:i4>
      </vt:variant>
    </vt:vector>
  </HeadingPairs>
  <TitlesOfParts>
    <vt:vector size="20" baseType="lpstr">
      <vt:lpstr>SERVICIO</vt:lpstr>
      <vt:lpstr>Comparativa Anexo C</vt:lpstr>
      <vt:lpstr>GRÁFICA</vt:lpstr>
      <vt:lpstr>GRÁFICA II</vt:lpstr>
      <vt:lpstr>PREMISAS</vt:lpstr>
      <vt:lpstr>FLUJO</vt:lpstr>
      <vt:lpstr>EGRESOS</vt:lpstr>
      <vt:lpstr>F08 INGRESOS</vt:lpstr>
      <vt:lpstr>F00 INVERSIÓN</vt:lpstr>
      <vt:lpstr>F01 NÓMINA</vt:lpstr>
      <vt:lpstr>F01 EPP</vt:lpstr>
      <vt:lpstr>F01 UNIFORMES</vt:lpstr>
      <vt:lpstr>F02 INMUEBLES Y S</vt:lpstr>
      <vt:lpstr>F03 COM Y EQ COM</vt:lpstr>
      <vt:lpstr>F04 VEHÍCULOS Y COMB. </vt:lpstr>
      <vt:lpstr>F05 VIÁTICOS</vt:lpstr>
      <vt:lpstr>F06 (MAT,SERV &amp; EQUIPO)</vt:lpstr>
      <vt:lpstr>F07 OPERAC. (MAT,SERV &amp; EQUIPO)</vt:lpstr>
      <vt:lpstr>'F01 EPP'!Área_de_impresión</vt:lpstr>
      <vt:lpstr>'F01 NÓMINA'!Área_de_impresión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Geolis</dc:creator>
  <cp:lastModifiedBy>Operacion Geolis 3</cp:lastModifiedBy>
  <cp:lastPrinted>2023-04-18T21:07:38Z</cp:lastPrinted>
  <dcterms:created xsi:type="dcterms:W3CDTF">2015-08-06T13:30:52Z</dcterms:created>
  <dcterms:modified xsi:type="dcterms:W3CDTF">2026-02-18T02:25:52Z</dcterms:modified>
</cp:coreProperties>
</file>