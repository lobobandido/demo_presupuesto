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salcazart\Desktop\GEOLIS SALVADOR\08.- PRESUPUESTOS\2.- 2025\01.- POR ESTACIÓN\"/>
    </mc:Choice>
  </mc:AlternateContent>
  <xr:revisionPtr revIDLastSave="0" documentId="8_{6BD8C810-2FA4-43B1-B434-2BF7E9638A9C}" xr6:coauthVersionLast="47" xr6:coauthVersionMax="47" xr10:uidLastSave="{00000000-0000-0000-0000-000000000000}"/>
  <bookViews>
    <workbookView xWindow="-110" yWindow="-110" windowWidth="19420" windowHeight="11620" activeTab="1" xr2:uid="{CE743E8D-E9DF-4B81-BDF7-4A112D2D7A94}"/>
  </bookViews>
  <sheets>
    <sheet name="F218358" sheetId="1" r:id="rId1"/>
    <sheet name="F218358 actualizado" sheetId="2" r:id="rId2"/>
  </sheets>
  <externalReferences>
    <externalReference r:id="rId3"/>
    <externalReference r:id="rId4"/>
  </externalReferences>
  <definedNames>
    <definedName name="Departamentos">'[1]BD Competencias'!$F$14:$F$41</definedName>
    <definedName name="Display_Week">[2]ProjectSchedule!$I$3</definedName>
    <definedName name="Project_Start">[2]ProjectSchedule!$I$2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2" i="2" l="1"/>
  <c r="M162" i="2"/>
  <c r="L162" i="2"/>
  <c r="K162" i="2"/>
  <c r="J162" i="2"/>
  <c r="I162" i="2"/>
  <c r="H162" i="2"/>
  <c r="G162" i="2"/>
  <c r="F162" i="2"/>
  <c r="E162" i="2"/>
  <c r="D162" i="2"/>
  <c r="C162" i="2"/>
  <c r="B162" i="2"/>
  <c r="B161" i="2"/>
  <c r="B160" i="2"/>
  <c r="B159" i="2"/>
  <c r="B158" i="2"/>
  <c r="B157" i="2"/>
  <c r="N156" i="2"/>
  <c r="M156" i="2"/>
  <c r="L156" i="2"/>
  <c r="K156" i="2"/>
  <c r="J156" i="2"/>
  <c r="I156" i="2"/>
  <c r="H156" i="2"/>
  <c r="G156" i="2"/>
  <c r="F156" i="2"/>
  <c r="E156" i="2"/>
  <c r="D156" i="2"/>
  <c r="C156" i="2"/>
  <c r="B156" i="2"/>
  <c r="B155" i="2"/>
  <c r="B154" i="2"/>
  <c r="B153" i="2"/>
  <c r="N152" i="2"/>
  <c r="M152" i="2"/>
  <c r="L152" i="2"/>
  <c r="K152" i="2"/>
  <c r="J152" i="2"/>
  <c r="I152" i="2"/>
  <c r="H152" i="2"/>
  <c r="G152" i="2"/>
  <c r="F152" i="2"/>
  <c r="E152" i="2"/>
  <c r="D152" i="2"/>
  <c r="C152" i="2"/>
  <c r="B151" i="2"/>
  <c r="B150" i="2"/>
  <c r="N149" i="2"/>
  <c r="M149" i="2"/>
  <c r="L149" i="2"/>
  <c r="K149" i="2"/>
  <c r="J149" i="2"/>
  <c r="I149" i="2"/>
  <c r="H149" i="2"/>
  <c r="G149" i="2"/>
  <c r="F149" i="2"/>
  <c r="E149" i="2"/>
  <c r="D149" i="2"/>
  <c r="C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1" i="2"/>
  <c r="B120" i="2"/>
  <c r="B119" i="2"/>
  <c r="B118" i="2"/>
  <c r="B117" i="2"/>
  <c r="B116" i="2"/>
  <c r="B115" i="2"/>
  <c r="B114" i="2"/>
  <c r="B113" i="2"/>
  <c r="B112" i="2"/>
  <c r="B111" i="2"/>
  <c r="B110" i="2"/>
  <c r="B109" i="2"/>
  <c r="B108" i="2"/>
  <c r="B106" i="2"/>
  <c r="B105" i="2"/>
  <c r="B104" i="2"/>
  <c r="B103" i="2"/>
  <c r="B102" i="2"/>
  <c r="B101" i="2"/>
  <c r="B100" i="2"/>
  <c r="B99" i="2"/>
  <c r="B98" i="2"/>
  <c r="B97" i="2"/>
  <c r="B96" i="2"/>
  <c r="B95" i="2"/>
  <c r="B94" i="2"/>
  <c r="B93" i="2"/>
  <c r="B92" i="2"/>
  <c r="B91" i="2"/>
  <c r="B90" i="2"/>
  <c r="B89" i="2"/>
  <c r="B88" i="2"/>
  <c r="B87" i="2"/>
  <c r="B86" i="2"/>
  <c r="B85" i="2"/>
  <c r="B84" i="2"/>
  <c r="B149" i="2" s="1"/>
  <c r="N83" i="2"/>
  <c r="M83" i="2"/>
  <c r="L83" i="2"/>
  <c r="K83" i="2"/>
  <c r="J83" i="2"/>
  <c r="I83" i="2"/>
  <c r="H83" i="2"/>
  <c r="G83" i="2"/>
  <c r="F83" i="2"/>
  <c r="E83" i="2"/>
  <c r="D83" i="2"/>
  <c r="C83" i="2"/>
  <c r="B82" i="2"/>
  <c r="B81" i="2"/>
  <c r="B80" i="2"/>
  <c r="B79" i="2"/>
  <c r="N78" i="2"/>
  <c r="M78" i="2"/>
  <c r="L78" i="2"/>
  <c r="K78" i="2"/>
  <c r="J78" i="2"/>
  <c r="I78" i="2"/>
  <c r="H78" i="2"/>
  <c r="G78" i="2"/>
  <c r="F78" i="2"/>
  <c r="E78" i="2"/>
  <c r="D78" i="2"/>
  <c r="C78" i="2"/>
  <c r="B77" i="2"/>
  <c r="N76" i="2"/>
  <c r="M76" i="2"/>
  <c r="L76" i="2"/>
  <c r="K76" i="2"/>
  <c r="J76" i="2"/>
  <c r="I76" i="2"/>
  <c r="H76" i="2"/>
  <c r="G76" i="2"/>
  <c r="F76" i="2"/>
  <c r="E76" i="2"/>
  <c r="D76" i="2"/>
  <c r="C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76" i="2" s="1"/>
  <c r="B45" i="2"/>
  <c r="B44" i="2"/>
  <c r="B43" i="2"/>
  <c r="B42" i="2"/>
  <c r="B41" i="2"/>
  <c r="N40" i="2"/>
  <c r="N163" i="2" s="1"/>
  <c r="M40" i="2"/>
  <c r="L40" i="2"/>
  <c r="K40" i="2"/>
  <c r="J40" i="2"/>
  <c r="I40" i="2"/>
  <c r="H40" i="2"/>
  <c r="G40" i="2"/>
  <c r="F40" i="2"/>
  <c r="E40" i="2"/>
  <c r="D40" i="2"/>
  <c r="C40" i="2"/>
  <c r="B40" i="2"/>
  <c r="B39" i="2"/>
  <c r="B38" i="2"/>
  <c r="N37" i="2"/>
  <c r="M37" i="2"/>
  <c r="L37" i="2"/>
  <c r="K37" i="2"/>
  <c r="J37" i="2"/>
  <c r="I37" i="2"/>
  <c r="H37" i="2"/>
  <c r="G37" i="2"/>
  <c r="F37" i="2"/>
  <c r="E37" i="2"/>
  <c r="D37" i="2"/>
  <c r="C37" i="2"/>
  <c r="B36" i="2"/>
  <c r="B35" i="2"/>
  <c r="B34" i="2"/>
  <c r="B37" i="2" s="1"/>
  <c r="B33" i="2"/>
  <c r="B32" i="2"/>
  <c r="N31" i="2"/>
  <c r="M31" i="2"/>
  <c r="L31" i="2"/>
  <c r="K31" i="2"/>
  <c r="J31" i="2"/>
  <c r="I31" i="2"/>
  <c r="H31" i="2"/>
  <c r="G31" i="2"/>
  <c r="F31" i="2"/>
  <c r="E31" i="2"/>
  <c r="D31" i="2"/>
  <c r="C31" i="2"/>
  <c r="B30" i="2"/>
  <c r="N29" i="2"/>
  <c r="M29" i="2"/>
  <c r="M163" i="2" s="1"/>
  <c r="L29" i="2"/>
  <c r="L163" i="2" s="1"/>
  <c r="K29" i="2"/>
  <c r="J29" i="2"/>
  <c r="I29" i="2"/>
  <c r="H29" i="2"/>
  <c r="G29" i="2"/>
  <c r="F29" i="2"/>
  <c r="E29" i="2"/>
  <c r="E163" i="2" s="1"/>
  <c r="D29" i="2"/>
  <c r="D163" i="2" s="1"/>
  <c r="C29" i="2"/>
  <c r="B28" i="2"/>
  <c r="B29" i="2" s="1"/>
  <c r="B27" i="2"/>
  <c r="N26" i="2"/>
  <c r="M26" i="2"/>
  <c r="L26" i="2"/>
  <c r="K26" i="2"/>
  <c r="J26" i="2"/>
  <c r="I26" i="2"/>
  <c r="H26" i="2"/>
  <c r="G26" i="2"/>
  <c r="F26" i="2"/>
  <c r="E26" i="2"/>
  <c r="D26" i="2"/>
  <c r="C26" i="2"/>
  <c r="B25" i="2"/>
  <c r="B26" i="2" s="1"/>
  <c r="N24" i="2"/>
  <c r="M24" i="2"/>
  <c r="L24" i="2"/>
  <c r="K24" i="2"/>
  <c r="J24" i="2"/>
  <c r="I24" i="2"/>
  <c r="H24" i="2"/>
  <c r="G24" i="2"/>
  <c r="F24" i="2"/>
  <c r="E24" i="2"/>
  <c r="D24" i="2"/>
  <c r="C24" i="2"/>
  <c r="C163" i="2" s="1"/>
  <c r="C164" i="2" s="1"/>
  <c r="D164" i="2" s="1"/>
  <c r="E164" i="2" s="1"/>
  <c r="F164" i="2" s="1"/>
  <c r="G164" i="2" s="1"/>
  <c r="H164" i="2" s="1"/>
  <c r="I164" i="2" s="1"/>
  <c r="J164" i="2" s="1"/>
  <c r="K164" i="2" s="1"/>
  <c r="L164" i="2" s="1"/>
  <c r="M164" i="2" s="1"/>
  <c r="N164" i="2" s="1"/>
  <c r="B23" i="2"/>
  <c r="B22" i="2"/>
  <c r="B21" i="2"/>
  <c r="B20" i="2"/>
  <c r="B19" i="2"/>
  <c r="B18" i="2"/>
  <c r="B17" i="2"/>
  <c r="B16" i="2"/>
  <c r="B24" i="2" s="1"/>
  <c r="B15" i="2"/>
  <c r="N14" i="2"/>
  <c r="M14" i="2"/>
  <c r="L14" i="2"/>
  <c r="K14" i="2"/>
  <c r="K163" i="2" s="1"/>
  <c r="J14" i="2"/>
  <c r="J163" i="2" s="1"/>
  <c r="I14" i="2"/>
  <c r="I163" i="2" s="1"/>
  <c r="H14" i="2"/>
  <c r="H163" i="2" s="1"/>
  <c r="G14" i="2"/>
  <c r="G163" i="2" s="1"/>
  <c r="F14" i="2"/>
  <c r="F163" i="2" s="1"/>
  <c r="E14" i="2"/>
  <c r="D14" i="2"/>
  <c r="C14" i="2"/>
  <c r="B13" i="2"/>
  <c r="B12" i="2"/>
  <c r="B11" i="2"/>
  <c r="B10" i="2"/>
  <c r="B9" i="2"/>
  <c r="B14" i="2" s="1"/>
  <c r="B5" i="2"/>
  <c r="B83" i="2" l="1"/>
  <c r="B31" i="2"/>
  <c r="B163" i="2" s="1"/>
  <c r="B78" i="2"/>
  <c r="B152" i="2"/>
  <c r="B164" i="2" l="1"/>
  <c r="O39" i="2"/>
  <c r="O27" i="2"/>
  <c r="O21" i="2"/>
  <c r="O15" i="2"/>
  <c r="O66" i="2"/>
  <c r="O73" i="2"/>
  <c r="O114" i="2"/>
  <c r="O63" i="2"/>
  <c r="O119" i="2"/>
  <c r="O77" i="2"/>
  <c r="O92" i="2"/>
  <c r="O158" i="2"/>
  <c r="O24" i="2"/>
  <c r="O54" i="2"/>
  <c r="O147" i="2"/>
  <c r="O148" i="2"/>
  <c r="O93" i="2"/>
  <c r="O88" i="2"/>
  <c r="O127" i="2"/>
  <c r="O75" i="2"/>
  <c r="O19" i="2"/>
  <c r="O91" i="2"/>
  <c r="O104" i="2"/>
  <c r="O30" i="2"/>
  <c r="O32" i="2"/>
  <c r="O29" i="2"/>
  <c r="O161" i="2"/>
  <c r="O162" i="2"/>
  <c r="O143" i="2"/>
  <c r="O113" i="2"/>
  <c r="O139" i="2"/>
  <c r="O90" i="2"/>
  <c r="O72" i="2"/>
  <c r="O103" i="2"/>
  <c r="O117" i="2"/>
  <c r="O44" i="2"/>
  <c r="O45" i="2"/>
  <c r="O55" i="2"/>
  <c r="O18" i="2"/>
  <c r="O46" i="2"/>
  <c r="O118" i="2"/>
  <c r="O142" i="2"/>
  <c r="O69" i="2"/>
  <c r="O47" i="2"/>
  <c r="O60" i="2"/>
  <c r="O128" i="2"/>
  <c r="O141" i="2"/>
  <c r="O82" i="2"/>
  <c r="O58" i="2"/>
  <c r="O38" i="2"/>
  <c r="O14" i="2"/>
  <c r="O70" i="2"/>
  <c r="O94" i="2"/>
  <c r="O126" i="2"/>
  <c r="O153" i="2"/>
  <c r="O102" i="2"/>
  <c r="O112" i="2"/>
  <c r="O116" i="2"/>
  <c r="O130" i="2"/>
  <c r="O56" i="2"/>
  <c r="O57" i="2"/>
  <c r="O33" i="2"/>
  <c r="O37" i="2"/>
  <c r="O35" i="2"/>
  <c r="O138" i="2"/>
  <c r="O115" i="2"/>
  <c r="O49" i="2"/>
  <c r="O129" i="2"/>
  <c r="O68" i="2"/>
  <c r="O76" i="2"/>
  <c r="O84" i="2"/>
  <c r="O151" i="2"/>
  <c r="O132" i="2"/>
  <c r="O100" i="2"/>
  <c r="O156" i="2"/>
  <c r="O149" i="2"/>
  <c r="O59" i="2"/>
  <c r="O17" i="2"/>
  <c r="O95" i="2"/>
  <c r="O125" i="2"/>
  <c r="O50" i="2"/>
  <c r="O48" i="2"/>
  <c r="O154" i="2"/>
  <c r="O26" i="2"/>
  <c r="O131" i="2"/>
  <c r="O108" i="2"/>
  <c r="O109" i="2"/>
  <c r="O85" i="2"/>
  <c r="O86" i="2"/>
  <c r="O25" i="2"/>
  <c r="O98" i="2"/>
  <c r="O150" i="2"/>
  <c r="O105" i="2"/>
  <c r="O53" i="2"/>
  <c r="O133" i="2"/>
  <c r="O110" i="2"/>
  <c r="O111" i="2"/>
  <c r="O36" i="2"/>
  <c r="O22" i="2"/>
  <c r="O157" i="2"/>
  <c r="O52" i="2"/>
  <c r="O145" i="2"/>
  <c r="O123" i="2"/>
  <c r="O61" i="2"/>
  <c r="O51" i="2"/>
  <c r="O43" i="2"/>
  <c r="O144" i="2"/>
  <c r="O135" i="2"/>
  <c r="O87" i="2"/>
  <c r="O155" i="2"/>
  <c r="O96" i="2"/>
  <c r="O137" i="2"/>
  <c r="O62" i="2"/>
  <c r="O99" i="2"/>
  <c r="O42" i="2"/>
  <c r="O23" i="2"/>
  <c r="O41" i="2"/>
  <c r="O67" i="2"/>
  <c r="O120" i="2"/>
  <c r="O121" i="2"/>
  <c r="O97" i="2"/>
  <c r="O28" i="2"/>
  <c r="O74" i="2"/>
  <c r="O40" i="2"/>
  <c r="O81" i="2"/>
  <c r="O134" i="2"/>
  <c r="O34" i="2"/>
  <c r="O89" i="2"/>
  <c r="O65" i="2"/>
  <c r="O146" i="2"/>
  <c r="O64" i="2"/>
  <c r="O159" i="2"/>
  <c r="O136" i="2"/>
  <c r="O140" i="2"/>
  <c r="O80" i="2"/>
  <c r="O71" i="2"/>
  <c r="O20" i="2"/>
  <c r="O106" i="2"/>
  <c r="O124" i="2"/>
  <c r="O101" i="2"/>
  <c r="O79" i="2"/>
  <c r="O160" i="2"/>
  <c r="O16" i="2"/>
  <c r="O152" i="2"/>
  <c r="O78" i="2"/>
  <c r="O31" i="2"/>
  <c r="O83" i="2"/>
  <c r="N162" i="1" l="1"/>
  <c r="M162" i="1"/>
  <c r="L162" i="1"/>
  <c r="K162" i="1"/>
  <c r="J162" i="1"/>
  <c r="I162" i="1"/>
  <c r="H162" i="1"/>
  <c r="G162" i="1"/>
  <c r="F162" i="1"/>
  <c r="E162" i="1"/>
  <c r="D162" i="1"/>
  <c r="C162" i="1"/>
  <c r="B161" i="1"/>
  <c r="B160" i="1"/>
  <c r="B159" i="1"/>
  <c r="B158" i="1"/>
  <c r="B162" i="1" s="1"/>
  <c r="B157" i="1"/>
  <c r="N156" i="1"/>
  <c r="M156" i="1"/>
  <c r="L156" i="1"/>
  <c r="K156" i="1"/>
  <c r="J156" i="1"/>
  <c r="I156" i="1"/>
  <c r="H156" i="1"/>
  <c r="G156" i="1"/>
  <c r="F156" i="1"/>
  <c r="E156" i="1"/>
  <c r="D156" i="1"/>
  <c r="C156" i="1"/>
  <c r="B156" i="1"/>
  <c r="B155" i="1"/>
  <c r="B154" i="1"/>
  <c r="B153" i="1"/>
  <c r="N152" i="1"/>
  <c r="M152" i="1"/>
  <c r="L152" i="1"/>
  <c r="K152" i="1"/>
  <c r="J152" i="1"/>
  <c r="I152" i="1"/>
  <c r="H152" i="1"/>
  <c r="G152" i="1"/>
  <c r="F152" i="1"/>
  <c r="E152" i="1"/>
  <c r="D152" i="1"/>
  <c r="C152" i="1"/>
  <c r="B151" i="1"/>
  <c r="B150" i="1"/>
  <c r="N149" i="1"/>
  <c r="M149" i="1"/>
  <c r="L149" i="1"/>
  <c r="K149" i="1"/>
  <c r="J149" i="1"/>
  <c r="I149" i="1"/>
  <c r="H149" i="1"/>
  <c r="G149" i="1"/>
  <c r="F149" i="1"/>
  <c r="E149" i="1"/>
  <c r="D149" i="1"/>
  <c r="C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1" i="1"/>
  <c r="B120" i="1"/>
  <c r="B119" i="1"/>
  <c r="B118" i="1"/>
  <c r="B117" i="1"/>
  <c r="B116" i="1"/>
  <c r="B115" i="1"/>
  <c r="B114" i="1"/>
  <c r="B113" i="1"/>
  <c r="B112" i="1"/>
  <c r="B111" i="1"/>
  <c r="B110" i="1"/>
  <c r="B109" i="1"/>
  <c r="B108" i="1"/>
  <c r="B106" i="1"/>
  <c r="B105" i="1"/>
  <c r="B104" i="1"/>
  <c r="B103" i="1"/>
  <c r="B102" i="1"/>
  <c r="B101" i="1"/>
  <c r="B100" i="1"/>
  <c r="B99" i="1"/>
  <c r="B98" i="1"/>
  <c r="B97" i="1"/>
  <c r="B96" i="1"/>
  <c r="B95" i="1"/>
  <c r="B94" i="1"/>
  <c r="B93" i="1"/>
  <c r="B92" i="1"/>
  <c r="B91" i="1"/>
  <c r="B90" i="1"/>
  <c r="B89" i="1"/>
  <c r="B88" i="1"/>
  <c r="B87" i="1"/>
  <c r="B86" i="1"/>
  <c r="B149" i="1" s="1"/>
  <c r="B85" i="1"/>
  <c r="B84" i="1"/>
  <c r="N83" i="1"/>
  <c r="M83" i="1"/>
  <c r="L83" i="1"/>
  <c r="K83" i="1"/>
  <c r="J83" i="1"/>
  <c r="I83" i="1"/>
  <c r="H83" i="1"/>
  <c r="G83" i="1"/>
  <c r="F83" i="1"/>
  <c r="E83" i="1"/>
  <c r="D83" i="1"/>
  <c r="C83" i="1"/>
  <c r="B82" i="1"/>
  <c r="B81" i="1"/>
  <c r="B80" i="1"/>
  <c r="B83" i="1" s="1"/>
  <c r="B79" i="1"/>
  <c r="N78" i="1"/>
  <c r="M78" i="1"/>
  <c r="L78" i="1"/>
  <c r="K78" i="1"/>
  <c r="J78" i="1"/>
  <c r="I78" i="1"/>
  <c r="H78" i="1"/>
  <c r="G78" i="1"/>
  <c r="F78" i="1"/>
  <c r="E78" i="1"/>
  <c r="D78" i="1"/>
  <c r="C78" i="1"/>
  <c r="B78" i="1"/>
  <c r="B77" i="1"/>
  <c r="N76" i="1"/>
  <c r="M76" i="1"/>
  <c r="L76" i="1"/>
  <c r="K76" i="1"/>
  <c r="J76" i="1"/>
  <c r="I76" i="1"/>
  <c r="H76" i="1"/>
  <c r="G76" i="1"/>
  <c r="F76" i="1"/>
  <c r="E76" i="1"/>
  <c r="D76" i="1"/>
  <c r="C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76" i="1" s="1"/>
  <c r="N40" i="1"/>
  <c r="N163" i="1" s="1"/>
  <c r="M40" i="1"/>
  <c r="L40" i="1"/>
  <c r="K40" i="1"/>
  <c r="J40" i="1"/>
  <c r="I40" i="1"/>
  <c r="H40" i="1"/>
  <c r="G40" i="1"/>
  <c r="F40" i="1"/>
  <c r="F163" i="1" s="1"/>
  <c r="E40" i="1"/>
  <c r="D40" i="1"/>
  <c r="C40" i="1"/>
  <c r="B39" i="1"/>
  <c r="B38" i="1"/>
  <c r="N37" i="1"/>
  <c r="M37" i="1"/>
  <c r="L37" i="1"/>
  <c r="K37" i="1"/>
  <c r="J37" i="1"/>
  <c r="I37" i="1"/>
  <c r="H37" i="1"/>
  <c r="G37" i="1"/>
  <c r="F37" i="1"/>
  <c r="E37" i="1"/>
  <c r="D37" i="1"/>
  <c r="C37" i="1"/>
  <c r="B37" i="1"/>
  <c r="B36" i="1"/>
  <c r="B35" i="1"/>
  <c r="B34" i="1"/>
  <c r="B33" i="1"/>
  <c r="B32" i="1"/>
  <c r="N31" i="1"/>
  <c r="M31" i="1"/>
  <c r="L31" i="1"/>
  <c r="K31" i="1"/>
  <c r="J31" i="1"/>
  <c r="I31" i="1"/>
  <c r="H31" i="1"/>
  <c r="G31" i="1"/>
  <c r="F31" i="1"/>
  <c r="E31" i="1"/>
  <c r="D31" i="1"/>
  <c r="C31" i="1"/>
  <c r="B30" i="1"/>
  <c r="B31" i="1" s="1"/>
  <c r="N29" i="1"/>
  <c r="M29" i="1"/>
  <c r="L29" i="1"/>
  <c r="K29" i="1"/>
  <c r="J29" i="1"/>
  <c r="I29" i="1"/>
  <c r="H29" i="1"/>
  <c r="H163" i="1" s="1"/>
  <c r="G29" i="1"/>
  <c r="G163" i="1" s="1"/>
  <c r="F29" i="1"/>
  <c r="E29" i="1"/>
  <c r="D29" i="1"/>
  <c r="C29" i="1"/>
  <c r="B28" i="1"/>
  <c r="B29" i="1" s="1"/>
  <c r="B27" i="1"/>
  <c r="N26" i="1"/>
  <c r="M26" i="1"/>
  <c r="L26" i="1"/>
  <c r="L163" i="1" s="1"/>
  <c r="K26" i="1"/>
  <c r="J26" i="1"/>
  <c r="I26" i="1"/>
  <c r="H26" i="1"/>
  <c r="G26" i="1"/>
  <c r="F26" i="1"/>
  <c r="E26" i="1"/>
  <c r="D26" i="1"/>
  <c r="C26" i="1"/>
  <c r="B26" i="1"/>
  <c r="B25" i="1"/>
  <c r="N24" i="1"/>
  <c r="M24" i="1"/>
  <c r="L24" i="1"/>
  <c r="K24" i="1"/>
  <c r="J24" i="1"/>
  <c r="I24" i="1"/>
  <c r="H24" i="1"/>
  <c r="G24" i="1"/>
  <c r="F24" i="1"/>
  <c r="E24" i="1"/>
  <c r="D24" i="1"/>
  <c r="C24" i="1"/>
  <c r="C163" i="1" s="1"/>
  <c r="C164" i="1" s="1"/>
  <c r="B23" i="1"/>
  <c r="B22" i="1"/>
  <c r="B21" i="1"/>
  <c r="B20" i="1"/>
  <c r="B19" i="1"/>
  <c r="B18" i="1"/>
  <c r="B17" i="1"/>
  <c r="B16" i="1"/>
  <c r="B15" i="1"/>
  <c r="N14" i="1"/>
  <c r="M14" i="1"/>
  <c r="M163" i="1" s="1"/>
  <c r="L14" i="1"/>
  <c r="K14" i="1"/>
  <c r="K163" i="1" s="1"/>
  <c r="J14" i="1"/>
  <c r="I14" i="1"/>
  <c r="H14" i="1"/>
  <c r="G14" i="1"/>
  <c r="F14" i="1"/>
  <c r="E14" i="1"/>
  <c r="E163" i="1" s="1"/>
  <c r="D14" i="1"/>
  <c r="D163" i="1" s="1"/>
  <c r="C14" i="1"/>
  <c r="B13" i="1"/>
  <c r="B12" i="1"/>
  <c r="B11" i="1"/>
  <c r="B10" i="1"/>
  <c r="B9" i="1"/>
  <c r="B14" i="1" s="1"/>
  <c r="B5" i="1"/>
  <c r="D164" i="1" l="1"/>
  <c r="E164" i="1" s="1"/>
  <c r="F164" i="1" s="1"/>
  <c r="G164" i="1" s="1"/>
  <c r="H164" i="1" s="1"/>
  <c r="B24" i="1"/>
  <c r="I163" i="1"/>
  <c r="J163" i="1"/>
  <c r="B40" i="1"/>
  <c r="B152" i="1"/>
  <c r="I164" i="1" l="1"/>
  <c r="J164" i="1" s="1"/>
  <c r="K164" i="1" s="1"/>
  <c r="L164" i="1" s="1"/>
  <c r="M164" i="1" s="1"/>
  <c r="N164" i="1" s="1"/>
  <c r="B163" i="1"/>
  <c r="B164" i="1" l="1"/>
  <c r="O157" i="1"/>
  <c r="O79" i="1"/>
  <c r="O68" i="1"/>
  <c r="O63" i="1"/>
  <c r="O52" i="1"/>
  <c r="O47" i="1"/>
  <c r="O38" i="1"/>
  <c r="O27" i="1"/>
  <c r="O17" i="1"/>
  <c r="O143" i="1"/>
  <c r="O127" i="1"/>
  <c r="O110" i="1"/>
  <c r="O93" i="1"/>
  <c r="O71" i="1"/>
  <c r="O60" i="1"/>
  <c r="O15" i="1"/>
  <c r="O161" i="1"/>
  <c r="O67" i="1"/>
  <c r="O51" i="1"/>
  <c r="O35" i="1"/>
  <c r="O55" i="1"/>
  <c r="O44" i="1"/>
  <c r="O147" i="1"/>
  <c r="O131" i="1"/>
  <c r="O114" i="1"/>
  <c r="O97" i="1"/>
  <c r="O135" i="1"/>
  <c r="O118" i="1"/>
  <c r="O101" i="1"/>
  <c r="O85" i="1"/>
  <c r="O19" i="1"/>
  <c r="O155" i="1"/>
  <c r="O139" i="1"/>
  <c r="O128" i="1"/>
  <c r="O105" i="1"/>
  <c r="O94" i="1"/>
  <c r="O77" i="1"/>
  <c r="O25" i="1"/>
  <c r="O75" i="1"/>
  <c r="O59" i="1"/>
  <c r="O43" i="1"/>
  <c r="O23" i="1"/>
  <c r="O144" i="1"/>
  <c r="O123" i="1"/>
  <c r="O111" i="1"/>
  <c r="O89" i="1"/>
  <c r="O20" i="1"/>
  <c r="O136" i="1"/>
  <c r="O90" i="1"/>
  <c r="O16" i="1"/>
  <c r="O100" i="1"/>
  <c r="O80" i="1"/>
  <c r="O53" i="1"/>
  <c r="O81" i="1"/>
  <c r="O45" i="1"/>
  <c r="O66" i="1"/>
  <c r="O137" i="1"/>
  <c r="O104" i="1"/>
  <c r="O22" i="1"/>
  <c r="O151" i="1"/>
  <c r="O132" i="1"/>
  <c r="O33" i="1"/>
  <c r="O87" i="1"/>
  <c r="O116" i="1"/>
  <c r="O48" i="1"/>
  <c r="O162" i="1"/>
  <c r="O98" i="1"/>
  <c r="O36" i="1"/>
  <c r="O134" i="1"/>
  <c r="O95" i="1"/>
  <c r="O69" i="1"/>
  <c r="O96" i="1"/>
  <c r="O61" i="1"/>
  <c r="O141" i="1"/>
  <c r="O153" i="1"/>
  <c r="O121" i="1"/>
  <c r="O42" i="1"/>
  <c r="O29" i="1"/>
  <c r="O56" i="1"/>
  <c r="O21" i="1"/>
  <c r="O106" i="1"/>
  <c r="O37" i="1"/>
  <c r="O26" i="1"/>
  <c r="O112" i="1"/>
  <c r="O84" i="1"/>
  <c r="O113" i="1"/>
  <c r="O86" i="1"/>
  <c r="O108" i="1"/>
  <c r="O138" i="1"/>
  <c r="O58" i="1"/>
  <c r="O54" i="1"/>
  <c r="O156" i="1"/>
  <c r="O159" i="1"/>
  <c r="O57" i="1"/>
  <c r="O64" i="1"/>
  <c r="O32" i="1"/>
  <c r="O115" i="1"/>
  <c r="O28" i="1"/>
  <c r="O129" i="1"/>
  <c r="O117" i="1"/>
  <c r="O130" i="1"/>
  <c r="O92" i="1"/>
  <c r="O46" i="1"/>
  <c r="O154" i="1"/>
  <c r="O74" i="1"/>
  <c r="O150" i="1"/>
  <c r="O72" i="1"/>
  <c r="O76" i="1"/>
  <c r="O124" i="1"/>
  <c r="O14" i="1"/>
  <c r="O30" i="1"/>
  <c r="O145" i="1"/>
  <c r="O146" i="1"/>
  <c r="O109" i="1"/>
  <c r="O62" i="1"/>
  <c r="O41" i="1"/>
  <c r="O50" i="1"/>
  <c r="O99" i="1"/>
  <c r="O149" i="1"/>
  <c r="O126" i="1"/>
  <c r="O91" i="1"/>
  <c r="O102" i="1"/>
  <c r="O140" i="1"/>
  <c r="O39" i="1"/>
  <c r="O70" i="1"/>
  <c r="O158" i="1"/>
  <c r="O49" i="1"/>
  <c r="O82" i="1"/>
  <c r="O142" i="1"/>
  <c r="O103" i="1"/>
  <c r="O73" i="1"/>
  <c r="O125" i="1"/>
  <c r="O133" i="1"/>
  <c r="O119" i="1"/>
  <c r="O31" i="1"/>
  <c r="O148" i="1"/>
  <c r="O83" i="1"/>
  <c r="O78" i="1"/>
  <c r="O18" i="1"/>
  <c r="O65" i="1"/>
  <c r="O34" i="1"/>
  <c r="O120" i="1"/>
  <c r="O88" i="1"/>
  <c r="O160" i="1"/>
  <c r="O40" i="1"/>
  <c r="O24" i="1"/>
  <c r="O15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Javier Nequiz Hernandez</author>
  </authors>
  <commentList>
    <comment ref="B5" authorId="0" shapeId="0" xr:uid="{57E244F6-790F-441A-8C24-7095EF75F9D0}">
      <text>
        <r>
          <rPr>
            <b/>
            <sz val="9"/>
            <color indexed="81"/>
            <rFont val="Tahoma"/>
            <family val="2"/>
          </rPr>
          <t>Francisco Javier Nequiz Hernandez:</t>
        </r>
        <r>
          <rPr>
            <sz val="9"/>
            <color indexed="81"/>
            <rFont val="Tahoma"/>
            <family val="2"/>
          </rPr>
          <t xml:space="preserve">
tien que ser : 180,740,408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Francisco Javier Nequiz Hernandez</author>
  </authors>
  <commentList>
    <comment ref="B5" authorId="0" shapeId="0" xr:uid="{2EDEAA43-D598-418D-A8EE-777F105C758B}">
      <text>
        <r>
          <rPr>
            <b/>
            <sz val="9"/>
            <color indexed="81"/>
            <rFont val="Tahoma"/>
            <family val="2"/>
          </rPr>
          <t>Francisco Javier Nequiz Hernandez:</t>
        </r>
        <r>
          <rPr>
            <sz val="9"/>
            <color indexed="81"/>
            <rFont val="Tahoma"/>
            <family val="2"/>
          </rPr>
          <t xml:space="preserve">
tien que ser : 180,740,408</t>
        </r>
      </text>
    </comment>
  </commentList>
</comments>
</file>

<file path=xl/sharedStrings.xml><?xml version="1.0" encoding="utf-8"?>
<sst xmlns="http://schemas.openxmlformats.org/spreadsheetml/2006/main" count="402" uniqueCount="186">
  <si>
    <t>GEOLIS SA DE CV</t>
  </si>
  <si>
    <t>Proyecto: F218358 BEH JUJO</t>
  </si>
  <si>
    <t>INGRESOS 2025</t>
  </si>
  <si>
    <t>Descripcion</t>
  </si>
  <si>
    <t>Total Presupuestado</t>
  </si>
  <si>
    <t>Enero Pre</t>
  </si>
  <si>
    <t>Febrero Pre</t>
  </si>
  <si>
    <t>Marzo Pre</t>
  </si>
  <si>
    <t>Abril Pre</t>
  </si>
  <si>
    <t>Mayo Pre</t>
  </si>
  <si>
    <t>Junio Pre</t>
  </si>
  <si>
    <t>Julio Pre</t>
  </si>
  <si>
    <t>Agosto Pre</t>
  </si>
  <si>
    <t>Septiembre Pre</t>
  </si>
  <si>
    <t>Octubre Pre</t>
  </si>
  <si>
    <t>Noviembre Pre</t>
  </si>
  <si>
    <t>Diciembre Pre</t>
  </si>
  <si>
    <t>FACTURACION</t>
  </si>
  <si>
    <t>EGRESOS 2025</t>
  </si>
  <si>
    <t>EQUIPO DE TRANSPORTE</t>
  </si>
  <si>
    <t>EQUIPO DE MOBILIARIO</t>
  </si>
  <si>
    <t>MAQUINARIA Y EQUIPO</t>
  </si>
  <si>
    <t>OTROS ACTIVOS</t>
  </si>
  <si>
    <t>SOFTWARE Y LICICENCIAS</t>
  </si>
  <si>
    <t>ACTIVOS</t>
  </si>
  <si>
    <t>Mobiliario de oficina</t>
  </si>
  <si>
    <t>ARRENDAMIENTO DE INMUEBLES</t>
  </si>
  <si>
    <t>ENERGIA ELECTRICA</t>
  </si>
  <si>
    <t>RENTA DE CASAS NO DEDUCIBLE</t>
  </si>
  <si>
    <t>SERVICIOS DE LIMPIEZA</t>
  </si>
  <si>
    <t>SERVICIOS DE VIGILANCIA</t>
  </si>
  <si>
    <t>SERVICIOS DE FUMIGACION</t>
  </si>
  <si>
    <t>TELEFONIA FIJA</t>
  </si>
  <si>
    <t>AGUA Y ALCANTARILLADO</t>
  </si>
  <si>
    <t>ARRENDAMIENTO DE OF. MOVILES</t>
  </si>
  <si>
    <t>ARRENDA DE INMUEBLES Y SERV</t>
  </si>
  <si>
    <t>renta casa staff villahermosa, servicio de limpieza</t>
  </si>
  <si>
    <t>ROPA Y ARTICULOS DE PROTECCION</t>
  </si>
  <si>
    <t>ARTICULOS DE SEGURIDAD</t>
  </si>
  <si>
    <t>overoles, botas, lentes, porta credencial</t>
  </si>
  <si>
    <t>EQUIPO DE COMPUTO (Adquisición)</t>
  </si>
  <si>
    <t>ARRENDAMIENTO DE EQ. COMPUTO</t>
  </si>
  <si>
    <t>EQUIPO DE COMPUTO</t>
  </si>
  <si>
    <t>ENSERES MENORES DIVERSOS (Acondicionamiento de casas)</t>
  </si>
  <si>
    <t>EQUIPOS Y ENSERES</t>
  </si>
  <si>
    <t>INSUMOS AGRICOLAS</t>
  </si>
  <si>
    <t>PAPELERIA Y UTILES DE OFICINA</t>
  </si>
  <si>
    <t>ARTICULOS DE ASEO Y SANITARIOS</t>
  </si>
  <si>
    <t>ARTICULOS DE CAFETERIA</t>
  </si>
  <si>
    <t>ARTICULOS DIGITALES Y DE COMPUTO</t>
  </si>
  <si>
    <t>INSUMOS DE OFICINA</t>
  </si>
  <si>
    <t>SERVICIOS DE MERCADOTECNIA</t>
  </si>
  <si>
    <t>PUBLICIDAD Y PROPAGANDA</t>
  </si>
  <si>
    <t>MARKETING</t>
  </si>
  <si>
    <t>Servicio mensual Jimena, publicación en periodico o revista digital, renovacion anual en el directorio de la industria enegetica y extras</t>
  </si>
  <si>
    <t>ABRASIVOS</t>
  </si>
  <si>
    <t>ACEITE LUBRICANTE P/MAQUINARIA</t>
  </si>
  <si>
    <t>ACEITES Y LUBRICANTES</t>
  </si>
  <si>
    <t>AISLANTES IMPERM REFRA</t>
  </si>
  <si>
    <t>BANDA CADEN TRANS COPL</t>
  </si>
  <si>
    <t>CONEXIONES PARA TUBERIA</t>
  </si>
  <si>
    <t>EMPAQUETAD JTAS Y SELLOS</t>
  </si>
  <si>
    <t>ENVASES</t>
  </si>
  <si>
    <t>FIBRAS HILOS Y TELAS</t>
  </si>
  <si>
    <t>GRASAS</t>
  </si>
  <si>
    <t>HERRAMIENTAS MANUALES</t>
  </si>
  <si>
    <t>INSTRUM DE MEDICION Y CONTROL</t>
  </si>
  <si>
    <t>LLANTAS, CAMARAS Y ACCESORIOS</t>
  </si>
  <si>
    <t xml:space="preserve">MANGUERAS, CONEXIONES </t>
  </si>
  <si>
    <t>MATERIAL ELECTRICO</t>
  </si>
  <si>
    <t>MATERIAL PARA LA CONSTRUCCION</t>
  </si>
  <si>
    <t>MATERIALES Y ART P/MANTENIMIENTO</t>
  </si>
  <si>
    <t>METALES</t>
  </si>
  <si>
    <t>PART REP ACCES Y PROD P/VEHIC</t>
  </si>
  <si>
    <t>PARTES ACCES Y MAT P/LABORATORIO</t>
  </si>
  <si>
    <t>PARTES ACCES Y REFAC P/ LUBRICANTES</t>
  </si>
  <si>
    <t>PARTES ELECT, ACCES Y REFACC</t>
  </si>
  <si>
    <t>PARTES Y REFAC TELECOM Y VIDEO</t>
  </si>
  <si>
    <t>PARTES Y REFACCION C/INCENDIO</t>
  </si>
  <si>
    <t>PASTA PEGAMENTO OTRO COMPUESTO</t>
  </si>
  <si>
    <t>PINTURA Y OTROS RECUBRIMIENTOS</t>
  </si>
  <si>
    <t>REFAC P/INSTRUM DE MED Y CONTROL</t>
  </si>
  <si>
    <t>REFACC Y ACCES PARA VALVULAS</t>
  </si>
  <si>
    <t>REFACC Y ACCESORIO PARA HERRAMIENTA</t>
  </si>
  <si>
    <t>REFACCIONES P/MAQUINARIA</t>
  </si>
  <si>
    <t>RODAM ACCES Y SELLOS P/ ACEITE</t>
  </si>
  <si>
    <t>SUSTANCIAS QUIMICAS</t>
  </si>
  <si>
    <t>TORNILLERIA Y ARTICULO</t>
  </si>
  <si>
    <t>TUBERIAS</t>
  </si>
  <si>
    <t>VALVULAS</t>
  </si>
  <si>
    <t>MATERIALES</t>
  </si>
  <si>
    <t>MATERIAL PRIMEROS AUXILIOS</t>
  </si>
  <si>
    <t>MATERIALES DE SALUD</t>
  </si>
  <si>
    <t>NOMINA Y ADICIONALES</t>
  </si>
  <si>
    <t>SERV TELEFONIA CELULAR</t>
  </si>
  <si>
    <t>SERVICIO DE BANDA ANCHA</t>
  </si>
  <si>
    <t>SERVICIO DE RADIOCOMUNICACION</t>
  </si>
  <si>
    <t>SERV TELEFONIA CELULAR Y RADIO</t>
  </si>
  <si>
    <t>ACONDICION DE CASA HABITACION</t>
  </si>
  <si>
    <t>ADICION Y MODIFIC DE MATERIAL</t>
  </si>
  <si>
    <t>ADQUISICION TARJET COMBUSTIBLE</t>
  </si>
  <si>
    <t>10 tarjetas de combustible</t>
  </si>
  <si>
    <t>ANALISIS CAUSA RAIZ</t>
  </si>
  <si>
    <t>ANALISIS DE RIESGO</t>
  </si>
  <si>
    <t>ANALISIS DE VIBRACION</t>
  </si>
  <si>
    <t>BASES LICITACION Y CONCURSOS</t>
  </si>
  <si>
    <t>CARGOS EXTRAORDINARIOS</t>
  </si>
  <si>
    <t>CERTIFICACION</t>
  </si>
  <si>
    <t>COLOCACION DE PILOTE</t>
  </si>
  <si>
    <t>CORREOS Y MENSAJERIAS</t>
  </si>
  <si>
    <t>CUOTAS Y SUSCRIPCIONES</t>
  </si>
  <si>
    <t>zoom, renovación dropbox, renovación licencias SNAP, renovación antivirus, renovación office, servicio anual de hosting web, correo electronico y dominio, cemefi, inscripcion congreso villahermosa, congreso colombia inscripción, renovación plataforma de licitaciones, renovación aquiles, renovacion plataforma proveedores colombia</t>
  </si>
  <si>
    <t>DEDUCIBLE POR SINIESTRO</t>
  </si>
  <si>
    <t>DESARROLLO DE SOFTWARE</t>
  </si>
  <si>
    <t>FIANZAS</t>
  </si>
  <si>
    <t>FLETES  EXTRANJEROS</t>
  </si>
  <si>
    <t>FLETES NACIONALES</t>
  </si>
  <si>
    <t>GASTOS DE IMPORTACION</t>
  </si>
  <si>
    <t>GTO EXPED DE SEG/TRAMITE</t>
  </si>
  <si>
    <t>HIELO Y AGUA</t>
  </si>
  <si>
    <t>HONORARIOS A PERSONA FISICA</t>
  </si>
  <si>
    <t>honorarios doctos Assam sucursal Colombia y apostilla de documentos; extra requerimientos de documentos legales para tramites</t>
  </si>
  <si>
    <t>IMPUESTOS Y DERECHOS</t>
  </si>
  <si>
    <t>INTERNET Y DATOS</t>
  </si>
  <si>
    <t>internet oficina veracruz</t>
  </si>
  <si>
    <t>Intereses pagados</t>
  </si>
  <si>
    <t>MANIOBRAS</t>
  </si>
  <si>
    <t>MANTENIMIENTO A VEHICULOS</t>
  </si>
  <si>
    <t>MANTTO A EQUIPOS DE SEGURIDAD</t>
  </si>
  <si>
    <t>MANTTO DE MOBILIARIO Y EQUIPO</t>
  </si>
  <si>
    <t>MANTTO PREV A EQUIPOS DE MEDICION</t>
  </si>
  <si>
    <t>MANTTO Y ACONDICION DE CAMPER</t>
  </si>
  <si>
    <t>MECANICA DE SUELOS</t>
  </si>
  <si>
    <t>OTROS DERECHOS</t>
  </si>
  <si>
    <t>PACMA PEMEX EXPLORACION</t>
  </si>
  <si>
    <t>PAGO DE RECARGOS</t>
  </si>
  <si>
    <t>RECARGA DE GASES INDUSTRIALES</t>
  </si>
  <si>
    <t>RENTA DE MAQUINARIA Y EQUIPO</t>
  </si>
  <si>
    <t>RENTA DE SANITARIOS</t>
  </si>
  <si>
    <t>REPARACIONES</t>
  </si>
  <si>
    <t>Responsabilidad social corporativa</t>
  </si>
  <si>
    <t>SEGUROS</t>
  </si>
  <si>
    <t>SERV DE DISEÑO Y ROTULACION</t>
  </si>
  <si>
    <t>SERV DE DISPOS DE RESIDUOS</t>
  </si>
  <si>
    <t>SERV DE MANTO A INSTALACIONES</t>
  </si>
  <si>
    <t>SERV DE RECARGA DE EXTINTORES</t>
  </si>
  <si>
    <t>SERV DE TRANSMISION DE DATOS</t>
  </si>
  <si>
    <t>SERV PROFES DE PERSONA MORAL</t>
  </si>
  <si>
    <t>Auditoria estados financieros 2020, estudio de precios de transferencia 2019, estudio de precios de transferencia 2020, gastos Arturo Tangarife Colombia, gastos revisor fiscal Colombia, EQA, reembolsos CIA, asesoria mensual leonides por 6 meses</t>
  </si>
  <si>
    <t>SERV Y MANTTO A EQ INFORMATICO</t>
  </si>
  <si>
    <t>SERVICIO DE AUTOLAVADO</t>
  </si>
  <si>
    <t>SERVICIO DE EQPO Y MAQUINARIA</t>
  </si>
  <si>
    <t>SERVICIO REPRESENTACION LEGAL</t>
  </si>
  <si>
    <t>SERVICIOS DE BANQUETERIA</t>
  </si>
  <si>
    <t>SERVICIOS DE COPIADO</t>
  </si>
  <si>
    <t>Renta de copiadora oficina veracruz, la renta es por consumo</t>
  </si>
  <si>
    <t>SERVICIOS DE TAXI</t>
  </si>
  <si>
    <t>SERVICIOS PREOPERATIVOS</t>
  </si>
  <si>
    <t>SERVICIOS RADIOGRAFICOS</t>
  </si>
  <si>
    <t>TENENCIA</t>
  </si>
  <si>
    <t>TOPOGRAFIA</t>
  </si>
  <si>
    <t>VERIFICACIONES</t>
  </si>
  <si>
    <t>ASESORIA ESPECIAL INTERNA</t>
  </si>
  <si>
    <t>ASESORIA ESPECIAL OPERATIVA</t>
  </si>
  <si>
    <t>ASESORIA ESPECIAL SINDICAL</t>
  </si>
  <si>
    <t>ASESORIA ESPECIAL VIAL</t>
  </si>
  <si>
    <t>INTERESES</t>
  </si>
  <si>
    <t>PAGO DE MULTAS</t>
  </si>
  <si>
    <t>SERVICIOS</t>
  </si>
  <si>
    <t>SERVICIOS DE CAPACITACION</t>
  </si>
  <si>
    <t>Maestría Guillermo, Maestría Yael, Actualización fiscal Giovanna, Guillermo, Anel, Curso Ingles Giovanna 6 meses, Curso ingles Maria del Rosario y Cristina 6 meses, Curso extrajero JLMM y extra</t>
  </si>
  <si>
    <t>SERVICIOS MEDICOS</t>
  </si>
  <si>
    <t>SERVICIOS DE SALUD</t>
  </si>
  <si>
    <t xml:space="preserve">Evento de Jornada de la Salud, 2 examenes médicos nuevo ingreso </t>
  </si>
  <si>
    <t>UNIFORMES</t>
  </si>
  <si>
    <t>ARRENDAMIENTO DE VEHIC</t>
  </si>
  <si>
    <t>COMBUSTIBLES</t>
  </si>
  <si>
    <t>VEHICULOS Y COMBUSTIBLE</t>
  </si>
  <si>
    <t>ALIMENTACION</t>
  </si>
  <si>
    <t>CASETAS PUENTES Y PEAJES</t>
  </si>
  <si>
    <t>SERV DE TRANSPORTAC AEREA</t>
  </si>
  <si>
    <t>SERV DE TRANSPORTAC TERRESTRE</t>
  </si>
  <si>
    <t>SERVICIOS DE HOSPEDAJE</t>
  </si>
  <si>
    <t>VIATICOS</t>
  </si>
  <si>
    <t>TOTAL</t>
  </si>
  <si>
    <t>ACUMULADO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</si>
</sst>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b/>
      <sz val="10"/>
      <color theme="0"/>
      <name val="Arial"/>
      <family val="2"/>
    </font>
    <font>
      <b/>
      <sz val="10"/>
      <name val="Arial"/>
      <family val="2"/>
    </font>
    <font>
      <i/>
      <sz val="8"/>
      <name val="Arial"/>
      <family val="2"/>
    </font>
    <font>
      <i/>
      <sz val="10"/>
      <name val="Arial"/>
      <family val="2"/>
    </font>
    <font>
      <b/>
      <sz val="11"/>
      <color theme="1" tint="0.499984740745262"/>
      <name val="Aptos Narrow"/>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rgb="FFDBAC00"/>
        <bgColor indexed="64"/>
      </patternFill>
    </fill>
    <fill>
      <patternFill patternType="solid">
        <fgColor indexed="22"/>
      </patternFill>
    </fill>
    <fill>
      <patternFill patternType="solid">
        <fgColor rgb="FFFFFF00"/>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theme="0" tint="-0.14999847407452621"/>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4" fillId="0" borderId="0" xfId="0" applyFont="1"/>
    <xf numFmtId="43" fontId="0" fillId="0" borderId="0" xfId="0" applyNumberFormat="1"/>
    <xf numFmtId="0" fontId="7" fillId="3" borderId="4" xfId="0" applyFont="1" applyFill="1" applyBorder="1" applyAlignment="1">
      <alignment horizontal="center"/>
    </xf>
    <xf numFmtId="0" fontId="7" fillId="2" borderId="4" xfId="0" applyFont="1" applyFill="1" applyBorder="1" applyAlignment="1">
      <alignment horizontal="left" vertical="center"/>
    </xf>
    <xf numFmtId="43" fontId="7" fillId="4" borderId="4" xfId="1" applyFont="1" applyFill="1" applyBorder="1" applyAlignment="1">
      <alignment horizontal="left" vertical="center"/>
    </xf>
    <xf numFmtId="43" fontId="7" fillId="2" borderId="4" xfId="1" applyFont="1" applyFill="1" applyBorder="1" applyAlignment="1">
      <alignment horizontal="left" vertical="center"/>
    </xf>
    <xf numFmtId="0" fontId="8" fillId="0" borderId="4" xfId="0" applyFont="1" applyBorder="1"/>
    <xf numFmtId="43" fontId="9" fillId="0" borderId="4" xfId="1" applyFont="1" applyFill="1" applyBorder="1"/>
    <xf numFmtId="0" fontId="8" fillId="5" borderId="4" xfId="0" applyFont="1" applyFill="1" applyBorder="1"/>
    <xf numFmtId="43" fontId="9" fillId="5" borderId="4" xfId="1" applyFont="1" applyFill="1" applyBorder="1"/>
    <xf numFmtId="9" fontId="3" fillId="0" borderId="0" xfId="2" applyFont="1"/>
    <xf numFmtId="0" fontId="2" fillId="0" borderId="0" xfId="0" applyFont="1"/>
    <xf numFmtId="0" fontId="3" fillId="0" borderId="0" xfId="0" applyFont="1"/>
    <xf numFmtId="43" fontId="9" fillId="0" borderId="4" xfId="1" applyFont="1" applyBorder="1"/>
    <xf numFmtId="0" fontId="6" fillId="6" borderId="4" xfId="0" applyFont="1" applyFill="1" applyBorder="1" applyAlignment="1">
      <alignment horizontal="center" vertical="center"/>
    </xf>
    <xf numFmtId="43" fontId="6" fillId="6" borderId="4" xfId="1" applyFont="1" applyFill="1" applyBorder="1" applyAlignment="1">
      <alignment horizontal="left" vertical="center"/>
    </xf>
    <xf numFmtId="0" fontId="3" fillId="7" borderId="4" xfId="0" applyFont="1" applyFill="1" applyBorder="1" applyAlignment="1">
      <alignment horizontal="center"/>
    </xf>
    <xf numFmtId="9" fontId="10" fillId="7" borderId="4" xfId="2" applyFont="1" applyFill="1" applyBorder="1"/>
    <xf numFmtId="43" fontId="3" fillId="7" borderId="4" xfId="0" applyNumberFormat="1" applyFont="1" applyFill="1" applyBorder="1"/>
    <xf numFmtId="0" fontId="3" fillId="0" borderId="0" xfId="0" applyFont="1" applyAlignment="1">
      <alignment horizontal="center"/>
    </xf>
    <xf numFmtId="0" fontId="5" fillId="0" borderId="0" xfId="0" applyFont="1" applyAlignment="1">
      <alignment horizont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10.10.3.201/Users/imejial/AppData/Local/Microsoft/Windows/Temporary%20Internet%20Files/Content.Outlook/A4OMUGPP/Nuvoil%20Competencias%20Laboral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palacioss/Documents/Geolis/01%20PEMEX/1.%20BECH%20RMNE/3.%20Cronograma%20Proyecto/Cronograma%20de%20Ejecuci&#243;n%20de%20BE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Competencia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Schedule"/>
      <sheetName val="ProjectSchedule "/>
      <sheetName val="25_06al_12_07_2020 (2)"/>
      <sheetName val="13_07 al al_15_08_2020"/>
      <sheetName val="13_07 al al_15_08_2020 (2)"/>
      <sheetName val="About"/>
    </sheetNames>
    <sheetDataSet>
      <sheetData sheetId="0">
        <row r="2">
          <cell r="I2">
            <v>43957</v>
          </cell>
        </row>
        <row r="3">
          <cell r="I3">
            <v>1</v>
          </cell>
        </row>
      </sheetData>
      <sheetData sheetId="1" refreshError="1"/>
      <sheetData sheetId="2" refreshError="1"/>
      <sheetData sheetId="3" refreshError="1"/>
      <sheetData sheetId="4"/>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4EF3F-8862-458A-A35C-B78F93CC8759}">
  <dimension ref="A1:P166"/>
  <sheetViews>
    <sheetView zoomScale="80" zoomScaleNormal="80" workbookViewId="0">
      <pane xSplit="2" ySplit="13" topLeftCell="C14" activePane="bottomRight" state="frozen"/>
      <selection pane="topRight" activeCell="C1" sqref="C1"/>
      <selection pane="bottomLeft" activeCell="A14" sqref="A14"/>
      <selection pane="bottomRight" activeCell="D4" sqref="D4"/>
    </sheetView>
  </sheetViews>
  <sheetFormatPr baseColWidth="10" defaultRowHeight="14.5" outlineLevelRow="1" x14ac:dyDescent="0.35"/>
  <cols>
    <col min="1" max="1" width="34.1796875" bestFit="1" customWidth="1"/>
    <col min="2" max="2" width="22.6328125" bestFit="1" customWidth="1"/>
    <col min="3" max="3" width="16.6328125" customWidth="1"/>
    <col min="4" max="14" width="15.6328125" customWidth="1"/>
    <col min="15" max="15" width="4.453125" bestFit="1" customWidth="1"/>
    <col min="16" max="16" width="10.90625" style="1"/>
    <col min="231" max="231" width="34.1796875" bestFit="1" customWidth="1"/>
    <col min="232" max="270" width="15.6328125" customWidth="1"/>
    <col min="487" max="487" width="34.1796875" bestFit="1" customWidth="1"/>
    <col min="488" max="526" width="15.6328125" customWidth="1"/>
    <col min="743" max="743" width="34.1796875" bestFit="1" customWidth="1"/>
    <col min="744" max="782" width="15.6328125" customWidth="1"/>
    <col min="999" max="999" width="34.1796875" bestFit="1" customWidth="1"/>
    <col min="1000" max="1038" width="15.6328125" customWidth="1"/>
    <col min="1255" max="1255" width="34.1796875" bestFit="1" customWidth="1"/>
    <col min="1256" max="1294" width="15.6328125" customWidth="1"/>
    <col min="1511" max="1511" width="34.1796875" bestFit="1" customWidth="1"/>
    <col min="1512" max="1550" width="15.6328125" customWidth="1"/>
    <col min="1767" max="1767" width="34.1796875" bestFit="1" customWidth="1"/>
    <col min="1768" max="1806" width="15.6328125" customWidth="1"/>
    <col min="2023" max="2023" width="34.1796875" bestFit="1" customWidth="1"/>
    <col min="2024" max="2062" width="15.6328125" customWidth="1"/>
    <col min="2279" max="2279" width="34.1796875" bestFit="1" customWidth="1"/>
    <col min="2280" max="2318" width="15.6328125" customWidth="1"/>
    <col min="2535" max="2535" width="34.1796875" bestFit="1" customWidth="1"/>
    <col min="2536" max="2574" width="15.6328125" customWidth="1"/>
    <col min="2791" max="2791" width="34.1796875" bestFit="1" customWidth="1"/>
    <col min="2792" max="2830" width="15.6328125" customWidth="1"/>
    <col min="3047" max="3047" width="34.1796875" bestFit="1" customWidth="1"/>
    <col min="3048" max="3086" width="15.6328125" customWidth="1"/>
    <col min="3303" max="3303" width="34.1796875" bestFit="1" customWidth="1"/>
    <col min="3304" max="3342" width="15.6328125" customWidth="1"/>
    <col min="3559" max="3559" width="34.1796875" bestFit="1" customWidth="1"/>
    <col min="3560" max="3598" width="15.6328125" customWidth="1"/>
    <col min="3815" max="3815" width="34.1796875" bestFit="1" customWidth="1"/>
    <col min="3816" max="3854" width="15.6328125" customWidth="1"/>
    <col min="4071" max="4071" width="34.1796875" bestFit="1" customWidth="1"/>
    <col min="4072" max="4110" width="15.6328125" customWidth="1"/>
    <col min="4327" max="4327" width="34.1796875" bestFit="1" customWidth="1"/>
    <col min="4328" max="4366" width="15.6328125" customWidth="1"/>
    <col min="4583" max="4583" width="34.1796875" bestFit="1" customWidth="1"/>
    <col min="4584" max="4622" width="15.6328125" customWidth="1"/>
    <col min="4839" max="4839" width="34.1796875" bestFit="1" customWidth="1"/>
    <col min="4840" max="4878" width="15.6328125" customWidth="1"/>
    <col min="5095" max="5095" width="34.1796875" bestFit="1" customWidth="1"/>
    <col min="5096" max="5134" width="15.6328125" customWidth="1"/>
    <col min="5351" max="5351" width="34.1796875" bestFit="1" customWidth="1"/>
    <col min="5352" max="5390" width="15.6328125" customWidth="1"/>
    <col min="5607" max="5607" width="34.1796875" bestFit="1" customWidth="1"/>
    <col min="5608" max="5646" width="15.6328125" customWidth="1"/>
    <col min="5863" max="5863" width="34.1796875" bestFit="1" customWidth="1"/>
    <col min="5864" max="5902" width="15.6328125" customWidth="1"/>
    <col min="6119" max="6119" width="34.1796875" bestFit="1" customWidth="1"/>
    <col min="6120" max="6158" width="15.6328125" customWidth="1"/>
    <col min="6375" max="6375" width="34.1796875" bestFit="1" customWidth="1"/>
    <col min="6376" max="6414" width="15.6328125" customWidth="1"/>
    <col min="6631" max="6631" width="34.1796875" bestFit="1" customWidth="1"/>
    <col min="6632" max="6670" width="15.6328125" customWidth="1"/>
    <col min="6887" max="6887" width="34.1796875" bestFit="1" customWidth="1"/>
    <col min="6888" max="6926" width="15.6328125" customWidth="1"/>
    <col min="7143" max="7143" width="34.1796875" bestFit="1" customWidth="1"/>
    <col min="7144" max="7182" width="15.6328125" customWidth="1"/>
    <col min="7399" max="7399" width="34.1796875" bestFit="1" customWidth="1"/>
    <col min="7400" max="7438" width="15.6328125" customWidth="1"/>
    <col min="7655" max="7655" width="34.1796875" bestFit="1" customWidth="1"/>
    <col min="7656" max="7694" width="15.6328125" customWidth="1"/>
    <col min="7911" max="7911" width="34.1796875" bestFit="1" customWidth="1"/>
    <col min="7912" max="7950" width="15.6328125" customWidth="1"/>
    <col min="8167" max="8167" width="34.1796875" bestFit="1" customWidth="1"/>
    <col min="8168" max="8206" width="15.6328125" customWidth="1"/>
    <col min="8423" max="8423" width="34.1796875" bestFit="1" customWidth="1"/>
    <col min="8424" max="8462" width="15.6328125" customWidth="1"/>
    <col min="8679" max="8679" width="34.1796875" bestFit="1" customWidth="1"/>
    <col min="8680" max="8718" width="15.6328125" customWidth="1"/>
    <col min="8935" max="8935" width="34.1796875" bestFit="1" customWidth="1"/>
    <col min="8936" max="8974" width="15.6328125" customWidth="1"/>
    <col min="9191" max="9191" width="34.1796875" bestFit="1" customWidth="1"/>
    <col min="9192" max="9230" width="15.6328125" customWidth="1"/>
    <col min="9447" max="9447" width="34.1796875" bestFit="1" customWidth="1"/>
    <col min="9448" max="9486" width="15.6328125" customWidth="1"/>
    <col min="9703" max="9703" width="34.1796875" bestFit="1" customWidth="1"/>
    <col min="9704" max="9742" width="15.6328125" customWidth="1"/>
    <col min="9959" max="9959" width="34.1796875" bestFit="1" customWidth="1"/>
    <col min="9960" max="9998" width="15.6328125" customWidth="1"/>
    <col min="10215" max="10215" width="34.1796875" bestFit="1" customWidth="1"/>
    <col min="10216" max="10254" width="15.6328125" customWidth="1"/>
    <col min="10471" max="10471" width="34.1796875" bestFit="1" customWidth="1"/>
    <col min="10472" max="10510" width="15.6328125" customWidth="1"/>
    <col min="10727" max="10727" width="34.1796875" bestFit="1" customWidth="1"/>
    <col min="10728" max="10766" width="15.6328125" customWidth="1"/>
    <col min="10983" max="10983" width="34.1796875" bestFit="1" customWidth="1"/>
    <col min="10984" max="11022" width="15.6328125" customWidth="1"/>
    <col min="11239" max="11239" width="34.1796875" bestFit="1" customWidth="1"/>
    <col min="11240" max="11278" width="15.6328125" customWidth="1"/>
    <col min="11495" max="11495" width="34.1796875" bestFit="1" customWidth="1"/>
    <col min="11496" max="11534" width="15.6328125" customWidth="1"/>
    <col min="11751" max="11751" width="34.1796875" bestFit="1" customWidth="1"/>
    <col min="11752" max="11790" width="15.6328125" customWidth="1"/>
    <col min="12007" max="12007" width="34.1796875" bestFit="1" customWidth="1"/>
    <col min="12008" max="12046" width="15.6328125" customWidth="1"/>
    <col min="12263" max="12263" width="34.1796875" bestFit="1" customWidth="1"/>
    <col min="12264" max="12302" width="15.6328125" customWidth="1"/>
    <col min="12519" max="12519" width="34.1796875" bestFit="1" customWidth="1"/>
    <col min="12520" max="12558" width="15.6328125" customWidth="1"/>
    <col min="12775" max="12775" width="34.1796875" bestFit="1" customWidth="1"/>
    <col min="12776" max="12814" width="15.6328125" customWidth="1"/>
    <col min="13031" max="13031" width="34.1796875" bestFit="1" customWidth="1"/>
    <col min="13032" max="13070" width="15.6328125" customWidth="1"/>
    <col min="13287" max="13287" width="34.1796875" bestFit="1" customWidth="1"/>
    <col min="13288" max="13326" width="15.6328125" customWidth="1"/>
    <col min="13543" max="13543" width="34.1796875" bestFit="1" customWidth="1"/>
    <col min="13544" max="13582" width="15.6328125" customWidth="1"/>
    <col min="13799" max="13799" width="34.1796875" bestFit="1" customWidth="1"/>
    <col min="13800" max="13838" width="15.6328125" customWidth="1"/>
    <col min="14055" max="14055" width="34.1796875" bestFit="1" customWidth="1"/>
    <col min="14056" max="14094" width="15.6328125" customWidth="1"/>
    <col min="14311" max="14311" width="34.1796875" bestFit="1" customWidth="1"/>
    <col min="14312" max="14350" width="15.6328125" customWidth="1"/>
    <col min="14567" max="14567" width="34.1796875" bestFit="1" customWidth="1"/>
    <col min="14568" max="14606" width="15.6328125" customWidth="1"/>
    <col min="14823" max="14823" width="34.1796875" bestFit="1" customWidth="1"/>
    <col min="14824" max="14862" width="15.6328125" customWidth="1"/>
    <col min="15079" max="15079" width="34.1796875" bestFit="1" customWidth="1"/>
    <col min="15080" max="15118" width="15.6328125" customWidth="1"/>
    <col min="15335" max="15335" width="34.1796875" bestFit="1" customWidth="1"/>
    <col min="15336" max="15374" width="15.6328125" customWidth="1"/>
    <col min="15591" max="15591" width="34.1796875" bestFit="1" customWidth="1"/>
    <col min="15592" max="15630" width="15.6328125" customWidth="1"/>
    <col min="15847" max="15847" width="34.1796875" bestFit="1" customWidth="1"/>
    <col min="15848" max="15886" width="15.6328125" customWidth="1"/>
    <col min="16103" max="16103" width="34.1796875" bestFit="1" customWidth="1"/>
    <col min="16104" max="16142" width="15.6328125" customWidth="1"/>
  </cols>
  <sheetData>
    <row r="1" spans="1:16" x14ac:dyDescent="0.35">
      <c r="A1" s="20" t="s">
        <v>0</v>
      </c>
      <c r="B1" s="20"/>
    </row>
    <row r="2" spans="1:16" x14ac:dyDescent="0.35">
      <c r="A2" s="21" t="s">
        <v>1</v>
      </c>
      <c r="B2" s="21"/>
      <c r="J2" s="2"/>
    </row>
    <row r="3" spans="1:16" x14ac:dyDescent="0.35">
      <c r="A3" s="22" t="s">
        <v>2</v>
      </c>
      <c r="B3" s="23"/>
      <c r="C3" s="23"/>
      <c r="D3" s="23"/>
      <c r="E3" s="23"/>
      <c r="F3" s="23"/>
      <c r="G3" s="23"/>
      <c r="H3" s="23"/>
      <c r="I3" s="23"/>
      <c r="J3" s="23"/>
      <c r="K3" s="23"/>
      <c r="L3" s="23"/>
      <c r="M3" s="23"/>
      <c r="N3" s="24"/>
    </row>
    <row r="4" spans="1:16" x14ac:dyDescent="0.35">
      <c r="A4" s="3" t="s">
        <v>3</v>
      </c>
      <c r="B4" s="3" t="s">
        <v>4</v>
      </c>
      <c r="C4" s="3" t="s">
        <v>5</v>
      </c>
      <c r="D4" s="3" t="s">
        <v>6</v>
      </c>
      <c r="E4" s="3" t="s">
        <v>7</v>
      </c>
      <c r="F4" s="3" t="s">
        <v>8</v>
      </c>
      <c r="G4" s="3" t="s">
        <v>9</v>
      </c>
      <c r="H4" s="3" t="s">
        <v>10</v>
      </c>
      <c r="I4" s="3" t="s">
        <v>11</v>
      </c>
      <c r="J4" s="3" t="s">
        <v>12</v>
      </c>
      <c r="K4" s="3" t="s">
        <v>13</v>
      </c>
      <c r="L4" s="3" t="s">
        <v>14</v>
      </c>
      <c r="M4" s="3" t="s">
        <v>15</v>
      </c>
      <c r="N4" s="3" t="s">
        <v>16</v>
      </c>
    </row>
    <row r="5" spans="1:16" x14ac:dyDescent="0.35">
      <c r="A5" s="4" t="s">
        <v>17</v>
      </c>
      <c r="B5" s="5">
        <f>SUM(C5:N5)</f>
        <v>220740407.59999996</v>
      </c>
      <c r="C5" s="6">
        <v>18747815.439999998</v>
      </c>
      <c r="D5" s="6">
        <v>16933510.719999999</v>
      </c>
      <c r="E5" s="6">
        <v>18747815.439999998</v>
      </c>
      <c r="F5" s="6">
        <v>18143047.199999999</v>
      </c>
      <c r="G5" s="6">
        <v>18747815.439999998</v>
      </c>
      <c r="H5" s="6">
        <v>18143047.199999999</v>
      </c>
      <c r="I5" s="6">
        <v>18747815.439999998</v>
      </c>
      <c r="J5" s="6">
        <v>18747815.439999998</v>
      </c>
      <c r="K5" s="6">
        <v>18143047.199999999</v>
      </c>
      <c r="L5" s="6">
        <v>18747815.439999998</v>
      </c>
      <c r="M5" s="6">
        <v>18143047.199999999</v>
      </c>
      <c r="N5" s="6">
        <v>18747815.439999998</v>
      </c>
    </row>
    <row r="7" spans="1:16" x14ac:dyDescent="0.35">
      <c r="A7" s="22" t="s">
        <v>18</v>
      </c>
      <c r="B7" s="23"/>
      <c r="C7" s="23"/>
      <c r="D7" s="23"/>
      <c r="E7" s="23"/>
      <c r="F7" s="23"/>
      <c r="G7" s="23"/>
      <c r="H7" s="23"/>
      <c r="I7" s="23"/>
      <c r="J7" s="23"/>
      <c r="K7" s="23"/>
      <c r="L7" s="23"/>
      <c r="M7" s="23"/>
      <c r="N7" s="24"/>
    </row>
    <row r="8" spans="1:16" x14ac:dyDescent="0.35">
      <c r="A8" s="3" t="s">
        <v>3</v>
      </c>
      <c r="B8" s="3" t="s">
        <v>4</v>
      </c>
      <c r="C8" s="3" t="s">
        <v>5</v>
      </c>
      <c r="D8" s="3" t="s">
        <v>6</v>
      </c>
      <c r="E8" s="3" t="s">
        <v>7</v>
      </c>
      <c r="F8" s="3" t="s">
        <v>8</v>
      </c>
      <c r="G8" s="3" t="s">
        <v>9</v>
      </c>
      <c r="H8" s="3" t="s">
        <v>10</v>
      </c>
      <c r="I8" s="3" t="s">
        <v>11</v>
      </c>
      <c r="J8" s="3" t="s">
        <v>12</v>
      </c>
      <c r="K8" s="3" t="s">
        <v>13</v>
      </c>
      <c r="L8" s="3" t="s">
        <v>14</v>
      </c>
      <c r="M8" s="3" t="s">
        <v>15</v>
      </c>
      <c r="N8" s="3" t="s">
        <v>16</v>
      </c>
    </row>
    <row r="9" spans="1:16" hidden="1" outlineLevel="1" x14ac:dyDescent="0.35">
      <c r="A9" s="7" t="s">
        <v>19</v>
      </c>
      <c r="B9" s="8">
        <f t="shared" ref="B9:B30" si="0">SUM(C9:N9)</f>
        <v>1272000</v>
      </c>
      <c r="C9" s="8">
        <v>0</v>
      </c>
      <c r="D9" s="8">
        <v>1272000</v>
      </c>
      <c r="E9" s="8">
        <v>0</v>
      </c>
      <c r="F9" s="8">
        <v>0</v>
      </c>
      <c r="G9" s="8">
        <v>0</v>
      </c>
      <c r="H9" s="8">
        <v>0</v>
      </c>
      <c r="I9" s="8">
        <v>0</v>
      </c>
      <c r="J9" s="8">
        <v>0</v>
      </c>
      <c r="K9" s="8">
        <v>0</v>
      </c>
      <c r="L9" s="8">
        <v>0</v>
      </c>
      <c r="M9" s="8">
        <v>0</v>
      </c>
      <c r="N9" s="8">
        <v>0</v>
      </c>
    </row>
    <row r="10" spans="1:16" hidden="1" outlineLevel="1" x14ac:dyDescent="0.35">
      <c r="A10" s="9" t="s">
        <v>20</v>
      </c>
      <c r="B10" s="10">
        <f t="shared" si="0"/>
        <v>0</v>
      </c>
      <c r="C10" s="10">
        <v>0</v>
      </c>
      <c r="D10" s="10">
        <v>0</v>
      </c>
      <c r="E10" s="10">
        <v>0</v>
      </c>
      <c r="F10" s="10">
        <v>0</v>
      </c>
      <c r="G10" s="10">
        <v>0</v>
      </c>
      <c r="H10" s="10">
        <v>0</v>
      </c>
      <c r="I10" s="10">
        <v>0</v>
      </c>
      <c r="J10" s="10">
        <v>0</v>
      </c>
      <c r="K10" s="10">
        <v>0</v>
      </c>
      <c r="L10" s="10">
        <v>0</v>
      </c>
      <c r="M10" s="10">
        <v>0</v>
      </c>
      <c r="N10" s="10">
        <v>0</v>
      </c>
    </row>
    <row r="11" spans="1:16" hidden="1" outlineLevel="1" x14ac:dyDescent="0.35">
      <c r="A11" s="7" t="s">
        <v>21</v>
      </c>
      <c r="B11" s="8">
        <f t="shared" si="0"/>
        <v>0</v>
      </c>
      <c r="C11" s="8">
        <v>0</v>
      </c>
      <c r="D11" s="8">
        <v>0</v>
      </c>
      <c r="E11" s="8">
        <v>0</v>
      </c>
      <c r="F11" s="8">
        <v>0</v>
      </c>
      <c r="G11" s="8">
        <v>0</v>
      </c>
      <c r="H11" s="8">
        <v>0</v>
      </c>
      <c r="I11" s="8">
        <v>0</v>
      </c>
      <c r="J11" s="8">
        <v>0</v>
      </c>
      <c r="K11" s="8">
        <v>0</v>
      </c>
      <c r="L11" s="8">
        <v>0</v>
      </c>
      <c r="M11" s="8">
        <v>0</v>
      </c>
      <c r="N11" s="8">
        <v>0</v>
      </c>
    </row>
    <row r="12" spans="1:16" hidden="1" outlineLevel="1" x14ac:dyDescent="0.35">
      <c r="A12" s="9" t="s">
        <v>22</v>
      </c>
      <c r="B12" s="10">
        <f t="shared" si="0"/>
        <v>0</v>
      </c>
      <c r="C12" s="10">
        <v>0</v>
      </c>
      <c r="D12" s="10">
        <v>0</v>
      </c>
      <c r="E12" s="10">
        <v>0</v>
      </c>
      <c r="F12" s="10">
        <v>0</v>
      </c>
      <c r="G12" s="10">
        <v>0</v>
      </c>
      <c r="H12" s="10">
        <v>0</v>
      </c>
      <c r="I12" s="10">
        <v>0</v>
      </c>
      <c r="J12" s="10">
        <v>0</v>
      </c>
      <c r="K12" s="10">
        <v>0</v>
      </c>
      <c r="L12" s="10">
        <v>0</v>
      </c>
      <c r="M12" s="10">
        <v>0</v>
      </c>
      <c r="N12" s="10">
        <v>0</v>
      </c>
    </row>
    <row r="13" spans="1:16" hidden="1" outlineLevel="1" x14ac:dyDescent="0.35">
      <c r="A13" s="7" t="s">
        <v>23</v>
      </c>
      <c r="B13" s="8">
        <f t="shared" si="0"/>
        <v>0</v>
      </c>
      <c r="C13" s="8">
        <v>0</v>
      </c>
      <c r="D13" s="8">
        <v>0</v>
      </c>
      <c r="E13" s="8">
        <v>0</v>
      </c>
      <c r="F13" s="8">
        <v>0</v>
      </c>
      <c r="G13" s="8">
        <v>0</v>
      </c>
      <c r="H13" s="8">
        <v>0</v>
      </c>
      <c r="I13" s="8">
        <v>0</v>
      </c>
      <c r="J13" s="8">
        <v>0</v>
      </c>
      <c r="K13" s="8">
        <v>0</v>
      </c>
      <c r="L13" s="8">
        <v>0</v>
      </c>
      <c r="M13" s="8">
        <v>0</v>
      </c>
      <c r="N13" s="8">
        <v>0</v>
      </c>
    </row>
    <row r="14" spans="1:16" s="13" customFormat="1" collapsed="1" x14ac:dyDescent="0.35">
      <c r="A14" s="4" t="s">
        <v>24</v>
      </c>
      <c r="B14" s="6">
        <f>SUM(B9:B13)</f>
        <v>1272000</v>
      </c>
      <c r="C14" s="6">
        <f t="shared" ref="C14:N14" si="1">SUM(C9:C13)</f>
        <v>0</v>
      </c>
      <c r="D14" s="6">
        <f t="shared" si="1"/>
        <v>1272000</v>
      </c>
      <c r="E14" s="6">
        <f t="shared" si="1"/>
        <v>0</v>
      </c>
      <c r="F14" s="6">
        <f t="shared" si="1"/>
        <v>0</v>
      </c>
      <c r="G14" s="6">
        <f t="shared" si="1"/>
        <v>0</v>
      </c>
      <c r="H14" s="6">
        <f t="shared" si="1"/>
        <v>0</v>
      </c>
      <c r="I14" s="6">
        <f t="shared" si="1"/>
        <v>0</v>
      </c>
      <c r="J14" s="6">
        <f t="shared" si="1"/>
        <v>0</v>
      </c>
      <c r="K14" s="6">
        <f t="shared" si="1"/>
        <v>0</v>
      </c>
      <c r="L14" s="6">
        <f t="shared" si="1"/>
        <v>0</v>
      </c>
      <c r="M14" s="6">
        <f t="shared" si="1"/>
        <v>0</v>
      </c>
      <c r="N14" s="6">
        <f t="shared" si="1"/>
        <v>0</v>
      </c>
      <c r="O14" s="11">
        <f t="shared" ref="O14:O77" si="2">B14/$B$163</f>
        <v>1.2366800499838154E-2</v>
      </c>
      <c r="P14" s="12" t="s">
        <v>25</v>
      </c>
    </row>
    <row r="15" spans="1:16" hidden="1" outlineLevel="1" x14ac:dyDescent="0.35">
      <c r="A15" s="7" t="s">
        <v>26</v>
      </c>
      <c r="B15" s="14">
        <f t="shared" si="0"/>
        <v>384000</v>
      </c>
      <c r="C15" s="8">
        <v>32000</v>
      </c>
      <c r="D15" s="8">
        <v>32000</v>
      </c>
      <c r="E15" s="8">
        <v>32000</v>
      </c>
      <c r="F15" s="8">
        <v>32000</v>
      </c>
      <c r="G15" s="8">
        <v>32000</v>
      </c>
      <c r="H15" s="8">
        <v>32000</v>
      </c>
      <c r="I15" s="8">
        <v>32000</v>
      </c>
      <c r="J15" s="8">
        <v>32000</v>
      </c>
      <c r="K15" s="8">
        <v>32000</v>
      </c>
      <c r="L15" s="8">
        <v>32000</v>
      </c>
      <c r="M15" s="8">
        <v>32000</v>
      </c>
      <c r="N15" s="8">
        <v>32000</v>
      </c>
      <c r="O15" s="11">
        <f t="shared" si="2"/>
        <v>3.7333737358001976E-3</v>
      </c>
    </row>
    <row r="16" spans="1:16" hidden="1" outlineLevel="1" x14ac:dyDescent="0.35">
      <c r="A16" s="9" t="s">
        <v>27</v>
      </c>
      <c r="B16" s="10">
        <f t="shared" si="0"/>
        <v>156000</v>
      </c>
      <c r="C16" s="10">
        <v>13000</v>
      </c>
      <c r="D16" s="10">
        <v>13000</v>
      </c>
      <c r="E16" s="10">
        <v>13000</v>
      </c>
      <c r="F16" s="10">
        <v>13000</v>
      </c>
      <c r="G16" s="10">
        <v>13000</v>
      </c>
      <c r="H16" s="10">
        <v>13000</v>
      </c>
      <c r="I16" s="10">
        <v>13000</v>
      </c>
      <c r="J16" s="10">
        <v>13000</v>
      </c>
      <c r="K16" s="10">
        <v>13000</v>
      </c>
      <c r="L16" s="10">
        <v>13000</v>
      </c>
      <c r="M16" s="10">
        <v>13000</v>
      </c>
      <c r="N16" s="10">
        <v>13000</v>
      </c>
      <c r="O16" s="11">
        <f t="shared" si="2"/>
        <v>1.5166830801688303E-3</v>
      </c>
    </row>
    <row r="17" spans="1:16" hidden="1" outlineLevel="1" x14ac:dyDescent="0.35">
      <c r="A17" s="7" t="s">
        <v>28</v>
      </c>
      <c r="B17" s="14">
        <f t="shared" si="0"/>
        <v>0</v>
      </c>
      <c r="C17" s="8">
        <v>0</v>
      </c>
      <c r="D17" s="8">
        <v>0</v>
      </c>
      <c r="E17" s="8">
        <v>0</v>
      </c>
      <c r="F17" s="8">
        <v>0</v>
      </c>
      <c r="G17" s="8">
        <v>0</v>
      </c>
      <c r="H17" s="8">
        <v>0</v>
      </c>
      <c r="I17" s="8">
        <v>0</v>
      </c>
      <c r="J17" s="8">
        <v>0</v>
      </c>
      <c r="K17" s="8">
        <v>0</v>
      </c>
      <c r="L17" s="8">
        <v>0</v>
      </c>
      <c r="M17" s="8">
        <v>0</v>
      </c>
      <c r="N17" s="8">
        <v>0</v>
      </c>
      <c r="O17" s="11">
        <f t="shared" si="2"/>
        <v>0</v>
      </c>
    </row>
    <row r="18" spans="1:16" hidden="1" outlineLevel="1" x14ac:dyDescent="0.35">
      <c r="A18" s="9" t="s">
        <v>29</v>
      </c>
      <c r="B18" s="10">
        <f t="shared" si="0"/>
        <v>0</v>
      </c>
      <c r="C18" s="10">
        <v>0</v>
      </c>
      <c r="D18" s="10">
        <v>0</v>
      </c>
      <c r="E18" s="10">
        <v>0</v>
      </c>
      <c r="F18" s="10">
        <v>0</v>
      </c>
      <c r="G18" s="10">
        <v>0</v>
      </c>
      <c r="H18" s="10">
        <v>0</v>
      </c>
      <c r="I18" s="10">
        <v>0</v>
      </c>
      <c r="J18" s="10">
        <v>0</v>
      </c>
      <c r="K18" s="10">
        <v>0</v>
      </c>
      <c r="L18" s="10">
        <v>0</v>
      </c>
      <c r="M18" s="10">
        <v>0</v>
      </c>
      <c r="N18" s="10">
        <v>0</v>
      </c>
      <c r="O18" s="11">
        <f t="shared" si="2"/>
        <v>0</v>
      </c>
    </row>
    <row r="19" spans="1:16" hidden="1" outlineLevel="1" x14ac:dyDescent="0.35">
      <c r="A19" s="7" t="s">
        <v>30</v>
      </c>
      <c r="B19" s="14">
        <f t="shared" si="0"/>
        <v>0</v>
      </c>
      <c r="C19" s="8">
        <v>0</v>
      </c>
      <c r="D19" s="14">
        <v>0</v>
      </c>
      <c r="E19" s="8">
        <v>0</v>
      </c>
      <c r="F19" s="14">
        <v>0</v>
      </c>
      <c r="G19" s="8">
        <v>0</v>
      </c>
      <c r="H19" s="14">
        <v>0</v>
      </c>
      <c r="I19" s="8">
        <v>0</v>
      </c>
      <c r="J19" s="14">
        <v>0</v>
      </c>
      <c r="K19" s="8">
        <v>0</v>
      </c>
      <c r="L19" s="14">
        <v>0</v>
      </c>
      <c r="M19" s="8">
        <v>0</v>
      </c>
      <c r="N19" s="14">
        <v>0</v>
      </c>
      <c r="O19" s="11">
        <f t="shared" si="2"/>
        <v>0</v>
      </c>
    </row>
    <row r="20" spans="1:16" hidden="1" outlineLevel="1" x14ac:dyDescent="0.35">
      <c r="A20" s="9" t="s">
        <v>31</v>
      </c>
      <c r="B20" s="10">
        <f t="shared" si="0"/>
        <v>0</v>
      </c>
      <c r="C20" s="10">
        <v>0</v>
      </c>
      <c r="D20" s="10">
        <v>0</v>
      </c>
      <c r="E20" s="10">
        <v>0</v>
      </c>
      <c r="F20" s="10">
        <v>0</v>
      </c>
      <c r="G20" s="10">
        <v>0</v>
      </c>
      <c r="H20" s="10">
        <v>0</v>
      </c>
      <c r="I20" s="10">
        <v>0</v>
      </c>
      <c r="J20" s="10">
        <v>0</v>
      </c>
      <c r="K20" s="10">
        <v>0</v>
      </c>
      <c r="L20" s="10">
        <v>0</v>
      </c>
      <c r="M20" s="10">
        <v>0</v>
      </c>
      <c r="N20" s="10">
        <v>0</v>
      </c>
      <c r="O20" s="11">
        <f t="shared" si="2"/>
        <v>0</v>
      </c>
    </row>
    <row r="21" spans="1:16" hidden="1" outlineLevel="1" x14ac:dyDescent="0.35">
      <c r="A21" s="7" t="s">
        <v>32</v>
      </c>
      <c r="B21" s="14">
        <f t="shared" si="0"/>
        <v>25800</v>
      </c>
      <c r="C21" s="8">
        <v>2150</v>
      </c>
      <c r="D21" s="14">
        <v>2150</v>
      </c>
      <c r="E21" s="8">
        <v>2150</v>
      </c>
      <c r="F21" s="14">
        <v>2150</v>
      </c>
      <c r="G21" s="8">
        <v>2150</v>
      </c>
      <c r="H21" s="14">
        <v>2150</v>
      </c>
      <c r="I21" s="8">
        <v>2150</v>
      </c>
      <c r="J21" s="14">
        <v>2150</v>
      </c>
      <c r="K21" s="8">
        <v>2150</v>
      </c>
      <c r="L21" s="14">
        <v>2150</v>
      </c>
      <c r="M21" s="8">
        <v>2150</v>
      </c>
      <c r="N21" s="14">
        <v>2150</v>
      </c>
      <c r="O21" s="11">
        <f t="shared" si="2"/>
        <v>2.5083604787407579E-4</v>
      </c>
    </row>
    <row r="22" spans="1:16" hidden="1" outlineLevel="1" x14ac:dyDescent="0.35">
      <c r="A22" s="9" t="s">
        <v>33</v>
      </c>
      <c r="B22" s="10">
        <f t="shared" si="0"/>
        <v>1148400</v>
      </c>
      <c r="C22" s="10">
        <v>95700</v>
      </c>
      <c r="D22" s="10">
        <v>95700</v>
      </c>
      <c r="E22" s="10">
        <v>95700</v>
      </c>
      <c r="F22" s="10">
        <v>95700</v>
      </c>
      <c r="G22" s="10">
        <v>95700</v>
      </c>
      <c r="H22" s="10">
        <v>95700</v>
      </c>
      <c r="I22" s="10">
        <v>95700</v>
      </c>
      <c r="J22" s="10">
        <v>95700</v>
      </c>
      <c r="K22" s="10">
        <v>95700</v>
      </c>
      <c r="L22" s="10">
        <v>95700</v>
      </c>
      <c r="M22" s="10">
        <v>95700</v>
      </c>
      <c r="N22" s="10">
        <v>95700</v>
      </c>
      <c r="O22" s="11">
        <f t="shared" si="2"/>
        <v>1.1165120828627466E-2</v>
      </c>
    </row>
    <row r="23" spans="1:16" hidden="1" outlineLevel="1" x14ac:dyDescent="0.35">
      <c r="A23" s="7" t="s">
        <v>34</v>
      </c>
      <c r="B23" s="14">
        <f t="shared" si="0"/>
        <v>1153831.2</v>
      </c>
      <c r="C23" s="8">
        <v>96152.6</v>
      </c>
      <c r="D23" s="8">
        <v>96152.6</v>
      </c>
      <c r="E23" s="8">
        <v>96152.6</v>
      </c>
      <c r="F23" s="8">
        <v>96152.6</v>
      </c>
      <c r="G23" s="8">
        <v>96152.6</v>
      </c>
      <c r="H23" s="8">
        <v>96152.6</v>
      </c>
      <c r="I23" s="8">
        <v>96152.6</v>
      </c>
      <c r="J23" s="8">
        <v>96152.6</v>
      </c>
      <c r="K23" s="8">
        <v>96152.6</v>
      </c>
      <c r="L23" s="8">
        <v>96152.6</v>
      </c>
      <c r="M23" s="8">
        <v>96152.6</v>
      </c>
      <c r="N23" s="8">
        <v>96152.6</v>
      </c>
      <c r="O23" s="11">
        <f t="shared" si="2"/>
        <v>1.121792473340319E-2</v>
      </c>
    </row>
    <row r="24" spans="1:16" s="13" customFormat="1" collapsed="1" x14ac:dyDescent="0.35">
      <c r="A24" s="4" t="s">
        <v>35</v>
      </c>
      <c r="B24" s="6">
        <f>SUM(B15:B23)</f>
        <v>2868031.2</v>
      </c>
      <c r="C24" s="6">
        <f t="shared" ref="C24:N24" si="3">SUM(C15:C23)</f>
        <v>239002.6</v>
      </c>
      <c r="D24" s="6">
        <f t="shared" si="3"/>
        <v>239002.6</v>
      </c>
      <c r="E24" s="6">
        <f t="shared" si="3"/>
        <v>239002.6</v>
      </c>
      <c r="F24" s="6">
        <f t="shared" si="3"/>
        <v>239002.6</v>
      </c>
      <c r="G24" s="6">
        <f t="shared" si="3"/>
        <v>239002.6</v>
      </c>
      <c r="H24" s="6">
        <f t="shared" si="3"/>
        <v>239002.6</v>
      </c>
      <c r="I24" s="6">
        <f t="shared" si="3"/>
        <v>239002.6</v>
      </c>
      <c r="J24" s="6">
        <f t="shared" si="3"/>
        <v>239002.6</v>
      </c>
      <c r="K24" s="6">
        <f t="shared" si="3"/>
        <v>239002.6</v>
      </c>
      <c r="L24" s="6">
        <f t="shared" si="3"/>
        <v>239002.6</v>
      </c>
      <c r="M24" s="6">
        <f t="shared" si="3"/>
        <v>239002.6</v>
      </c>
      <c r="N24" s="6">
        <f t="shared" si="3"/>
        <v>239002.6</v>
      </c>
      <c r="O24" s="11">
        <f t="shared" si="2"/>
        <v>2.788393842587376E-2</v>
      </c>
      <c r="P24" s="12" t="s">
        <v>36</v>
      </c>
    </row>
    <row r="25" spans="1:16" hidden="1" outlineLevel="1" x14ac:dyDescent="0.35">
      <c r="A25" s="7" t="s">
        <v>37</v>
      </c>
      <c r="B25" s="14">
        <f t="shared" si="0"/>
        <v>399600</v>
      </c>
      <c r="C25" s="8">
        <v>33300</v>
      </c>
      <c r="D25" s="8">
        <v>33300</v>
      </c>
      <c r="E25" s="8">
        <v>33300</v>
      </c>
      <c r="F25" s="8">
        <v>33300</v>
      </c>
      <c r="G25" s="8">
        <v>33300</v>
      </c>
      <c r="H25" s="8">
        <v>33300</v>
      </c>
      <c r="I25" s="8">
        <v>33300</v>
      </c>
      <c r="J25" s="8">
        <v>33300</v>
      </c>
      <c r="K25" s="8">
        <v>33300</v>
      </c>
      <c r="L25" s="8">
        <v>33300</v>
      </c>
      <c r="M25" s="8">
        <v>33300</v>
      </c>
      <c r="N25" s="8">
        <v>33300</v>
      </c>
      <c r="O25" s="11">
        <f t="shared" si="2"/>
        <v>3.8850420438170806E-3</v>
      </c>
    </row>
    <row r="26" spans="1:16" collapsed="1" x14ac:dyDescent="0.35">
      <c r="A26" s="4" t="s">
        <v>38</v>
      </c>
      <c r="B26" s="6">
        <f>B25</f>
        <v>399600</v>
      </c>
      <c r="C26" s="6">
        <f t="shared" ref="C26:N26" si="4">C25</f>
        <v>33300</v>
      </c>
      <c r="D26" s="6">
        <f t="shared" si="4"/>
        <v>33300</v>
      </c>
      <c r="E26" s="6">
        <f t="shared" si="4"/>
        <v>33300</v>
      </c>
      <c r="F26" s="6">
        <f t="shared" si="4"/>
        <v>33300</v>
      </c>
      <c r="G26" s="6">
        <f t="shared" si="4"/>
        <v>33300</v>
      </c>
      <c r="H26" s="6">
        <f t="shared" si="4"/>
        <v>33300</v>
      </c>
      <c r="I26" s="6">
        <f t="shared" si="4"/>
        <v>33300</v>
      </c>
      <c r="J26" s="6">
        <f t="shared" si="4"/>
        <v>33300</v>
      </c>
      <c r="K26" s="6">
        <f t="shared" si="4"/>
        <v>33300</v>
      </c>
      <c r="L26" s="6">
        <f t="shared" si="4"/>
        <v>33300</v>
      </c>
      <c r="M26" s="6">
        <f t="shared" si="4"/>
        <v>33300</v>
      </c>
      <c r="N26" s="6">
        <f t="shared" si="4"/>
        <v>33300</v>
      </c>
      <c r="O26" s="11">
        <f t="shared" si="2"/>
        <v>3.8850420438170806E-3</v>
      </c>
      <c r="P26" s="1" t="s">
        <v>39</v>
      </c>
    </row>
    <row r="27" spans="1:16" hidden="1" outlineLevel="1" x14ac:dyDescent="0.35">
      <c r="A27" s="7" t="s">
        <v>40</v>
      </c>
      <c r="B27" s="14">
        <f t="shared" si="0"/>
        <v>0</v>
      </c>
      <c r="C27" s="8"/>
      <c r="D27" s="14"/>
      <c r="E27" s="8"/>
      <c r="F27" s="14"/>
      <c r="G27" s="8"/>
      <c r="H27" s="14"/>
      <c r="I27" s="8"/>
      <c r="J27" s="14"/>
      <c r="K27" s="8"/>
      <c r="L27" s="14"/>
      <c r="M27" s="8"/>
      <c r="N27" s="14"/>
      <c r="O27" s="11">
        <f t="shared" si="2"/>
        <v>0</v>
      </c>
    </row>
    <row r="28" spans="1:16" hidden="1" outlineLevel="1" x14ac:dyDescent="0.35">
      <c r="A28" s="9" t="s">
        <v>41</v>
      </c>
      <c r="B28" s="10">
        <f t="shared" si="0"/>
        <v>0</v>
      </c>
      <c r="C28" s="10"/>
      <c r="D28" s="10"/>
      <c r="E28" s="10"/>
      <c r="F28" s="10"/>
      <c r="G28" s="10"/>
      <c r="H28" s="10"/>
      <c r="I28" s="10"/>
      <c r="J28" s="10"/>
      <c r="K28" s="10"/>
      <c r="L28" s="10"/>
      <c r="M28" s="10"/>
      <c r="N28" s="10"/>
      <c r="O28" s="11">
        <f t="shared" si="2"/>
        <v>0</v>
      </c>
    </row>
    <row r="29" spans="1:16" s="13" customFormat="1" collapsed="1" x14ac:dyDescent="0.35">
      <c r="A29" s="4" t="s">
        <v>42</v>
      </c>
      <c r="B29" s="6">
        <f>SUM(B27:B28)</f>
        <v>0</v>
      </c>
      <c r="C29" s="6">
        <f t="shared" ref="C29:N29" si="5">SUM(C27:C28)</f>
        <v>0</v>
      </c>
      <c r="D29" s="6">
        <f t="shared" si="5"/>
        <v>0</v>
      </c>
      <c r="E29" s="6">
        <f t="shared" si="5"/>
        <v>0</v>
      </c>
      <c r="F29" s="6">
        <f t="shared" si="5"/>
        <v>0</v>
      </c>
      <c r="G29" s="6">
        <f t="shared" si="5"/>
        <v>0</v>
      </c>
      <c r="H29" s="6">
        <f t="shared" si="5"/>
        <v>0</v>
      </c>
      <c r="I29" s="6">
        <f t="shared" si="5"/>
        <v>0</v>
      </c>
      <c r="J29" s="6">
        <f t="shared" si="5"/>
        <v>0</v>
      </c>
      <c r="K29" s="6">
        <f t="shared" si="5"/>
        <v>0</v>
      </c>
      <c r="L29" s="6">
        <f t="shared" si="5"/>
        <v>0</v>
      </c>
      <c r="M29" s="6">
        <f t="shared" si="5"/>
        <v>0</v>
      </c>
      <c r="N29" s="6">
        <f t="shared" si="5"/>
        <v>0</v>
      </c>
      <c r="O29" s="11">
        <f t="shared" si="2"/>
        <v>0</v>
      </c>
      <c r="P29" s="12"/>
    </row>
    <row r="30" spans="1:16" hidden="1" outlineLevel="1" x14ac:dyDescent="0.35">
      <c r="A30" s="7" t="s">
        <v>43</v>
      </c>
      <c r="B30" s="14">
        <f t="shared" si="0"/>
        <v>118800</v>
      </c>
      <c r="C30" s="8">
        <v>9900</v>
      </c>
      <c r="D30" s="14">
        <v>9900</v>
      </c>
      <c r="E30" s="8">
        <v>9900</v>
      </c>
      <c r="F30" s="14">
        <v>9900</v>
      </c>
      <c r="G30" s="8">
        <v>9900</v>
      </c>
      <c r="H30" s="14">
        <v>9900</v>
      </c>
      <c r="I30" s="8">
        <v>9900</v>
      </c>
      <c r="J30" s="14">
        <v>9900</v>
      </c>
      <c r="K30" s="8">
        <v>9900</v>
      </c>
      <c r="L30" s="14">
        <v>9900</v>
      </c>
      <c r="M30" s="8">
        <v>9900</v>
      </c>
      <c r="N30" s="14">
        <v>9900</v>
      </c>
      <c r="O30" s="11">
        <f t="shared" si="2"/>
        <v>1.1550124995131862E-3</v>
      </c>
    </row>
    <row r="31" spans="1:16" s="13" customFormat="1" collapsed="1" x14ac:dyDescent="0.35">
      <c r="A31" s="4" t="s">
        <v>44</v>
      </c>
      <c r="B31" s="6">
        <f>B30</f>
        <v>118800</v>
      </c>
      <c r="C31" s="6">
        <f t="shared" ref="C31:N31" si="6">C30</f>
        <v>9900</v>
      </c>
      <c r="D31" s="6">
        <f t="shared" si="6"/>
        <v>9900</v>
      </c>
      <c r="E31" s="6">
        <f t="shared" si="6"/>
        <v>9900</v>
      </c>
      <c r="F31" s="6">
        <f t="shared" si="6"/>
        <v>9900</v>
      </c>
      <c r="G31" s="6">
        <f t="shared" si="6"/>
        <v>9900</v>
      </c>
      <c r="H31" s="6">
        <f t="shared" si="6"/>
        <v>9900</v>
      </c>
      <c r="I31" s="6">
        <f t="shared" si="6"/>
        <v>9900</v>
      </c>
      <c r="J31" s="6">
        <f t="shared" si="6"/>
        <v>9900</v>
      </c>
      <c r="K31" s="6">
        <f t="shared" si="6"/>
        <v>9900</v>
      </c>
      <c r="L31" s="6">
        <f t="shared" si="6"/>
        <v>9900</v>
      </c>
      <c r="M31" s="6">
        <f t="shared" si="6"/>
        <v>9900</v>
      </c>
      <c r="N31" s="6">
        <f t="shared" si="6"/>
        <v>9900</v>
      </c>
      <c r="O31" s="11">
        <f t="shared" si="2"/>
        <v>1.1550124995131862E-3</v>
      </c>
      <c r="P31" s="12"/>
    </row>
    <row r="32" spans="1:16" s="13" customFormat="1" x14ac:dyDescent="0.35">
      <c r="A32" s="4" t="s">
        <v>45</v>
      </c>
      <c r="B32" s="6">
        <f>SUM(C32:N32)</f>
        <v>83104.56</v>
      </c>
      <c r="C32" s="6">
        <v>6925.3799999999992</v>
      </c>
      <c r="D32" s="6">
        <v>6925.3799999999992</v>
      </c>
      <c r="E32" s="6">
        <v>6925.3799999999992</v>
      </c>
      <c r="F32" s="6">
        <v>6925.3799999999992</v>
      </c>
      <c r="G32" s="6">
        <v>6925.3799999999992</v>
      </c>
      <c r="H32" s="6">
        <v>6925.3799999999992</v>
      </c>
      <c r="I32" s="6">
        <v>6925.3799999999992</v>
      </c>
      <c r="J32" s="6">
        <v>6925.3799999999992</v>
      </c>
      <c r="K32" s="6">
        <v>6925.3799999999992</v>
      </c>
      <c r="L32" s="6">
        <v>6925.3799999999992</v>
      </c>
      <c r="M32" s="6">
        <v>6925.3799999999992</v>
      </c>
      <c r="N32" s="6">
        <v>6925.3799999999992</v>
      </c>
      <c r="O32" s="11">
        <f t="shared" si="2"/>
        <v>8.0796974382612414E-4</v>
      </c>
      <c r="P32" s="12"/>
    </row>
    <row r="33" spans="1:16" hidden="1" outlineLevel="1" x14ac:dyDescent="0.35">
      <c r="A33" s="7" t="s">
        <v>46</v>
      </c>
      <c r="B33" s="14">
        <f t="shared" ref="B33:B77" si="7">SUM(C33:N33)</f>
        <v>36000</v>
      </c>
      <c r="C33" s="8">
        <v>3000</v>
      </c>
      <c r="D33" s="8">
        <v>3000</v>
      </c>
      <c r="E33" s="8">
        <v>3000</v>
      </c>
      <c r="F33" s="8">
        <v>3000</v>
      </c>
      <c r="G33" s="8">
        <v>3000</v>
      </c>
      <c r="H33" s="8">
        <v>3000</v>
      </c>
      <c r="I33" s="8">
        <v>3000</v>
      </c>
      <c r="J33" s="8">
        <v>3000</v>
      </c>
      <c r="K33" s="8">
        <v>3000</v>
      </c>
      <c r="L33" s="8">
        <v>3000</v>
      </c>
      <c r="M33" s="8">
        <v>3000</v>
      </c>
      <c r="N33" s="8">
        <v>3000</v>
      </c>
      <c r="O33" s="11">
        <f t="shared" si="2"/>
        <v>3.500037877312685E-4</v>
      </c>
    </row>
    <row r="34" spans="1:16" hidden="1" outlineLevel="1" x14ac:dyDescent="0.35">
      <c r="A34" s="9" t="s">
        <v>47</v>
      </c>
      <c r="B34" s="10">
        <f t="shared" si="7"/>
        <v>21600</v>
      </c>
      <c r="C34" s="10">
        <v>1800</v>
      </c>
      <c r="D34" s="10">
        <v>1800</v>
      </c>
      <c r="E34" s="10">
        <v>1800</v>
      </c>
      <c r="F34" s="10">
        <v>1800</v>
      </c>
      <c r="G34" s="10">
        <v>1800</v>
      </c>
      <c r="H34" s="10">
        <v>1800</v>
      </c>
      <c r="I34" s="10">
        <v>1800</v>
      </c>
      <c r="J34" s="10">
        <v>1800</v>
      </c>
      <c r="K34" s="10">
        <v>1800</v>
      </c>
      <c r="L34" s="10">
        <v>1800</v>
      </c>
      <c r="M34" s="10">
        <v>1800</v>
      </c>
      <c r="N34" s="10">
        <v>1800</v>
      </c>
      <c r="O34" s="11">
        <f t="shared" si="2"/>
        <v>2.1000227263876111E-4</v>
      </c>
    </row>
    <row r="35" spans="1:16" hidden="1" outlineLevel="1" x14ac:dyDescent="0.35">
      <c r="A35" s="7" t="s">
        <v>48</v>
      </c>
      <c r="B35" s="14">
        <f t="shared" si="7"/>
        <v>0</v>
      </c>
      <c r="C35" s="8">
        <v>0</v>
      </c>
      <c r="D35" s="14">
        <v>0</v>
      </c>
      <c r="E35" s="8">
        <v>0</v>
      </c>
      <c r="F35" s="14">
        <v>0</v>
      </c>
      <c r="G35" s="8">
        <v>0</v>
      </c>
      <c r="H35" s="14">
        <v>0</v>
      </c>
      <c r="I35" s="8">
        <v>0</v>
      </c>
      <c r="J35" s="14">
        <v>0</v>
      </c>
      <c r="K35" s="8">
        <v>0</v>
      </c>
      <c r="L35" s="14">
        <v>0</v>
      </c>
      <c r="M35" s="8">
        <v>0</v>
      </c>
      <c r="N35" s="14">
        <v>0</v>
      </c>
      <c r="O35" s="11">
        <f t="shared" si="2"/>
        <v>0</v>
      </c>
    </row>
    <row r="36" spans="1:16" hidden="1" outlineLevel="1" x14ac:dyDescent="0.35">
      <c r="A36" s="9" t="s">
        <v>49</v>
      </c>
      <c r="B36" s="10">
        <f t="shared" si="7"/>
        <v>0</v>
      </c>
      <c r="C36" s="10">
        <v>0</v>
      </c>
      <c r="D36" s="10">
        <v>0</v>
      </c>
      <c r="E36" s="10">
        <v>0</v>
      </c>
      <c r="F36" s="10">
        <v>0</v>
      </c>
      <c r="G36" s="10">
        <v>0</v>
      </c>
      <c r="H36" s="10">
        <v>0</v>
      </c>
      <c r="I36" s="10">
        <v>0</v>
      </c>
      <c r="J36" s="10">
        <v>0</v>
      </c>
      <c r="K36" s="10">
        <v>0</v>
      </c>
      <c r="L36" s="10">
        <v>0</v>
      </c>
      <c r="M36" s="10">
        <v>0</v>
      </c>
      <c r="N36" s="10">
        <v>0</v>
      </c>
      <c r="O36" s="11">
        <f t="shared" si="2"/>
        <v>0</v>
      </c>
    </row>
    <row r="37" spans="1:16" s="13" customFormat="1" collapsed="1" x14ac:dyDescent="0.35">
      <c r="A37" s="4" t="s">
        <v>50</v>
      </c>
      <c r="B37" s="6">
        <f>SUM(B33:B36)</f>
        <v>57600</v>
      </c>
      <c r="C37" s="6">
        <f t="shared" ref="C37:N37" si="8">SUM(C33:C36)</f>
        <v>4800</v>
      </c>
      <c r="D37" s="6">
        <f t="shared" si="8"/>
        <v>4800</v>
      </c>
      <c r="E37" s="6">
        <f t="shared" si="8"/>
        <v>4800</v>
      </c>
      <c r="F37" s="6">
        <f t="shared" si="8"/>
        <v>4800</v>
      </c>
      <c r="G37" s="6">
        <f t="shared" si="8"/>
        <v>4800</v>
      </c>
      <c r="H37" s="6">
        <f t="shared" si="8"/>
        <v>4800</v>
      </c>
      <c r="I37" s="6">
        <f t="shared" si="8"/>
        <v>4800</v>
      </c>
      <c r="J37" s="6">
        <f t="shared" si="8"/>
        <v>4800</v>
      </c>
      <c r="K37" s="6">
        <f t="shared" si="8"/>
        <v>4800</v>
      </c>
      <c r="L37" s="6">
        <f t="shared" si="8"/>
        <v>4800</v>
      </c>
      <c r="M37" s="6">
        <f t="shared" si="8"/>
        <v>4800</v>
      </c>
      <c r="N37" s="6">
        <f t="shared" si="8"/>
        <v>4800</v>
      </c>
      <c r="O37" s="11">
        <f t="shared" si="2"/>
        <v>5.6000606037002966E-4</v>
      </c>
      <c r="P37" s="12"/>
    </row>
    <row r="38" spans="1:16" hidden="1" outlineLevel="1" x14ac:dyDescent="0.35">
      <c r="A38" s="7" t="s">
        <v>51</v>
      </c>
      <c r="B38" s="14">
        <f t="shared" si="7"/>
        <v>0</v>
      </c>
      <c r="C38" s="8"/>
      <c r="D38" s="8"/>
      <c r="E38" s="8"/>
      <c r="F38" s="8"/>
      <c r="G38" s="8"/>
      <c r="H38" s="8"/>
      <c r="I38" s="8"/>
      <c r="J38" s="8"/>
      <c r="K38" s="8"/>
      <c r="L38" s="8"/>
      <c r="M38" s="8"/>
      <c r="N38" s="8"/>
      <c r="O38" s="11">
        <f t="shared" si="2"/>
        <v>0</v>
      </c>
    </row>
    <row r="39" spans="1:16" hidden="1" outlineLevel="1" x14ac:dyDescent="0.35">
      <c r="A39" s="9" t="s">
        <v>52</v>
      </c>
      <c r="B39" s="10">
        <f t="shared" si="7"/>
        <v>0</v>
      </c>
      <c r="C39" s="10"/>
      <c r="D39" s="10"/>
      <c r="E39" s="10"/>
      <c r="F39" s="10"/>
      <c r="G39" s="10"/>
      <c r="H39" s="10"/>
      <c r="I39" s="10"/>
      <c r="J39" s="10"/>
      <c r="K39" s="10"/>
      <c r="L39" s="10"/>
      <c r="M39" s="10"/>
      <c r="N39" s="10"/>
      <c r="O39" s="11">
        <f t="shared" si="2"/>
        <v>0</v>
      </c>
    </row>
    <row r="40" spans="1:16" s="13" customFormat="1" collapsed="1" x14ac:dyDescent="0.35">
      <c r="A40" s="4" t="s">
        <v>53</v>
      </c>
      <c r="B40" s="6">
        <f>SUM(B38:B39)</f>
        <v>0</v>
      </c>
      <c r="C40" s="6">
        <f t="shared" ref="C40:N40" si="9">SUM(C38:C39)</f>
        <v>0</v>
      </c>
      <c r="D40" s="6">
        <f t="shared" si="9"/>
        <v>0</v>
      </c>
      <c r="E40" s="6">
        <f t="shared" si="9"/>
        <v>0</v>
      </c>
      <c r="F40" s="6">
        <f t="shared" si="9"/>
        <v>0</v>
      </c>
      <c r="G40" s="6">
        <f t="shared" si="9"/>
        <v>0</v>
      </c>
      <c r="H40" s="6">
        <f t="shared" si="9"/>
        <v>0</v>
      </c>
      <c r="I40" s="6">
        <f t="shared" si="9"/>
        <v>0</v>
      </c>
      <c r="J40" s="6">
        <f t="shared" si="9"/>
        <v>0</v>
      </c>
      <c r="K40" s="6">
        <f t="shared" si="9"/>
        <v>0</v>
      </c>
      <c r="L40" s="6">
        <f t="shared" si="9"/>
        <v>0</v>
      </c>
      <c r="M40" s="6">
        <f t="shared" si="9"/>
        <v>0</v>
      </c>
      <c r="N40" s="6">
        <f t="shared" si="9"/>
        <v>0</v>
      </c>
      <c r="O40" s="11">
        <f t="shared" si="2"/>
        <v>0</v>
      </c>
      <c r="P40" s="12" t="s">
        <v>54</v>
      </c>
    </row>
    <row r="41" spans="1:16" hidden="1" outlineLevel="1" x14ac:dyDescent="0.35">
      <c r="A41" s="7" t="s">
        <v>55</v>
      </c>
      <c r="B41" s="14">
        <f t="shared" si="7"/>
        <v>144000</v>
      </c>
      <c r="C41" s="8">
        <v>12000</v>
      </c>
      <c r="D41" s="14">
        <v>12000</v>
      </c>
      <c r="E41" s="8">
        <v>12000</v>
      </c>
      <c r="F41" s="14">
        <v>12000</v>
      </c>
      <c r="G41" s="8">
        <v>12000</v>
      </c>
      <c r="H41" s="14">
        <v>12000</v>
      </c>
      <c r="I41" s="8">
        <v>12000</v>
      </c>
      <c r="J41" s="14">
        <v>12000</v>
      </c>
      <c r="K41" s="8">
        <v>12000</v>
      </c>
      <c r="L41" s="14">
        <v>12000</v>
      </c>
      <c r="M41" s="8">
        <v>12000</v>
      </c>
      <c r="N41" s="14">
        <v>12000</v>
      </c>
      <c r="O41" s="11">
        <f t="shared" si="2"/>
        <v>1.400015150925074E-3</v>
      </c>
    </row>
    <row r="42" spans="1:16" hidden="1" outlineLevel="1" x14ac:dyDescent="0.35">
      <c r="A42" s="9" t="s">
        <v>56</v>
      </c>
      <c r="B42" s="10">
        <f t="shared" si="7"/>
        <v>115789.5</v>
      </c>
      <c r="C42" s="10">
        <v>57894.75</v>
      </c>
      <c r="D42" s="10">
        <v>0</v>
      </c>
      <c r="E42" s="10">
        <v>0</v>
      </c>
      <c r="F42" s="10">
        <v>0</v>
      </c>
      <c r="G42" s="10">
        <v>0</v>
      </c>
      <c r="H42" s="10">
        <v>0</v>
      </c>
      <c r="I42" s="10">
        <v>57894.75</v>
      </c>
      <c r="J42" s="10">
        <v>0</v>
      </c>
      <c r="K42" s="10">
        <v>0</v>
      </c>
      <c r="L42" s="10">
        <v>0</v>
      </c>
      <c r="M42" s="10">
        <v>0</v>
      </c>
      <c r="N42" s="10">
        <v>0</v>
      </c>
      <c r="O42" s="11">
        <f t="shared" si="2"/>
        <v>1.1257434327641587E-3</v>
      </c>
    </row>
    <row r="43" spans="1:16" hidden="1" outlineLevel="1" x14ac:dyDescent="0.35">
      <c r="A43" s="7" t="s">
        <v>57</v>
      </c>
      <c r="B43" s="14">
        <f t="shared" si="7"/>
        <v>114000</v>
      </c>
      <c r="C43" s="8">
        <v>28500</v>
      </c>
      <c r="D43" s="14">
        <v>0</v>
      </c>
      <c r="E43" s="8">
        <v>0</v>
      </c>
      <c r="F43" s="14">
        <v>28500</v>
      </c>
      <c r="G43" s="8">
        <v>0</v>
      </c>
      <c r="H43" s="14">
        <v>0</v>
      </c>
      <c r="I43" s="8">
        <v>28500</v>
      </c>
      <c r="J43" s="14">
        <v>0</v>
      </c>
      <c r="K43" s="8">
        <v>0</v>
      </c>
      <c r="L43" s="14">
        <v>28500</v>
      </c>
      <c r="M43" s="8">
        <v>0</v>
      </c>
      <c r="N43" s="14">
        <v>0</v>
      </c>
      <c r="O43" s="11">
        <f t="shared" si="2"/>
        <v>1.1083453278156836E-3</v>
      </c>
    </row>
    <row r="44" spans="1:16" hidden="1" outlineLevel="1" x14ac:dyDescent="0.35">
      <c r="A44" s="9" t="s">
        <v>58</v>
      </c>
      <c r="B44" s="10">
        <f t="shared" si="7"/>
        <v>0</v>
      </c>
      <c r="C44" s="10">
        <v>0</v>
      </c>
      <c r="D44" s="10">
        <v>0</v>
      </c>
      <c r="E44" s="10">
        <v>0</v>
      </c>
      <c r="F44" s="10">
        <v>0</v>
      </c>
      <c r="G44" s="10">
        <v>0</v>
      </c>
      <c r="H44" s="10">
        <v>0</v>
      </c>
      <c r="I44" s="10">
        <v>0</v>
      </c>
      <c r="J44" s="10">
        <v>0</v>
      </c>
      <c r="K44" s="10">
        <v>0</v>
      </c>
      <c r="L44" s="10">
        <v>0</v>
      </c>
      <c r="M44" s="10">
        <v>0</v>
      </c>
      <c r="N44" s="10">
        <v>0</v>
      </c>
      <c r="O44" s="11">
        <f t="shared" si="2"/>
        <v>0</v>
      </c>
    </row>
    <row r="45" spans="1:16" hidden="1" outlineLevel="1" x14ac:dyDescent="0.35">
      <c r="A45" s="7" t="s">
        <v>59</v>
      </c>
      <c r="B45" s="14">
        <f t="shared" si="7"/>
        <v>18000</v>
      </c>
      <c r="C45" s="8">
        <v>1500</v>
      </c>
      <c r="D45" s="14">
        <v>1500</v>
      </c>
      <c r="E45" s="8">
        <v>1500</v>
      </c>
      <c r="F45" s="14">
        <v>1500</v>
      </c>
      <c r="G45" s="8">
        <v>1500</v>
      </c>
      <c r="H45" s="14">
        <v>1500</v>
      </c>
      <c r="I45" s="8">
        <v>1500</v>
      </c>
      <c r="J45" s="14">
        <v>1500</v>
      </c>
      <c r="K45" s="8">
        <v>1500</v>
      </c>
      <c r="L45" s="14">
        <v>1500</v>
      </c>
      <c r="M45" s="8">
        <v>1500</v>
      </c>
      <c r="N45" s="14">
        <v>1500</v>
      </c>
      <c r="O45" s="11">
        <f t="shared" si="2"/>
        <v>1.7500189386563425E-4</v>
      </c>
    </row>
    <row r="46" spans="1:16" hidden="1" outlineLevel="1" x14ac:dyDescent="0.35">
      <c r="A46" s="9" t="s">
        <v>60</v>
      </c>
      <c r="B46" s="10">
        <f t="shared" si="7"/>
        <v>36000</v>
      </c>
      <c r="C46" s="10">
        <v>3000</v>
      </c>
      <c r="D46" s="10">
        <v>3000</v>
      </c>
      <c r="E46" s="10">
        <v>3000</v>
      </c>
      <c r="F46" s="10">
        <v>3000</v>
      </c>
      <c r="G46" s="10">
        <v>3000</v>
      </c>
      <c r="H46" s="10">
        <v>3000</v>
      </c>
      <c r="I46" s="10">
        <v>3000</v>
      </c>
      <c r="J46" s="10">
        <v>3000</v>
      </c>
      <c r="K46" s="10">
        <v>3000</v>
      </c>
      <c r="L46" s="10">
        <v>3000</v>
      </c>
      <c r="M46" s="10">
        <v>3000</v>
      </c>
      <c r="N46" s="10">
        <v>3000</v>
      </c>
      <c r="O46" s="11">
        <f t="shared" si="2"/>
        <v>3.500037877312685E-4</v>
      </c>
    </row>
    <row r="47" spans="1:16" hidden="1" outlineLevel="1" x14ac:dyDescent="0.35">
      <c r="A47" s="7" t="s">
        <v>61</v>
      </c>
      <c r="B47" s="14">
        <f t="shared" si="7"/>
        <v>49439.1</v>
      </c>
      <c r="C47" s="8">
        <v>8239.85</v>
      </c>
      <c r="D47" s="14">
        <v>0</v>
      </c>
      <c r="E47" s="8">
        <v>8239.85</v>
      </c>
      <c r="F47" s="14">
        <v>0</v>
      </c>
      <c r="G47" s="8">
        <v>8239.85</v>
      </c>
      <c r="H47" s="14">
        <v>0</v>
      </c>
      <c r="I47" s="8">
        <v>8239.85</v>
      </c>
      <c r="J47" s="14">
        <v>0</v>
      </c>
      <c r="K47" s="8">
        <v>8239.85</v>
      </c>
      <c r="L47" s="14">
        <v>0</v>
      </c>
      <c r="M47" s="8">
        <v>8239.85</v>
      </c>
      <c r="N47" s="14">
        <v>0</v>
      </c>
      <c r="O47" s="11">
        <f t="shared" si="2"/>
        <v>4.8066311838958214E-4</v>
      </c>
    </row>
    <row r="48" spans="1:16" hidden="1" outlineLevel="1" x14ac:dyDescent="0.35">
      <c r="A48" s="9" t="s">
        <v>62</v>
      </c>
      <c r="B48" s="10">
        <f t="shared" si="7"/>
        <v>3000</v>
      </c>
      <c r="C48" s="10">
        <v>250</v>
      </c>
      <c r="D48" s="10">
        <v>250</v>
      </c>
      <c r="E48" s="10">
        <v>250</v>
      </c>
      <c r="F48" s="10">
        <v>250</v>
      </c>
      <c r="G48" s="10">
        <v>250</v>
      </c>
      <c r="H48" s="10">
        <v>250</v>
      </c>
      <c r="I48" s="10">
        <v>250</v>
      </c>
      <c r="J48" s="10">
        <v>250</v>
      </c>
      <c r="K48" s="10">
        <v>250</v>
      </c>
      <c r="L48" s="10">
        <v>250</v>
      </c>
      <c r="M48" s="10">
        <v>250</v>
      </c>
      <c r="N48" s="10">
        <v>250</v>
      </c>
      <c r="O48" s="11">
        <f t="shared" si="2"/>
        <v>2.9166982310939044E-5</v>
      </c>
    </row>
    <row r="49" spans="1:15" hidden="1" outlineLevel="1" x14ac:dyDescent="0.35">
      <c r="A49" s="7" t="s">
        <v>63</v>
      </c>
      <c r="B49" s="14">
        <f t="shared" si="7"/>
        <v>0</v>
      </c>
      <c r="C49" s="8">
        <v>0</v>
      </c>
      <c r="D49" s="14">
        <v>0</v>
      </c>
      <c r="E49" s="8">
        <v>0</v>
      </c>
      <c r="F49" s="14">
        <v>0</v>
      </c>
      <c r="G49" s="8">
        <v>0</v>
      </c>
      <c r="H49" s="14">
        <v>0</v>
      </c>
      <c r="I49" s="8">
        <v>0</v>
      </c>
      <c r="J49" s="14">
        <v>0</v>
      </c>
      <c r="K49" s="8">
        <v>0</v>
      </c>
      <c r="L49" s="14">
        <v>0</v>
      </c>
      <c r="M49" s="8">
        <v>0</v>
      </c>
      <c r="N49" s="14">
        <v>0</v>
      </c>
      <c r="O49" s="11">
        <f t="shared" si="2"/>
        <v>0</v>
      </c>
    </row>
    <row r="50" spans="1:15" hidden="1" outlineLevel="1" x14ac:dyDescent="0.35">
      <c r="A50" s="9" t="s">
        <v>64</v>
      </c>
      <c r="B50" s="10">
        <f t="shared" si="7"/>
        <v>9772.5</v>
      </c>
      <c r="C50" s="10">
        <v>3257.5</v>
      </c>
      <c r="D50" s="10">
        <v>0</v>
      </c>
      <c r="E50" s="10">
        <v>0</v>
      </c>
      <c r="F50" s="10">
        <v>0</v>
      </c>
      <c r="G50" s="10">
        <v>0</v>
      </c>
      <c r="H50" s="10">
        <v>3257.5</v>
      </c>
      <c r="I50" s="10">
        <v>0</v>
      </c>
      <c r="J50" s="10">
        <v>0</v>
      </c>
      <c r="K50" s="10">
        <v>0</v>
      </c>
      <c r="L50" s="10">
        <v>0</v>
      </c>
      <c r="M50" s="10">
        <v>0</v>
      </c>
      <c r="N50" s="10">
        <v>3257.5</v>
      </c>
      <c r="O50" s="11">
        <f t="shared" si="2"/>
        <v>9.5011444877883937E-5</v>
      </c>
    </row>
    <row r="51" spans="1:15" hidden="1" outlineLevel="1" x14ac:dyDescent="0.35">
      <c r="A51" s="7" t="s">
        <v>65</v>
      </c>
      <c r="B51" s="14">
        <f t="shared" si="7"/>
        <v>0</v>
      </c>
      <c r="C51" s="8">
        <v>0</v>
      </c>
      <c r="D51" s="14">
        <v>0</v>
      </c>
      <c r="E51" s="8">
        <v>0</v>
      </c>
      <c r="F51" s="14">
        <v>0</v>
      </c>
      <c r="G51" s="8">
        <v>0</v>
      </c>
      <c r="H51" s="14">
        <v>0</v>
      </c>
      <c r="I51" s="8">
        <v>0</v>
      </c>
      <c r="J51" s="14">
        <v>0</v>
      </c>
      <c r="K51" s="8">
        <v>0</v>
      </c>
      <c r="L51" s="14">
        <v>0</v>
      </c>
      <c r="M51" s="8">
        <v>0</v>
      </c>
      <c r="N51" s="14">
        <v>0</v>
      </c>
      <c r="O51" s="11">
        <f t="shared" si="2"/>
        <v>0</v>
      </c>
    </row>
    <row r="52" spans="1:15" hidden="1" outlineLevel="1" x14ac:dyDescent="0.35">
      <c r="A52" s="9" t="s">
        <v>66</v>
      </c>
      <c r="B52" s="10">
        <f t="shared" si="7"/>
        <v>24360</v>
      </c>
      <c r="C52" s="10">
        <v>0</v>
      </c>
      <c r="D52" s="10">
        <v>0</v>
      </c>
      <c r="E52" s="10">
        <v>0</v>
      </c>
      <c r="F52" s="10">
        <v>0</v>
      </c>
      <c r="G52" s="10">
        <v>0</v>
      </c>
      <c r="H52" s="10">
        <v>24360</v>
      </c>
      <c r="I52" s="10">
        <v>0</v>
      </c>
      <c r="J52" s="10">
        <v>0</v>
      </c>
      <c r="K52" s="10">
        <v>0</v>
      </c>
      <c r="L52" s="10">
        <v>0</v>
      </c>
      <c r="M52" s="10">
        <v>0</v>
      </c>
      <c r="N52" s="10">
        <v>0</v>
      </c>
      <c r="O52" s="11">
        <f t="shared" si="2"/>
        <v>2.3683589636482502E-4</v>
      </c>
    </row>
    <row r="53" spans="1:15" hidden="1" outlineLevel="1" x14ac:dyDescent="0.35">
      <c r="A53" s="7" t="s">
        <v>67</v>
      </c>
      <c r="B53" s="14">
        <f t="shared" si="7"/>
        <v>14400</v>
      </c>
      <c r="C53" s="8">
        <v>1200</v>
      </c>
      <c r="D53" s="14">
        <v>1200</v>
      </c>
      <c r="E53" s="8">
        <v>1200</v>
      </c>
      <c r="F53" s="14">
        <v>1200</v>
      </c>
      <c r="G53" s="8">
        <v>1200</v>
      </c>
      <c r="H53" s="14">
        <v>1200</v>
      </c>
      <c r="I53" s="8">
        <v>1200</v>
      </c>
      <c r="J53" s="14">
        <v>1200</v>
      </c>
      <c r="K53" s="8">
        <v>1200</v>
      </c>
      <c r="L53" s="14">
        <v>1200</v>
      </c>
      <c r="M53" s="8">
        <v>1200</v>
      </c>
      <c r="N53" s="14">
        <v>1200</v>
      </c>
      <c r="O53" s="11">
        <f t="shared" si="2"/>
        <v>1.4000151509250741E-4</v>
      </c>
    </row>
    <row r="54" spans="1:15" hidden="1" outlineLevel="1" x14ac:dyDescent="0.35">
      <c r="A54" s="9" t="s">
        <v>68</v>
      </c>
      <c r="B54" s="10">
        <f t="shared" si="7"/>
        <v>0</v>
      </c>
      <c r="C54" s="10">
        <v>0</v>
      </c>
      <c r="D54" s="10">
        <v>0</v>
      </c>
      <c r="E54" s="10">
        <v>0</v>
      </c>
      <c r="F54" s="10">
        <v>0</v>
      </c>
      <c r="G54" s="10">
        <v>0</v>
      </c>
      <c r="H54" s="10">
        <v>0</v>
      </c>
      <c r="I54" s="10">
        <v>0</v>
      </c>
      <c r="J54" s="10">
        <v>0</v>
      </c>
      <c r="K54" s="10">
        <v>0</v>
      </c>
      <c r="L54" s="10">
        <v>0</v>
      </c>
      <c r="M54" s="10">
        <v>0</v>
      </c>
      <c r="N54" s="10">
        <v>0</v>
      </c>
      <c r="O54" s="11">
        <f t="shared" si="2"/>
        <v>0</v>
      </c>
    </row>
    <row r="55" spans="1:15" hidden="1" outlineLevel="1" x14ac:dyDescent="0.35">
      <c r="A55" s="7" t="s">
        <v>69</v>
      </c>
      <c r="B55" s="14">
        <f t="shared" si="7"/>
        <v>315000</v>
      </c>
      <c r="C55" s="8">
        <v>105000</v>
      </c>
      <c r="D55" s="14">
        <v>0</v>
      </c>
      <c r="E55" s="8">
        <v>0</v>
      </c>
      <c r="F55" s="14">
        <v>0</v>
      </c>
      <c r="G55" s="8">
        <v>0</v>
      </c>
      <c r="H55" s="14">
        <v>105000</v>
      </c>
      <c r="I55" s="8">
        <v>0</v>
      </c>
      <c r="J55" s="14">
        <v>0</v>
      </c>
      <c r="K55" s="8">
        <v>0</v>
      </c>
      <c r="L55" s="14">
        <v>0</v>
      </c>
      <c r="M55" s="8">
        <v>0</v>
      </c>
      <c r="N55" s="14">
        <v>105000</v>
      </c>
      <c r="O55" s="11">
        <f t="shared" si="2"/>
        <v>3.0625331426485996E-3</v>
      </c>
    </row>
    <row r="56" spans="1:15" hidden="1" outlineLevel="1" x14ac:dyDescent="0.35">
      <c r="A56" s="9" t="s">
        <v>70</v>
      </c>
      <c r="B56" s="10">
        <f t="shared" si="7"/>
        <v>0</v>
      </c>
      <c r="C56" s="10">
        <v>0</v>
      </c>
      <c r="D56" s="10">
        <v>0</v>
      </c>
      <c r="E56" s="10">
        <v>0</v>
      </c>
      <c r="F56" s="10">
        <v>0</v>
      </c>
      <c r="G56" s="10">
        <v>0</v>
      </c>
      <c r="H56" s="10">
        <v>0</v>
      </c>
      <c r="I56" s="10">
        <v>0</v>
      </c>
      <c r="J56" s="10">
        <v>0</v>
      </c>
      <c r="K56" s="10">
        <v>0</v>
      </c>
      <c r="L56" s="10">
        <v>0</v>
      </c>
      <c r="M56" s="10">
        <v>0</v>
      </c>
      <c r="N56" s="10">
        <v>0</v>
      </c>
      <c r="O56" s="11">
        <f t="shared" si="2"/>
        <v>0</v>
      </c>
    </row>
    <row r="57" spans="1:15" hidden="1" outlineLevel="1" x14ac:dyDescent="0.35">
      <c r="A57" s="7" t="s">
        <v>71</v>
      </c>
      <c r="B57" s="14">
        <f t="shared" si="7"/>
        <v>360000</v>
      </c>
      <c r="C57" s="8">
        <v>30000</v>
      </c>
      <c r="D57" s="14">
        <v>30000</v>
      </c>
      <c r="E57" s="8">
        <v>30000</v>
      </c>
      <c r="F57" s="14">
        <v>30000</v>
      </c>
      <c r="G57" s="8">
        <v>30000</v>
      </c>
      <c r="H57" s="14">
        <v>30000</v>
      </c>
      <c r="I57" s="8">
        <v>30000</v>
      </c>
      <c r="J57" s="14">
        <v>30000</v>
      </c>
      <c r="K57" s="8">
        <v>30000</v>
      </c>
      <c r="L57" s="14">
        <v>30000</v>
      </c>
      <c r="M57" s="8">
        <v>30000</v>
      </c>
      <c r="N57" s="14">
        <v>30000</v>
      </c>
      <c r="O57" s="11">
        <f t="shared" si="2"/>
        <v>3.5000378773126853E-3</v>
      </c>
    </row>
    <row r="58" spans="1:15" hidden="1" outlineLevel="1" x14ac:dyDescent="0.35">
      <c r="A58" s="9" t="s">
        <v>72</v>
      </c>
      <c r="B58" s="10">
        <f t="shared" si="7"/>
        <v>360000</v>
      </c>
      <c r="C58" s="10">
        <v>30000</v>
      </c>
      <c r="D58" s="10">
        <v>30000</v>
      </c>
      <c r="E58" s="10">
        <v>30000</v>
      </c>
      <c r="F58" s="10">
        <v>30000</v>
      </c>
      <c r="G58" s="10">
        <v>30000</v>
      </c>
      <c r="H58" s="10">
        <v>30000</v>
      </c>
      <c r="I58" s="10">
        <v>30000</v>
      </c>
      <c r="J58" s="10">
        <v>30000</v>
      </c>
      <c r="K58" s="10">
        <v>30000</v>
      </c>
      <c r="L58" s="10">
        <v>30000</v>
      </c>
      <c r="M58" s="10">
        <v>30000</v>
      </c>
      <c r="N58" s="10">
        <v>30000</v>
      </c>
      <c r="O58" s="11">
        <f t="shared" si="2"/>
        <v>3.5000378773126853E-3</v>
      </c>
    </row>
    <row r="59" spans="1:15" hidden="1" outlineLevel="1" x14ac:dyDescent="0.35">
      <c r="A59" s="7" t="s">
        <v>73</v>
      </c>
      <c r="B59" s="14">
        <f t="shared" si="7"/>
        <v>144000</v>
      </c>
      <c r="C59" s="8">
        <v>12000</v>
      </c>
      <c r="D59" s="14">
        <v>12000</v>
      </c>
      <c r="E59" s="8">
        <v>12000</v>
      </c>
      <c r="F59" s="14">
        <v>12000</v>
      </c>
      <c r="G59" s="8">
        <v>12000</v>
      </c>
      <c r="H59" s="14">
        <v>12000</v>
      </c>
      <c r="I59" s="8">
        <v>12000</v>
      </c>
      <c r="J59" s="14">
        <v>12000</v>
      </c>
      <c r="K59" s="8">
        <v>12000</v>
      </c>
      <c r="L59" s="14">
        <v>12000</v>
      </c>
      <c r="M59" s="8">
        <v>12000</v>
      </c>
      <c r="N59" s="14">
        <v>12000</v>
      </c>
      <c r="O59" s="11">
        <f t="shared" si="2"/>
        <v>1.400015150925074E-3</v>
      </c>
    </row>
    <row r="60" spans="1:15" hidden="1" outlineLevel="1" x14ac:dyDescent="0.35">
      <c r="A60" s="9" t="s">
        <v>74</v>
      </c>
      <c r="B60" s="10">
        <f t="shared" si="7"/>
        <v>0</v>
      </c>
      <c r="C60" s="10">
        <v>0</v>
      </c>
      <c r="D60" s="10">
        <v>0</v>
      </c>
      <c r="E60" s="10">
        <v>0</v>
      </c>
      <c r="F60" s="10">
        <v>0</v>
      </c>
      <c r="G60" s="10">
        <v>0</v>
      </c>
      <c r="H60" s="10">
        <v>0</v>
      </c>
      <c r="I60" s="10">
        <v>0</v>
      </c>
      <c r="J60" s="10">
        <v>0</v>
      </c>
      <c r="K60" s="10">
        <v>0</v>
      </c>
      <c r="L60" s="10">
        <v>0</v>
      </c>
      <c r="M60" s="10">
        <v>0</v>
      </c>
      <c r="N60" s="10">
        <v>0</v>
      </c>
      <c r="O60" s="11">
        <f t="shared" si="2"/>
        <v>0</v>
      </c>
    </row>
    <row r="61" spans="1:15" hidden="1" outlineLevel="1" x14ac:dyDescent="0.35">
      <c r="A61" s="7" t="s">
        <v>75</v>
      </c>
      <c r="B61" s="14">
        <f t="shared" si="7"/>
        <v>96000</v>
      </c>
      <c r="C61" s="8">
        <v>8000</v>
      </c>
      <c r="D61" s="14">
        <v>8000</v>
      </c>
      <c r="E61" s="8">
        <v>8000</v>
      </c>
      <c r="F61" s="14">
        <v>8000</v>
      </c>
      <c r="G61" s="8">
        <v>8000</v>
      </c>
      <c r="H61" s="14">
        <v>8000</v>
      </c>
      <c r="I61" s="8">
        <v>8000</v>
      </c>
      <c r="J61" s="14">
        <v>8000</v>
      </c>
      <c r="K61" s="8">
        <v>8000</v>
      </c>
      <c r="L61" s="14">
        <v>8000</v>
      </c>
      <c r="M61" s="8">
        <v>8000</v>
      </c>
      <c r="N61" s="14">
        <v>8000</v>
      </c>
      <c r="O61" s="11">
        <f t="shared" si="2"/>
        <v>9.333434339500494E-4</v>
      </c>
    </row>
    <row r="62" spans="1:15" hidden="1" outlineLevel="1" x14ac:dyDescent="0.35">
      <c r="A62" s="9" t="s">
        <v>76</v>
      </c>
      <c r="B62" s="10">
        <f t="shared" si="7"/>
        <v>0</v>
      </c>
      <c r="C62" s="10">
        <v>0</v>
      </c>
      <c r="D62" s="10">
        <v>0</v>
      </c>
      <c r="E62" s="10">
        <v>0</v>
      </c>
      <c r="F62" s="10">
        <v>0</v>
      </c>
      <c r="G62" s="10">
        <v>0</v>
      </c>
      <c r="H62" s="10">
        <v>0</v>
      </c>
      <c r="I62" s="10">
        <v>0</v>
      </c>
      <c r="J62" s="10">
        <v>0</v>
      </c>
      <c r="K62" s="10">
        <v>0</v>
      </c>
      <c r="L62" s="10">
        <v>0</v>
      </c>
      <c r="M62" s="10">
        <v>0</v>
      </c>
      <c r="N62" s="10">
        <v>0</v>
      </c>
      <c r="O62" s="11">
        <f t="shared" si="2"/>
        <v>0</v>
      </c>
    </row>
    <row r="63" spans="1:15" hidden="1" outlineLevel="1" x14ac:dyDescent="0.35">
      <c r="A63" s="7" t="s">
        <v>77</v>
      </c>
      <c r="B63" s="14">
        <f t="shared" si="7"/>
        <v>712800</v>
      </c>
      <c r="C63" s="8">
        <v>59400</v>
      </c>
      <c r="D63" s="14">
        <v>59400</v>
      </c>
      <c r="E63" s="8">
        <v>59400</v>
      </c>
      <c r="F63" s="14">
        <v>59400</v>
      </c>
      <c r="G63" s="8">
        <v>59400</v>
      </c>
      <c r="H63" s="14">
        <v>59400</v>
      </c>
      <c r="I63" s="8">
        <v>59400</v>
      </c>
      <c r="J63" s="14">
        <v>59400</v>
      </c>
      <c r="K63" s="8">
        <v>59400</v>
      </c>
      <c r="L63" s="14">
        <v>59400</v>
      </c>
      <c r="M63" s="8">
        <v>59400</v>
      </c>
      <c r="N63" s="14">
        <v>59400</v>
      </c>
      <c r="O63" s="11">
        <f t="shared" si="2"/>
        <v>6.9300749970791168E-3</v>
      </c>
    </row>
    <row r="64" spans="1:15" hidden="1" outlineLevel="1" x14ac:dyDescent="0.35">
      <c r="A64" s="9" t="s">
        <v>78</v>
      </c>
      <c r="B64" s="10">
        <f t="shared" si="7"/>
        <v>0</v>
      </c>
      <c r="C64" s="10">
        <v>0</v>
      </c>
      <c r="D64" s="10">
        <v>0</v>
      </c>
      <c r="E64" s="10">
        <v>0</v>
      </c>
      <c r="F64" s="10">
        <v>0</v>
      </c>
      <c r="G64" s="10">
        <v>0</v>
      </c>
      <c r="H64" s="10">
        <v>0</v>
      </c>
      <c r="I64" s="10">
        <v>0</v>
      </c>
      <c r="J64" s="10">
        <v>0</v>
      </c>
      <c r="K64" s="10">
        <v>0</v>
      </c>
      <c r="L64" s="10">
        <v>0</v>
      </c>
      <c r="M64" s="10">
        <v>0</v>
      </c>
      <c r="N64" s="10">
        <v>0</v>
      </c>
      <c r="O64" s="11">
        <f t="shared" si="2"/>
        <v>0</v>
      </c>
    </row>
    <row r="65" spans="1:16" hidden="1" outlineLevel="1" x14ac:dyDescent="0.35">
      <c r="A65" s="7" t="s">
        <v>79</v>
      </c>
      <c r="B65" s="14">
        <f t="shared" si="7"/>
        <v>0</v>
      </c>
      <c r="C65" s="8">
        <v>0</v>
      </c>
      <c r="D65" s="14">
        <v>0</v>
      </c>
      <c r="E65" s="8">
        <v>0</v>
      </c>
      <c r="F65" s="14">
        <v>0</v>
      </c>
      <c r="G65" s="8">
        <v>0</v>
      </c>
      <c r="H65" s="14">
        <v>0</v>
      </c>
      <c r="I65" s="8">
        <v>0</v>
      </c>
      <c r="J65" s="14">
        <v>0</v>
      </c>
      <c r="K65" s="8">
        <v>0</v>
      </c>
      <c r="L65" s="14">
        <v>0</v>
      </c>
      <c r="M65" s="8">
        <v>0</v>
      </c>
      <c r="N65" s="14">
        <v>0</v>
      </c>
      <c r="O65" s="11">
        <f t="shared" si="2"/>
        <v>0</v>
      </c>
    </row>
    <row r="66" spans="1:16" hidden="1" outlineLevel="1" x14ac:dyDescent="0.35">
      <c r="A66" s="9" t="s">
        <v>80</v>
      </c>
      <c r="B66" s="10">
        <f t="shared" si="7"/>
        <v>270000</v>
      </c>
      <c r="C66" s="10">
        <v>0</v>
      </c>
      <c r="D66" s="10">
        <v>0</v>
      </c>
      <c r="E66" s="10">
        <v>0</v>
      </c>
      <c r="F66" s="10">
        <v>270000</v>
      </c>
      <c r="G66" s="10">
        <v>0</v>
      </c>
      <c r="H66" s="10">
        <v>0</v>
      </c>
      <c r="I66" s="10">
        <v>0</v>
      </c>
      <c r="J66" s="10">
        <v>0</v>
      </c>
      <c r="K66" s="10">
        <v>0</v>
      </c>
      <c r="L66" s="10">
        <v>0</v>
      </c>
      <c r="M66" s="10">
        <v>0</v>
      </c>
      <c r="N66" s="10">
        <v>0</v>
      </c>
      <c r="O66" s="11">
        <f t="shared" si="2"/>
        <v>2.625028407984514E-3</v>
      </c>
    </row>
    <row r="67" spans="1:16" hidden="1" outlineLevel="1" x14ac:dyDescent="0.35">
      <c r="A67" s="7" t="s">
        <v>81</v>
      </c>
      <c r="B67" s="14">
        <f t="shared" si="7"/>
        <v>0</v>
      </c>
      <c r="C67" s="8">
        <v>0</v>
      </c>
      <c r="D67" s="14">
        <v>0</v>
      </c>
      <c r="E67" s="8">
        <v>0</v>
      </c>
      <c r="F67" s="14">
        <v>0</v>
      </c>
      <c r="G67" s="8">
        <v>0</v>
      </c>
      <c r="H67" s="14">
        <v>0</v>
      </c>
      <c r="I67" s="8">
        <v>0</v>
      </c>
      <c r="J67" s="14">
        <v>0</v>
      </c>
      <c r="K67" s="8">
        <v>0</v>
      </c>
      <c r="L67" s="14">
        <v>0</v>
      </c>
      <c r="M67" s="8">
        <v>0</v>
      </c>
      <c r="N67" s="14">
        <v>0</v>
      </c>
      <c r="O67" s="11">
        <f t="shared" si="2"/>
        <v>0</v>
      </c>
    </row>
    <row r="68" spans="1:16" hidden="1" outlineLevel="1" x14ac:dyDescent="0.35">
      <c r="A68" s="9" t="s">
        <v>82</v>
      </c>
      <c r="B68" s="10">
        <f t="shared" si="7"/>
        <v>28800</v>
      </c>
      <c r="C68" s="10">
        <v>0</v>
      </c>
      <c r="D68" s="10">
        <v>0</v>
      </c>
      <c r="E68" s="10">
        <v>0</v>
      </c>
      <c r="F68" s="10">
        <v>0</v>
      </c>
      <c r="G68" s="10">
        <v>0</v>
      </c>
      <c r="H68" s="10">
        <v>0</v>
      </c>
      <c r="I68" s="10">
        <v>0</v>
      </c>
      <c r="J68" s="10">
        <v>28800</v>
      </c>
      <c r="K68" s="10">
        <v>0</v>
      </c>
      <c r="L68" s="10">
        <v>0</v>
      </c>
      <c r="M68" s="10">
        <v>0</v>
      </c>
      <c r="N68" s="10">
        <v>0</v>
      </c>
      <c r="O68" s="11">
        <f t="shared" si="2"/>
        <v>2.8000303018501483E-4</v>
      </c>
    </row>
    <row r="69" spans="1:16" hidden="1" outlineLevel="1" x14ac:dyDescent="0.35">
      <c r="A69" s="7" t="s">
        <v>83</v>
      </c>
      <c r="B69" s="14">
        <f t="shared" si="7"/>
        <v>0</v>
      </c>
      <c r="C69" s="8">
        <v>0</v>
      </c>
      <c r="D69" s="14">
        <v>0</v>
      </c>
      <c r="E69" s="8">
        <v>0</v>
      </c>
      <c r="F69" s="14">
        <v>0</v>
      </c>
      <c r="G69" s="8">
        <v>0</v>
      </c>
      <c r="H69" s="14">
        <v>0</v>
      </c>
      <c r="I69" s="8">
        <v>0</v>
      </c>
      <c r="J69" s="14">
        <v>0</v>
      </c>
      <c r="K69" s="8">
        <v>0</v>
      </c>
      <c r="L69" s="14">
        <v>0</v>
      </c>
      <c r="M69" s="8">
        <v>0</v>
      </c>
      <c r="N69" s="14">
        <v>0</v>
      </c>
      <c r="O69" s="11">
        <f t="shared" si="2"/>
        <v>0</v>
      </c>
    </row>
    <row r="70" spans="1:16" hidden="1" outlineLevel="1" x14ac:dyDescent="0.35">
      <c r="A70" s="9" t="s">
        <v>84</v>
      </c>
      <c r="B70" s="10">
        <f t="shared" si="7"/>
        <v>360000</v>
      </c>
      <c r="C70" s="10">
        <v>30000</v>
      </c>
      <c r="D70" s="10">
        <v>30000</v>
      </c>
      <c r="E70" s="10">
        <v>30000</v>
      </c>
      <c r="F70" s="10">
        <v>30000</v>
      </c>
      <c r="G70" s="10">
        <v>30000</v>
      </c>
      <c r="H70" s="10">
        <v>30000</v>
      </c>
      <c r="I70" s="10">
        <v>30000</v>
      </c>
      <c r="J70" s="10">
        <v>30000</v>
      </c>
      <c r="K70" s="10">
        <v>30000</v>
      </c>
      <c r="L70" s="10">
        <v>30000</v>
      </c>
      <c r="M70" s="10">
        <v>30000</v>
      </c>
      <c r="N70" s="10">
        <v>30000</v>
      </c>
      <c r="O70" s="11">
        <f t="shared" si="2"/>
        <v>3.5000378773126853E-3</v>
      </c>
    </row>
    <row r="71" spans="1:16" hidden="1" outlineLevel="1" x14ac:dyDescent="0.35">
      <c r="A71" s="7" t="s">
        <v>85</v>
      </c>
      <c r="B71" s="14">
        <f t="shared" si="7"/>
        <v>0</v>
      </c>
      <c r="C71" s="8">
        <v>0</v>
      </c>
      <c r="D71" s="14">
        <v>0</v>
      </c>
      <c r="E71" s="8">
        <v>0</v>
      </c>
      <c r="F71" s="14">
        <v>0</v>
      </c>
      <c r="G71" s="8">
        <v>0</v>
      </c>
      <c r="H71" s="14">
        <v>0</v>
      </c>
      <c r="I71" s="8">
        <v>0</v>
      </c>
      <c r="J71" s="14">
        <v>0</v>
      </c>
      <c r="K71" s="8">
        <v>0</v>
      </c>
      <c r="L71" s="14">
        <v>0</v>
      </c>
      <c r="M71" s="8">
        <v>0</v>
      </c>
      <c r="N71" s="14">
        <v>0</v>
      </c>
      <c r="O71" s="11">
        <f t="shared" si="2"/>
        <v>0</v>
      </c>
    </row>
    <row r="72" spans="1:16" hidden="1" outlineLevel="1" x14ac:dyDescent="0.35">
      <c r="A72" s="9" t="s">
        <v>86</v>
      </c>
      <c r="B72" s="10">
        <f t="shared" si="7"/>
        <v>0</v>
      </c>
      <c r="C72" s="10">
        <v>0</v>
      </c>
      <c r="D72" s="10">
        <v>0</v>
      </c>
      <c r="E72" s="10">
        <v>0</v>
      </c>
      <c r="F72" s="10">
        <v>0</v>
      </c>
      <c r="G72" s="10">
        <v>0</v>
      </c>
      <c r="H72" s="10">
        <v>0</v>
      </c>
      <c r="I72" s="10">
        <v>0</v>
      </c>
      <c r="J72" s="10">
        <v>0</v>
      </c>
      <c r="K72" s="10">
        <v>0</v>
      </c>
      <c r="L72" s="10">
        <v>0</v>
      </c>
      <c r="M72" s="10">
        <v>0</v>
      </c>
      <c r="N72" s="10">
        <v>0</v>
      </c>
      <c r="O72" s="11">
        <f t="shared" si="2"/>
        <v>0</v>
      </c>
    </row>
    <row r="73" spans="1:16" hidden="1" outlineLevel="1" x14ac:dyDescent="0.35">
      <c r="A73" s="7" t="s">
        <v>87</v>
      </c>
      <c r="B73" s="14">
        <f t="shared" si="7"/>
        <v>0</v>
      </c>
      <c r="C73" s="8">
        <v>0</v>
      </c>
      <c r="D73" s="14">
        <v>0</v>
      </c>
      <c r="E73" s="8">
        <v>0</v>
      </c>
      <c r="F73" s="14">
        <v>0</v>
      </c>
      <c r="G73" s="8">
        <v>0</v>
      </c>
      <c r="H73" s="14">
        <v>0</v>
      </c>
      <c r="I73" s="8">
        <v>0</v>
      </c>
      <c r="J73" s="14">
        <v>0</v>
      </c>
      <c r="K73" s="8">
        <v>0</v>
      </c>
      <c r="L73" s="14">
        <v>0</v>
      </c>
      <c r="M73" s="8">
        <v>0</v>
      </c>
      <c r="N73" s="14">
        <v>0</v>
      </c>
      <c r="O73" s="11">
        <f t="shared" si="2"/>
        <v>0</v>
      </c>
    </row>
    <row r="74" spans="1:16" hidden="1" outlineLevel="1" x14ac:dyDescent="0.35">
      <c r="A74" s="9" t="s">
        <v>88</v>
      </c>
      <c r="B74" s="10">
        <f t="shared" si="7"/>
        <v>0</v>
      </c>
      <c r="C74" s="10">
        <v>0</v>
      </c>
      <c r="D74" s="10">
        <v>0</v>
      </c>
      <c r="E74" s="10">
        <v>0</v>
      </c>
      <c r="F74" s="10">
        <v>0</v>
      </c>
      <c r="G74" s="10">
        <v>0</v>
      </c>
      <c r="H74" s="10">
        <v>0</v>
      </c>
      <c r="I74" s="10">
        <v>0</v>
      </c>
      <c r="J74" s="10">
        <v>0</v>
      </c>
      <c r="K74" s="10">
        <v>0</v>
      </c>
      <c r="L74" s="10">
        <v>0</v>
      </c>
      <c r="M74" s="10">
        <v>0</v>
      </c>
      <c r="N74" s="10">
        <v>0</v>
      </c>
      <c r="O74" s="11">
        <f t="shared" si="2"/>
        <v>0</v>
      </c>
    </row>
    <row r="75" spans="1:16" hidden="1" outlineLevel="1" x14ac:dyDescent="0.35">
      <c r="A75" s="7" t="s">
        <v>89</v>
      </c>
      <c r="B75" s="14">
        <f t="shared" si="7"/>
        <v>0</v>
      </c>
      <c r="C75" s="8">
        <v>0</v>
      </c>
      <c r="D75" s="14">
        <v>0</v>
      </c>
      <c r="E75" s="8">
        <v>0</v>
      </c>
      <c r="F75" s="14">
        <v>0</v>
      </c>
      <c r="G75" s="8">
        <v>0</v>
      </c>
      <c r="H75" s="14">
        <v>0</v>
      </c>
      <c r="I75" s="8">
        <v>0</v>
      </c>
      <c r="J75" s="14">
        <v>0</v>
      </c>
      <c r="K75" s="8">
        <v>0</v>
      </c>
      <c r="L75" s="14">
        <v>0</v>
      </c>
      <c r="M75" s="8">
        <v>0</v>
      </c>
      <c r="N75" s="14">
        <v>0</v>
      </c>
      <c r="O75" s="11">
        <f t="shared" si="2"/>
        <v>0</v>
      </c>
    </row>
    <row r="76" spans="1:16" s="13" customFormat="1" collapsed="1" x14ac:dyDescent="0.35">
      <c r="A76" s="4" t="s">
        <v>90</v>
      </c>
      <c r="B76" s="6">
        <f>SUM(B41:B75)</f>
        <v>3175361.1</v>
      </c>
      <c r="C76" s="6">
        <f>SUM(C41:C75)</f>
        <v>390242.1</v>
      </c>
      <c r="D76" s="6">
        <f>SUM(D41:D75)</f>
        <v>187350</v>
      </c>
      <c r="E76" s="6">
        <f t="shared" ref="E76:N76" si="10">SUM(E41:E75)</f>
        <v>195589.85</v>
      </c>
      <c r="F76" s="6">
        <f t="shared" si="10"/>
        <v>485850</v>
      </c>
      <c r="G76" s="6">
        <f t="shared" si="10"/>
        <v>195589.85</v>
      </c>
      <c r="H76" s="6">
        <f t="shared" si="10"/>
        <v>319967.5</v>
      </c>
      <c r="I76" s="6">
        <f t="shared" si="10"/>
        <v>281984.59999999998</v>
      </c>
      <c r="J76" s="6">
        <f t="shared" si="10"/>
        <v>216150</v>
      </c>
      <c r="K76" s="6">
        <f t="shared" si="10"/>
        <v>195589.85</v>
      </c>
      <c r="L76" s="6">
        <f t="shared" si="10"/>
        <v>215850</v>
      </c>
      <c r="M76" s="6">
        <f t="shared" si="10"/>
        <v>195589.85</v>
      </c>
      <c r="N76" s="6">
        <f t="shared" si="10"/>
        <v>295607.5</v>
      </c>
      <c r="O76" s="11">
        <f t="shared" si="2"/>
        <v>3.0871900344847981E-2</v>
      </c>
      <c r="P76" s="12"/>
    </row>
    <row r="77" spans="1:16" hidden="1" outlineLevel="1" x14ac:dyDescent="0.35">
      <c r="A77" s="7" t="s">
        <v>91</v>
      </c>
      <c r="B77" s="14">
        <f t="shared" si="7"/>
        <v>50400</v>
      </c>
      <c r="C77" s="8">
        <v>4200</v>
      </c>
      <c r="D77" s="8">
        <v>4200</v>
      </c>
      <c r="E77" s="8">
        <v>4200</v>
      </c>
      <c r="F77" s="8">
        <v>4200</v>
      </c>
      <c r="G77" s="8">
        <v>4200</v>
      </c>
      <c r="H77" s="8">
        <v>4200</v>
      </c>
      <c r="I77" s="8">
        <v>4200</v>
      </c>
      <c r="J77" s="8">
        <v>4200</v>
      </c>
      <c r="K77" s="8">
        <v>4200</v>
      </c>
      <c r="L77" s="8">
        <v>4200</v>
      </c>
      <c r="M77" s="8">
        <v>4200</v>
      </c>
      <c r="N77" s="8">
        <v>4200</v>
      </c>
      <c r="O77" s="11">
        <f t="shared" si="2"/>
        <v>4.9000530282377588E-4</v>
      </c>
    </row>
    <row r="78" spans="1:16" s="13" customFormat="1" collapsed="1" x14ac:dyDescent="0.35">
      <c r="A78" s="4" t="s">
        <v>92</v>
      </c>
      <c r="B78" s="6">
        <f>B77</f>
        <v>50400</v>
      </c>
      <c r="C78" s="6">
        <f t="shared" ref="C78:N78" si="11">C77</f>
        <v>4200</v>
      </c>
      <c r="D78" s="6">
        <f t="shared" si="11"/>
        <v>4200</v>
      </c>
      <c r="E78" s="6">
        <f t="shared" si="11"/>
        <v>4200</v>
      </c>
      <c r="F78" s="6">
        <f t="shared" si="11"/>
        <v>4200</v>
      </c>
      <c r="G78" s="6">
        <f t="shared" si="11"/>
        <v>4200</v>
      </c>
      <c r="H78" s="6">
        <f t="shared" si="11"/>
        <v>4200</v>
      </c>
      <c r="I78" s="6">
        <f t="shared" si="11"/>
        <v>4200</v>
      </c>
      <c r="J78" s="6">
        <f t="shared" si="11"/>
        <v>4200</v>
      </c>
      <c r="K78" s="6">
        <f t="shared" si="11"/>
        <v>4200</v>
      </c>
      <c r="L78" s="6">
        <f t="shared" si="11"/>
        <v>4200</v>
      </c>
      <c r="M78" s="6">
        <f t="shared" si="11"/>
        <v>4200</v>
      </c>
      <c r="N78" s="6">
        <f t="shared" si="11"/>
        <v>4200</v>
      </c>
      <c r="O78" s="11">
        <f t="shared" ref="O78:O106" si="12">B78/$B$163</f>
        <v>4.9000530282377588E-4</v>
      </c>
      <c r="P78" s="12"/>
    </row>
    <row r="79" spans="1:16" s="13" customFormat="1" x14ac:dyDescent="0.35">
      <c r="A79" s="4" t="s">
        <v>93</v>
      </c>
      <c r="B79" s="6">
        <f>SUM(C79:N79)</f>
        <v>23780000</v>
      </c>
      <c r="C79" s="6">
        <v>1640000</v>
      </c>
      <c r="D79" s="6">
        <v>1640000</v>
      </c>
      <c r="E79" s="6">
        <v>1640000</v>
      </c>
      <c r="F79" s="6">
        <v>1640000</v>
      </c>
      <c r="G79" s="6">
        <v>3280000</v>
      </c>
      <c r="H79" s="6">
        <v>1640000</v>
      </c>
      <c r="I79" s="6">
        <v>1640000</v>
      </c>
      <c r="J79" s="6">
        <v>1640000</v>
      </c>
      <c r="K79" s="6">
        <v>1640000</v>
      </c>
      <c r="L79" s="6">
        <v>2460000</v>
      </c>
      <c r="M79" s="6">
        <v>1640000</v>
      </c>
      <c r="N79" s="6">
        <v>3280000</v>
      </c>
      <c r="O79" s="11">
        <f t="shared" si="12"/>
        <v>0.23119694645137681</v>
      </c>
      <c r="P79" s="12"/>
    </row>
    <row r="80" spans="1:16" hidden="1" outlineLevel="1" x14ac:dyDescent="0.35">
      <c r="A80" s="7" t="s">
        <v>94</v>
      </c>
      <c r="B80" s="14">
        <f t="shared" ref="B80:B145" si="13">SUM(C80:N80)</f>
        <v>45600.24000000002</v>
      </c>
      <c r="C80" s="8">
        <v>3800.0200000000004</v>
      </c>
      <c r="D80" s="8">
        <v>3800.0200000000004</v>
      </c>
      <c r="E80" s="8">
        <v>3800.0200000000004</v>
      </c>
      <c r="F80" s="8">
        <v>3800.0200000000004</v>
      </c>
      <c r="G80" s="8">
        <v>3800.0200000000004</v>
      </c>
      <c r="H80" s="8">
        <v>3800.0200000000004</v>
      </c>
      <c r="I80" s="8">
        <v>3800.0200000000004</v>
      </c>
      <c r="J80" s="8">
        <v>3800.0200000000004</v>
      </c>
      <c r="K80" s="8">
        <v>3800.0200000000004</v>
      </c>
      <c r="L80" s="8">
        <v>3800.0200000000004</v>
      </c>
      <c r="M80" s="8">
        <v>3800.0200000000004</v>
      </c>
      <c r="N80" s="8">
        <v>3800.0200000000004</v>
      </c>
      <c r="O80" s="11">
        <f t="shared" si="12"/>
        <v>4.4334046448485853E-4</v>
      </c>
    </row>
    <row r="81" spans="1:16" hidden="1" outlineLevel="1" x14ac:dyDescent="0.35">
      <c r="A81" s="9" t="s">
        <v>95</v>
      </c>
      <c r="B81" s="10">
        <f t="shared" si="13"/>
        <v>108000</v>
      </c>
      <c r="C81" s="10">
        <v>9000</v>
      </c>
      <c r="D81" s="10">
        <v>9000</v>
      </c>
      <c r="E81" s="10">
        <v>9000</v>
      </c>
      <c r="F81" s="10">
        <v>9000</v>
      </c>
      <c r="G81" s="10">
        <v>9000</v>
      </c>
      <c r="H81" s="10">
        <v>9000</v>
      </c>
      <c r="I81" s="10">
        <v>9000</v>
      </c>
      <c r="J81" s="10">
        <v>9000</v>
      </c>
      <c r="K81" s="10">
        <v>9000</v>
      </c>
      <c r="L81" s="10">
        <v>9000</v>
      </c>
      <c r="M81" s="10">
        <v>9000</v>
      </c>
      <c r="N81" s="10">
        <v>9000</v>
      </c>
      <c r="O81" s="11">
        <f t="shared" si="12"/>
        <v>1.0500113631938055E-3</v>
      </c>
    </row>
    <row r="82" spans="1:16" hidden="1" outlineLevel="1" x14ac:dyDescent="0.35">
      <c r="A82" s="7" t="s">
        <v>96</v>
      </c>
      <c r="B82" s="14">
        <f t="shared" si="13"/>
        <v>501120</v>
      </c>
      <c r="C82" s="8">
        <v>41760</v>
      </c>
      <c r="D82" s="14">
        <v>41760</v>
      </c>
      <c r="E82" s="8">
        <v>41760</v>
      </c>
      <c r="F82" s="14">
        <v>41760</v>
      </c>
      <c r="G82" s="8">
        <v>41760</v>
      </c>
      <c r="H82" s="14">
        <v>41760</v>
      </c>
      <c r="I82" s="8">
        <v>41760</v>
      </c>
      <c r="J82" s="14">
        <v>41760</v>
      </c>
      <c r="K82" s="8">
        <v>41760</v>
      </c>
      <c r="L82" s="14">
        <v>41760</v>
      </c>
      <c r="M82" s="8">
        <v>41760</v>
      </c>
      <c r="N82" s="14">
        <v>41760</v>
      </c>
      <c r="O82" s="11">
        <f t="shared" si="12"/>
        <v>4.8720527252192579E-3</v>
      </c>
    </row>
    <row r="83" spans="1:16" s="13" customFormat="1" collapsed="1" x14ac:dyDescent="0.35">
      <c r="A83" s="4" t="s">
        <v>97</v>
      </c>
      <c r="B83" s="6">
        <f>SUM(B80:B82)</f>
        <v>654720.24</v>
      </c>
      <c r="C83" s="6">
        <f t="shared" ref="C83:N83" si="14">SUM(C80:C82)</f>
        <v>54560.020000000004</v>
      </c>
      <c r="D83" s="6">
        <f t="shared" si="14"/>
        <v>54560.020000000004</v>
      </c>
      <c r="E83" s="6">
        <f t="shared" si="14"/>
        <v>54560.020000000004</v>
      </c>
      <c r="F83" s="6">
        <f t="shared" si="14"/>
        <v>54560.020000000004</v>
      </c>
      <c r="G83" s="6">
        <f t="shared" si="14"/>
        <v>54560.020000000004</v>
      </c>
      <c r="H83" s="6">
        <f t="shared" si="14"/>
        <v>54560.020000000004</v>
      </c>
      <c r="I83" s="6">
        <f t="shared" si="14"/>
        <v>54560.020000000004</v>
      </c>
      <c r="J83" s="6">
        <f t="shared" si="14"/>
        <v>54560.020000000004</v>
      </c>
      <c r="K83" s="6">
        <f t="shared" si="14"/>
        <v>54560.020000000004</v>
      </c>
      <c r="L83" s="6">
        <f t="shared" si="14"/>
        <v>54560.020000000004</v>
      </c>
      <c r="M83" s="6">
        <f t="shared" si="14"/>
        <v>54560.020000000004</v>
      </c>
      <c r="N83" s="6">
        <f t="shared" si="14"/>
        <v>54560.020000000004</v>
      </c>
      <c r="O83" s="11">
        <f t="shared" si="12"/>
        <v>6.3654045528979217E-3</v>
      </c>
      <c r="P83" s="12"/>
    </row>
    <row r="84" spans="1:16" hidden="1" outlineLevel="1" x14ac:dyDescent="0.35">
      <c r="A84" s="7" t="s">
        <v>98</v>
      </c>
      <c r="B84" s="14">
        <f t="shared" si="13"/>
        <v>0</v>
      </c>
      <c r="C84" s="8"/>
      <c r="D84" s="14"/>
      <c r="E84" s="8"/>
      <c r="F84" s="14"/>
      <c r="G84" s="8"/>
      <c r="H84" s="14"/>
      <c r="I84" s="8"/>
      <c r="J84" s="14"/>
      <c r="K84" s="8"/>
      <c r="L84" s="14"/>
      <c r="M84" s="8"/>
      <c r="N84" s="14"/>
      <c r="O84" s="11">
        <f t="shared" si="12"/>
        <v>0</v>
      </c>
    </row>
    <row r="85" spans="1:16" hidden="1" outlineLevel="1" x14ac:dyDescent="0.35">
      <c r="A85" s="9" t="s">
        <v>99</v>
      </c>
      <c r="B85" s="10">
        <f t="shared" si="13"/>
        <v>0</v>
      </c>
      <c r="C85" s="10"/>
      <c r="D85" s="10"/>
      <c r="E85" s="10"/>
      <c r="F85" s="10"/>
      <c r="G85" s="10"/>
      <c r="H85" s="10"/>
      <c r="I85" s="10"/>
      <c r="J85" s="10"/>
      <c r="K85" s="10"/>
      <c r="L85" s="10"/>
      <c r="M85" s="10"/>
      <c r="N85" s="10"/>
      <c r="O85" s="11">
        <f t="shared" si="12"/>
        <v>0</v>
      </c>
    </row>
    <row r="86" spans="1:16" hidden="1" outlineLevel="1" x14ac:dyDescent="0.35">
      <c r="A86" s="7" t="s">
        <v>100</v>
      </c>
      <c r="B86" s="14">
        <f t="shared" si="13"/>
        <v>0</v>
      </c>
      <c r="C86" s="8"/>
      <c r="D86" s="8"/>
      <c r="E86" s="8"/>
      <c r="F86" s="8"/>
      <c r="G86" s="8"/>
      <c r="H86" s="8"/>
      <c r="I86" s="8"/>
      <c r="J86" s="8"/>
      <c r="K86" s="8"/>
      <c r="L86" s="8"/>
      <c r="M86" s="8"/>
      <c r="N86" s="8"/>
      <c r="O86" s="11">
        <f t="shared" si="12"/>
        <v>0</v>
      </c>
      <c r="P86" s="1" t="s">
        <v>101</v>
      </c>
    </row>
    <row r="87" spans="1:16" hidden="1" outlineLevel="1" x14ac:dyDescent="0.35">
      <c r="A87" s="9" t="s">
        <v>102</v>
      </c>
      <c r="B87" s="10">
        <f t="shared" si="13"/>
        <v>180000</v>
      </c>
      <c r="C87" s="10">
        <v>15000</v>
      </c>
      <c r="D87" s="10">
        <v>15000</v>
      </c>
      <c r="E87" s="10">
        <v>15000</v>
      </c>
      <c r="F87" s="10">
        <v>15000</v>
      </c>
      <c r="G87" s="10">
        <v>15000</v>
      </c>
      <c r="H87" s="10">
        <v>15000</v>
      </c>
      <c r="I87" s="10">
        <v>15000</v>
      </c>
      <c r="J87" s="10">
        <v>15000</v>
      </c>
      <c r="K87" s="10">
        <v>15000</v>
      </c>
      <c r="L87" s="10">
        <v>15000</v>
      </c>
      <c r="M87" s="10">
        <v>15000</v>
      </c>
      <c r="N87" s="10">
        <v>15000</v>
      </c>
      <c r="O87" s="11">
        <f t="shared" si="12"/>
        <v>1.7500189386563426E-3</v>
      </c>
    </row>
    <row r="88" spans="1:16" hidden="1" outlineLevel="1" x14ac:dyDescent="0.35">
      <c r="A88" s="7" t="s">
        <v>103</v>
      </c>
      <c r="B88" s="14">
        <f t="shared" si="13"/>
        <v>0</v>
      </c>
      <c r="C88" s="8"/>
      <c r="D88" s="14"/>
      <c r="E88" s="8"/>
      <c r="F88" s="14"/>
      <c r="G88" s="8"/>
      <c r="H88" s="14"/>
      <c r="I88" s="8"/>
      <c r="J88" s="14"/>
      <c r="K88" s="8"/>
      <c r="L88" s="14"/>
      <c r="M88" s="8"/>
      <c r="N88" s="14"/>
      <c r="O88" s="11">
        <f t="shared" si="12"/>
        <v>0</v>
      </c>
    </row>
    <row r="89" spans="1:16" hidden="1" outlineLevel="1" x14ac:dyDescent="0.35">
      <c r="A89" s="9" t="s">
        <v>104</v>
      </c>
      <c r="B89" s="10">
        <f t="shared" si="13"/>
        <v>0</v>
      </c>
      <c r="C89" s="10"/>
      <c r="D89" s="10"/>
      <c r="E89" s="10"/>
      <c r="F89" s="10"/>
      <c r="G89" s="10"/>
      <c r="H89" s="10"/>
      <c r="I89" s="10"/>
      <c r="J89" s="10"/>
      <c r="K89" s="10"/>
      <c r="L89" s="10"/>
      <c r="M89" s="10"/>
      <c r="N89" s="10"/>
      <c r="O89" s="11">
        <f t="shared" si="12"/>
        <v>0</v>
      </c>
    </row>
    <row r="90" spans="1:16" hidden="1" outlineLevel="1" x14ac:dyDescent="0.35">
      <c r="A90" s="7" t="s">
        <v>105</v>
      </c>
      <c r="B90" s="14">
        <f t="shared" si="13"/>
        <v>0</v>
      </c>
      <c r="C90" s="8"/>
      <c r="D90" s="14"/>
      <c r="E90" s="8"/>
      <c r="F90" s="14"/>
      <c r="G90" s="8"/>
      <c r="H90" s="14"/>
      <c r="I90" s="8"/>
      <c r="J90" s="14"/>
      <c r="K90" s="8"/>
      <c r="L90" s="14"/>
      <c r="M90" s="8"/>
      <c r="N90" s="14"/>
      <c r="O90" s="11">
        <f t="shared" si="12"/>
        <v>0</v>
      </c>
    </row>
    <row r="91" spans="1:16" hidden="1" outlineLevel="1" x14ac:dyDescent="0.35">
      <c r="A91" s="9" t="s">
        <v>106</v>
      </c>
      <c r="B91" s="10">
        <f t="shared" si="13"/>
        <v>0</v>
      </c>
      <c r="C91" s="10"/>
      <c r="D91" s="10"/>
      <c r="E91" s="10"/>
      <c r="F91" s="10"/>
      <c r="G91" s="10"/>
      <c r="H91" s="10"/>
      <c r="I91" s="10"/>
      <c r="J91" s="10"/>
      <c r="K91" s="10"/>
      <c r="L91" s="10"/>
      <c r="M91" s="10"/>
      <c r="N91" s="10"/>
      <c r="O91" s="11">
        <f t="shared" si="12"/>
        <v>0</v>
      </c>
    </row>
    <row r="92" spans="1:16" hidden="1" outlineLevel="1" x14ac:dyDescent="0.35">
      <c r="A92" s="7" t="s">
        <v>107</v>
      </c>
      <c r="B92" s="14">
        <f t="shared" si="13"/>
        <v>0</v>
      </c>
      <c r="C92" s="8"/>
      <c r="D92" s="14"/>
      <c r="E92" s="8"/>
      <c r="F92" s="14"/>
      <c r="G92" s="8"/>
      <c r="H92" s="14"/>
      <c r="I92" s="8"/>
      <c r="J92" s="14"/>
      <c r="K92" s="8"/>
      <c r="L92" s="14"/>
      <c r="M92" s="8"/>
      <c r="N92" s="14"/>
      <c r="O92" s="11">
        <f t="shared" si="12"/>
        <v>0</v>
      </c>
    </row>
    <row r="93" spans="1:16" hidden="1" outlineLevel="1" x14ac:dyDescent="0.35">
      <c r="A93" s="9" t="s">
        <v>108</v>
      </c>
      <c r="B93" s="10">
        <f t="shared" si="13"/>
        <v>0</v>
      </c>
      <c r="C93" s="10"/>
      <c r="D93" s="10"/>
      <c r="E93" s="10"/>
      <c r="F93" s="10"/>
      <c r="G93" s="10"/>
      <c r="H93" s="10"/>
      <c r="I93" s="10"/>
      <c r="J93" s="10"/>
      <c r="K93" s="10"/>
      <c r="L93" s="10"/>
      <c r="M93" s="10"/>
      <c r="N93" s="10"/>
      <c r="O93" s="11">
        <f t="shared" si="12"/>
        <v>0</v>
      </c>
    </row>
    <row r="94" spans="1:16" hidden="1" outlineLevel="1" x14ac:dyDescent="0.35">
      <c r="A94" s="7" t="s">
        <v>109</v>
      </c>
      <c r="B94" s="14">
        <f t="shared" si="13"/>
        <v>0</v>
      </c>
      <c r="C94" s="8"/>
      <c r="D94" s="8"/>
      <c r="E94" s="8"/>
      <c r="F94" s="8"/>
      <c r="G94" s="8"/>
      <c r="H94" s="8"/>
      <c r="I94" s="8"/>
      <c r="J94" s="8"/>
      <c r="K94" s="8"/>
      <c r="L94" s="8"/>
      <c r="M94" s="8"/>
      <c r="N94" s="8"/>
      <c r="O94" s="11">
        <f t="shared" si="12"/>
        <v>0</v>
      </c>
    </row>
    <row r="95" spans="1:16" hidden="1" outlineLevel="1" x14ac:dyDescent="0.35">
      <c r="A95" s="9" t="s">
        <v>110</v>
      </c>
      <c r="B95" s="10">
        <f t="shared" si="13"/>
        <v>0</v>
      </c>
      <c r="C95" s="10"/>
      <c r="D95" s="10"/>
      <c r="E95" s="10"/>
      <c r="F95" s="10"/>
      <c r="G95" s="10"/>
      <c r="H95" s="10"/>
      <c r="I95" s="10"/>
      <c r="J95" s="10"/>
      <c r="K95" s="10"/>
      <c r="L95" s="10"/>
      <c r="M95" s="10"/>
      <c r="N95" s="10"/>
      <c r="O95" s="11">
        <f t="shared" si="12"/>
        <v>0</v>
      </c>
      <c r="P95" s="1" t="s">
        <v>111</v>
      </c>
    </row>
    <row r="96" spans="1:16" hidden="1" outlineLevel="1" x14ac:dyDescent="0.35">
      <c r="A96" s="7" t="s">
        <v>112</v>
      </c>
      <c r="B96" s="14">
        <f t="shared" si="13"/>
        <v>0</v>
      </c>
      <c r="C96" s="8"/>
      <c r="D96" s="14"/>
      <c r="E96" s="8"/>
      <c r="F96" s="14"/>
      <c r="G96" s="8"/>
      <c r="H96" s="14"/>
      <c r="I96" s="8"/>
      <c r="J96" s="14"/>
      <c r="K96" s="8"/>
      <c r="L96" s="14"/>
      <c r="M96" s="8"/>
      <c r="N96" s="14"/>
      <c r="O96" s="11">
        <f t="shared" si="12"/>
        <v>0</v>
      </c>
    </row>
    <row r="97" spans="1:16" hidden="1" outlineLevel="1" x14ac:dyDescent="0.35">
      <c r="A97" s="9" t="s">
        <v>113</v>
      </c>
      <c r="B97" s="10">
        <f t="shared" si="13"/>
        <v>0</v>
      </c>
      <c r="C97" s="10"/>
      <c r="D97" s="10"/>
      <c r="E97" s="10"/>
      <c r="F97" s="10"/>
      <c r="G97" s="10"/>
      <c r="H97" s="10"/>
      <c r="I97" s="10"/>
      <c r="J97" s="10"/>
      <c r="K97" s="10"/>
      <c r="L97" s="10"/>
      <c r="M97" s="10"/>
      <c r="N97" s="10"/>
      <c r="O97" s="11">
        <f t="shared" si="12"/>
        <v>0</v>
      </c>
    </row>
    <row r="98" spans="1:16" hidden="1" outlineLevel="1" x14ac:dyDescent="0.35">
      <c r="A98" s="7" t="s">
        <v>114</v>
      </c>
      <c r="B98" s="14">
        <f t="shared" si="13"/>
        <v>0</v>
      </c>
      <c r="C98" s="8"/>
      <c r="D98" s="14"/>
      <c r="E98" s="8"/>
      <c r="F98" s="14"/>
      <c r="G98" s="8"/>
      <c r="H98" s="14"/>
      <c r="I98" s="8"/>
      <c r="J98" s="14"/>
      <c r="K98" s="8"/>
      <c r="L98" s="14"/>
      <c r="M98" s="8"/>
      <c r="N98" s="14"/>
      <c r="O98" s="11">
        <f t="shared" si="12"/>
        <v>0</v>
      </c>
    </row>
    <row r="99" spans="1:16" hidden="1" outlineLevel="1" x14ac:dyDescent="0.35">
      <c r="A99" s="9" t="s">
        <v>115</v>
      </c>
      <c r="B99" s="10">
        <f t="shared" si="13"/>
        <v>0</v>
      </c>
      <c r="C99" s="10"/>
      <c r="D99" s="10"/>
      <c r="E99" s="10"/>
      <c r="F99" s="10"/>
      <c r="G99" s="10"/>
      <c r="H99" s="10"/>
      <c r="I99" s="10"/>
      <c r="J99" s="10"/>
      <c r="K99" s="10"/>
      <c r="L99" s="10"/>
      <c r="M99" s="10"/>
      <c r="N99" s="10"/>
      <c r="O99" s="11">
        <f t="shared" si="12"/>
        <v>0</v>
      </c>
    </row>
    <row r="100" spans="1:16" hidden="1" outlineLevel="1" x14ac:dyDescent="0.35">
      <c r="A100" s="7" t="s">
        <v>116</v>
      </c>
      <c r="B100" s="14">
        <f t="shared" si="13"/>
        <v>0</v>
      </c>
      <c r="C100" s="8"/>
      <c r="D100" s="14"/>
      <c r="E100" s="8"/>
      <c r="F100" s="14"/>
      <c r="G100" s="8"/>
      <c r="H100" s="14"/>
      <c r="I100" s="8"/>
      <c r="J100" s="14"/>
      <c r="K100" s="8"/>
      <c r="L100" s="14"/>
      <c r="M100" s="8"/>
      <c r="N100" s="14"/>
      <c r="O100" s="11">
        <f t="shared" si="12"/>
        <v>0</v>
      </c>
    </row>
    <row r="101" spans="1:16" hidden="1" outlineLevel="1" x14ac:dyDescent="0.35">
      <c r="A101" s="9" t="s">
        <v>117</v>
      </c>
      <c r="B101" s="10">
        <f t="shared" si="13"/>
        <v>0</v>
      </c>
      <c r="C101" s="10"/>
      <c r="D101" s="10"/>
      <c r="E101" s="10"/>
      <c r="F101" s="10"/>
      <c r="G101" s="10"/>
      <c r="H101" s="10"/>
      <c r="I101" s="10"/>
      <c r="J101" s="10"/>
      <c r="K101" s="10"/>
      <c r="L101" s="10"/>
      <c r="M101" s="10"/>
      <c r="N101" s="10"/>
      <c r="O101" s="11">
        <f t="shared" si="12"/>
        <v>0</v>
      </c>
    </row>
    <row r="102" spans="1:16" hidden="1" outlineLevel="1" x14ac:dyDescent="0.35">
      <c r="A102" s="7" t="s">
        <v>118</v>
      </c>
      <c r="B102" s="14">
        <f t="shared" si="13"/>
        <v>0</v>
      </c>
      <c r="C102" s="8"/>
      <c r="D102" s="14"/>
      <c r="E102" s="8"/>
      <c r="F102" s="14"/>
      <c r="G102" s="8"/>
      <c r="H102" s="14"/>
      <c r="I102" s="8"/>
      <c r="J102" s="14"/>
      <c r="K102" s="8"/>
      <c r="L102" s="14"/>
      <c r="M102" s="8"/>
      <c r="N102" s="14"/>
      <c r="O102" s="11">
        <f t="shared" si="12"/>
        <v>0</v>
      </c>
    </row>
    <row r="103" spans="1:16" hidden="1" outlineLevel="1" x14ac:dyDescent="0.35">
      <c r="A103" s="7" t="s">
        <v>119</v>
      </c>
      <c r="B103" s="14">
        <f t="shared" si="13"/>
        <v>36000</v>
      </c>
      <c r="C103" s="8">
        <v>3000</v>
      </c>
      <c r="D103" s="14">
        <v>3000</v>
      </c>
      <c r="E103" s="8">
        <v>3000</v>
      </c>
      <c r="F103" s="14">
        <v>3000</v>
      </c>
      <c r="G103" s="8">
        <v>3000</v>
      </c>
      <c r="H103" s="14">
        <v>3000</v>
      </c>
      <c r="I103" s="8">
        <v>3000</v>
      </c>
      <c r="J103" s="14">
        <v>3000</v>
      </c>
      <c r="K103" s="8">
        <v>3000</v>
      </c>
      <c r="L103" s="14">
        <v>3000</v>
      </c>
      <c r="M103" s="8">
        <v>3000</v>
      </c>
      <c r="N103" s="14">
        <v>3000</v>
      </c>
      <c r="O103" s="11">
        <f t="shared" si="12"/>
        <v>3.500037877312685E-4</v>
      </c>
    </row>
    <row r="104" spans="1:16" hidden="1" outlineLevel="1" x14ac:dyDescent="0.35">
      <c r="A104" s="9" t="s">
        <v>120</v>
      </c>
      <c r="B104" s="10">
        <f t="shared" si="13"/>
        <v>0</v>
      </c>
      <c r="C104" s="10"/>
      <c r="D104" s="10"/>
      <c r="E104" s="10"/>
      <c r="F104" s="10"/>
      <c r="G104" s="10"/>
      <c r="H104" s="10"/>
      <c r="I104" s="10"/>
      <c r="J104" s="10"/>
      <c r="K104" s="10"/>
      <c r="L104" s="10"/>
      <c r="M104" s="10"/>
      <c r="N104" s="10"/>
      <c r="O104" s="11">
        <f t="shared" si="12"/>
        <v>0</v>
      </c>
      <c r="P104" s="1" t="s">
        <v>121</v>
      </c>
    </row>
    <row r="105" spans="1:16" hidden="1" outlineLevel="1" x14ac:dyDescent="0.35">
      <c r="A105" s="7" t="s">
        <v>122</v>
      </c>
      <c r="B105" s="14">
        <f t="shared" si="13"/>
        <v>0</v>
      </c>
      <c r="C105" s="8"/>
      <c r="D105" s="14"/>
      <c r="E105" s="8"/>
      <c r="F105" s="8"/>
      <c r="G105" s="8"/>
      <c r="H105" s="8"/>
      <c r="I105" s="8"/>
      <c r="J105" s="8"/>
      <c r="K105" s="8"/>
      <c r="L105" s="8"/>
      <c r="M105" s="8"/>
      <c r="N105" s="8"/>
      <c r="O105" s="11">
        <f t="shared" si="12"/>
        <v>0</v>
      </c>
    </row>
    <row r="106" spans="1:16" hidden="1" outlineLevel="1" x14ac:dyDescent="0.35">
      <c r="A106" s="9" t="s">
        <v>123</v>
      </c>
      <c r="B106" s="10">
        <f t="shared" si="13"/>
        <v>0</v>
      </c>
      <c r="C106" s="10"/>
      <c r="D106" s="10"/>
      <c r="E106" s="10"/>
      <c r="F106" s="10"/>
      <c r="G106" s="10"/>
      <c r="H106" s="10"/>
      <c r="I106" s="10"/>
      <c r="J106" s="10"/>
      <c r="K106" s="10"/>
      <c r="L106" s="10"/>
      <c r="M106" s="10"/>
      <c r="N106" s="10"/>
      <c r="O106" s="11">
        <f t="shared" si="12"/>
        <v>0</v>
      </c>
      <c r="P106" s="1" t="s">
        <v>124</v>
      </c>
    </row>
    <row r="107" spans="1:16" hidden="1" outlineLevel="1" x14ac:dyDescent="0.35">
      <c r="A107" s="9" t="s">
        <v>125</v>
      </c>
      <c r="B107" s="10"/>
      <c r="C107" s="10"/>
      <c r="D107" s="10"/>
      <c r="E107" s="10"/>
      <c r="F107" s="10"/>
      <c r="G107" s="10"/>
      <c r="H107" s="10"/>
      <c r="I107" s="10"/>
      <c r="J107" s="10"/>
      <c r="K107" s="10"/>
      <c r="L107" s="10"/>
      <c r="M107" s="10"/>
      <c r="N107" s="10"/>
      <c r="O107" s="11"/>
    </row>
    <row r="108" spans="1:16" hidden="1" outlineLevel="1" x14ac:dyDescent="0.35">
      <c r="A108" s="7" t="s">
        <v>126</v>
      </c>
      <c r="B108" s="14">
        <f t="shared" si="13"/>
        <v>0</v>
      </c>
      <c r="C108" s="8"/>
      <c r="D108" s="14"/>
      <c r="E108" s="8"/>
      <c r="F108" s="14"/>
      <c r="G108" s="8"/>
      <c r="H108" s="14"/>
      <c r="I108" s="8"/>
      <c r="J108" s="14"/>
      <c r="K108" s="8"/>
      <c r="L108" s="14"/>
      <c r="M108" s="8"/>
      <c r="N108" s="14"/>
      <c r="O108" s="11">
        <f t="shared" ref="O108:O121" si="15">B108/$B$163</f>
        <v>0</v>
      </c>
    </row>
    <row r="109" spans="1:16" hidden="1" outlineLevel="1" x14ac:dyDescent="0.35">
      <c r="A109" s="9" t="s">
        <v>127</v>
      </c>
      <c r="B109" s="10">
        <f t="shared" si="13"/>
        <v>0</v>
      </c>
      <c r="C109" s="10"/>
      <c r="D109" s="10"/>
      <c r="E109" s="10"/>
      <c r="F109" s="10"/>
      <c r="G109" s="10"/>
      <c r="H109" s="10"/>
      <c r="I109" s="10"/>
      <c r="J109" s="10"/>
      <c r="K109" s="10"/>
      <c r="L109" s="10"/>
      <c r="M109" s="10"/>
      <c r="N109" s="10"/>
      <c r="O109" s="11">
        <f t="shared" si="15"/>
        <v>0</v>
      </c>
    </row>
    <row r="110" spans="1:16" hidden="1" outlineLevel="1" x14ac:dyDescent="0.35">
      <c r="A110" s="7" t="s">
        <v>128</v>
      </c>
      <c r="B110" s="14">
        <f t="shared" si="13"/>
        <v>180000</v>
      </c>
      <c r="C110" s="8">
        <v>15000</v>
      </c>
      <c r="D110" s="14">
        <v>15000</v>
      </c>
      <c r="E110" s="8">
        <v>15000</v>
      </c>
      <c r="F110" s="14">
        <v>15000</v>
      </c>
      <c r="G110" s="8">
        <v>15000</v>
      </c>
      <c r="H110" s="14">
        <v>15000</v>
      </c>
      <c r="I110" s="8">
        <v>15000</v>
      </c>
      <c r="J110" s="14">
        <v>15000</v>
      </c>
      <c r="K110" s="8">
        <v>15000</v>
      </c>
      <c r="L110" s="14">
        <v>15000</v>
      </c>
      <c r="M110" s="8">
        <v>15000</v>
      </c>
      <c r="N110" s="14">
        <v>15000</v>
      </c>
      <c r="O110" s="11">
        <f t="shared" si="15"/>
        <v>1.7500189386563426E-3</v>
      </c>
    </row>
    <row r="111" spans="1:16" hidden="1" outlineLevel="1" x14ac:dyDescent="0.35">
      <c r="A111" s="9" t="s">
        <v>129</v>
      </c>
      <c r="B111" s="10">
        <f t="shared" si="13"/>
        <v>0</v>
      </c>
      <c r="C111" s="10"/>
      <c r="D111" s="10"/>
      <c r="E111" s="10"/>
      <c r="F111" s="10"/>
      <c r="G111" s="10"/>
      <c r="H111" s="10"/>
      <c r="I111" s="10"/>
      <c r="J111" s="10"/>
      <c r="K111" s="10"/>
      <c r="L111" s="10"/>
      <c r="M111" s="10"/>
      <c r="N111" s="10"/>
      <c r="O111" s="11">
        <f t="shared" si="15"/>
        <v>0</v>
      </c>
    </row>
    <row r="112" spans="1:16" hidden="1" outlineLevel="1" x14ac:dyDescent="0.35">
      <c r="A112" s="7" t="s">
        <v>130</v>
      </c>
      <c r="B112" s="14">
        <f t="shared" si="13"/>
        <v>0</v>
      </c>
      <c r="C112" s="8"/>
      <c r="D112" s="14"/>
      <c r="E112" s="8"/>
      <c r="F112" s="14"/>
      <c r="G112" s="8"/>
      <c r="H112" s="14"/>
      <c r="I112" s="8"/>
      <c r="J112" s="14"/>
      <c r="K112" s="8"/>
      <c r="L112" s="14"/>
      <c r="M112" s="8"/>
      <c r="N112" s="14"/>
      <c r="O112" s="11">
        <f t="shared" si="15"/>
        <v>0</v>
      </c>
    </row>
    <row r="113" spans="1:15" hidden="1" outlineLevel="1" x14ac:dyDescent="0.35">
      <c r="A113" s="9" t="s">
        <v>131</v>
      </c>
      <c r="B113" s="10">
        <f t="shared" si="13"/>
        <v>54000</v>
      </c>
      <c r="C113" s="10">
        <v>18000</v>
      </c>
      <c r="D113" s="10">
        <v>0</v>
      </c>
      <c r="E113" s="10">
        <v>0</v>
      </c>
      <c r="F113" s="10">
        <v>0</v>
      </c>
      <c r="G113" s="10">
        <v>0</v>
      </c>
      <c r="H113" s="10">
        <v>18000</v>
      </c>
      <c r="I113" s="10">
        <v>0</v>
      </c>
      <c r="J113" s="10">
        <v>0</v>
      </c>
      <c r="K113" s="10">
        <v>0</v>
      </c>
      <c r="L113" s="10">
        <v>0</v>
      </c>
      <c r="M113" s="10">
        <v>0</v>
      </c>
      <c r="N113" s="10">
        <v>18000</v>
      </c>
      <c r="O113" s="11">
        <f t="shared" si="15"/>
        <v>5.2500568159690277E-4</v>
      </c>
    </row>
    <row r="114" spans="1:15" hidden="1" outlineLevel="1" x14ac:dyDescent="0.35">
      <c r="A114" s="7" t="s">
        <v>132</v>
      </c>
      <c r="B114" s="14">
        <f t="shared" si="13"/>
        <v>0</v>
      </c>
      <c r="C114" s="8"/>
      <c r="D114" s="14"/>
      <c r="E114" s="8"/>
      <c r="F114" s="14"/>
      <c r="G114" s="8"/>
      <c r="H114" s="14"/>
      <c r="I114" s="8"/>
      <c r="J114" s="14"/>
      <c r="K114" s="8"/>
      <c r="L114" s="14"/>
      <c r="M114" s="8"/>
      <c r="N114" s="14"/>
      <c r="O114" s="11">
        <f t="shared" si="15"/>
        <v>0</v>
      </c>
    </row>
    <row r="115" spans="1:15" hidden="1" outlineLevel="1" x14ac:dyDescent="0.35">
      <c r="A115" s="9" t="s">
        <v>133</v>
      </c>
      <c r="B115" s="10">
        <f t="shared" si="13"/>
        <v>0</v>
      </c>
      <c r="C115" s="10"/>
      <c r="D115" s="10"/>
      <c r="E115" s="10"/>
      <c r="F115" s="10"/>
      <c r="G115" s="10"/>
      <c r="H115" s="10"/>
      <c r="I115" s="10"/>
      <c r="J115" s="10"/>
      <c r="K115" s="10"/>
      <c r="L115" s="10"/>
      <c r="M115" s="10"/>
      <c r="N115" s="10"/>
      <c r="O115" s="11">
        <f t="shared" si="15"/>
        <v>0</v>
      </c>
    </row>
    <row r="116" spans="1:15" hidden="1" outlineLevel="1" x14ac:dyDescent="0.35">
      <c r="A116" s="7" t="s">
        <v>134</v>
      </c>
      <c r="B116" s="14">
        <f t="shared" si="13"/>
        <v>0</v>
      </c>
      <c r="C116" s="8"/>
      <c r="D116" s="14"/>
      <c r="E116" s="8"/>
      <c r="F116" s="14"/>
      <c r="G116" s="8"/>
      <c r="H116" s="14"/>
      <c r="I116" s="8"/>
      <c r="J116" s="14"/>
      <c r="K116" s="8"/>
      <c r="L116" s="14"/>
      <c r="M116" s="8"/>
      <c r="N116" s="14"/>
      <c r="O116" s="11">
        <f t="shared" si="15"/>
        <v>0</v>
      </c>
    </row>
    <row r="117" spans="1:15" hidden="1" outlineLevel="1" x14ac:dyDescent="0.35">
      <c r="A117" s="9" t="s">
        <v>135</v>
      </c>
      <c r="B117" s="10">
        <f t="shared" si="13"/>
        <v>0</v>
      </c>
      <c r="C117" s="10"/>
      <c r="D117" s="10"/>
      <c r="E117" s="10"/>
      <c r="F117" s="10"/>
      <c r="G117" s="10"/>
      <c r="H117" s="10"/>
      <c r="I117" s="10"/>
      <c r="J117" s="10"/>
      <c r="K117" s="10"/>
      <c r="L117" s="10"/>
      <c r="M117" s="10"/>
      <c r="N117" s="10"/>
      <c r="O117" s="11">
        <f t="shared" si="15"/>
        <v>0</v>
      </c>
    </row>
    <row r="118" spans="1:15" hidden="1" outlineLevel="1" x14ac:dyDescent="0.35">
      <c r="A118" s="7" t="s">
        <v>136</v>
      </c>
      <c r="B118" s="14">
        <f t="shared" si="13"/>
        <v>0</v>
      </c>
      <c r="C118" s="8"/>
      <c r="D118" s="8"/>
      <c r="E118" s="8"/>
      <c r="F118" s="8"/>
      <c r="G118" s="8"/>
      <c r="H118" s="8"/>
      <c r="I118" s="8"/>
      <c r="J118" s="8"/>
      <c r="K118" s="8"/>
      <c r="L118" s="8"/>
      <c r="M118" s="8"/>
      <c r="N118" s="8"/>
      <c r="O118" s="11">
        <f t="shared" si="15"/>
        <v>0</v>
      </c>
    </row>
    <row r="119" spans="1:15" hidden="1" outlineLevel="1" x14ac:dyDescent="0.35">
      <c r="A119" s="9" t="s">
        <v>137</v>
      </c>
      <c r="B119" s="10">
        <f t="shared" si="13"/>
        <v>57922800</v>
      </c>
      <c r="C119" s="10">
        <v>4826900</v>
      </c>
      <c r="D119" s="10">
        <v>4826900</v>
      </c>
      <c r="E119" s="10">
        <v>4826900</v>
      </c>
      <c r="F119" s="10">
        <v>4826900</v>
      </c>
      <c r="G119" s="10">
        <v>4826900</v>
      </c>
      <c r="H119" s="10">
        <v>4826900</v>
      </c>
      <c r="I119" s="10">
        <v>4826900</v>
      </c>
      <c r="J119" s="10">
        <v>4826900</v>
      </c>
      <c r="K119" s="10">
        <v>4826900</v>
      </c>
      <c r="L119" s="10">
        <v>4826900</v>
      </c>
      <c r="M119" s="10">
        <v>4826900</v>
      </c>
      <c r="N119" s="10">
        <v>4826900</v>
      </c>
      <c r="O119" s="11">
        <f t="shared" si="15"/>
        <v>0.56314442766668671</v>
      </c>
    </row>
    <row r="120" spans="1:15" hidden="1" outlineLevel="1" x14ac:dyDescent="0.35">
      <c r="A120" s="7" t="s">
        <v>138</v>
      </c>
      <c r="B120" s="14">
        <f t="shared" si="13"/>
        <v>0</v>
      </c>
      <c r="C120" s="8"/>
      <c r="D120" s="14"/>
      <c r="E120" s="8"/>
      <c r="F120" s="14"/>
      <c r="G120" s="8"/>
      <c r="H120" s="14"/>
      <c r="I120" s="8"/>
      <c r="J120" s="14"/>
      <c r="K120" s="8"/>
      <c r="L120" s="14"/>
      <c r="M120" s="8"/>
      <c r="N120" s="14"/>
      <c r="O120" s="11">
        <f t="shared" si="15"/>
        <v>0</v>
      </c>
    </row>
    <row r="121" spans="1:15" hidden="1" outlineLevel="1" x14ac:dyDescent="0.35">
      <c r="A121" s="9" t="s">
        <v>139</v>
      </c>
      <c r="B121" s="10">
        <f t="shared" si="13"/>
        <v>0</v>
      </c>
      <c r="C121" s="10"/>
      <c r="D121" s="10"/>
      <c r="E121" s="10"/>
      <c r="F121" s="10"/>
      <c r="G121" s="10"/>
      <c r="H121" s="10"/>
      <c r="I121" s="10"/>
      <c r="J121" s="10"/>
      <c r="K121" s="10"/>
      <c r="L121" s="10"/>
      <c r="M121" s="10"/>
      <c r="N121" s="10"/>
      <c r="O121" s="11">
        <f t="shared" si="15"/>
        <v>0</v>
      </c>
    </row>
    <row r="122" spans="1:15" hidden="1" outlineLevel="1" x14ac:dyDescent="0.35">
      <c r="A122" s="9" t="s">
        <v>140</v>
      </c>
      <c r="B122" s="10"/>
      <c r="C122" s="10"/>
      <c r="D122" s="10"/>
      <c r="E122" s="10"/>
      <c r="F122" s="10"/>
      <c r="G122" s="10"/>
      <c r="H122" s="10"/>
      <c r="I122" s="10"/>
      <c r="J122" s="10"/>
      <c r="K122" s="10"/>
      <c r="L122" s="10"/>
      <c r="M122" s="10"/>
      <c r="N122" s="10"/>
      <c r="O122" s="11"/>
    </row>
    <row r="123" spans="1:15" hidden="1" outlineLevel="1" x14ac:dyDescent="0.35">
      <c r="A123" s="7" t="s">
        <v>141</v>
      </c>
      <c r="B123" s="14">
        <f t="shared" si="13"/>
        <v>0</v>
      </c>
      <c r="C123" s="8"/>
      <c r="D123" s="14"/>
      <c r="E123" s="8"/>
      <c r="F123" s="14"/>
      <c r="G123" s="8"/>
      <c r="H123" s="14"/>
      <c r="I123" s="8"/>
      <c r="J123" s="14"/>
      <c r="K123" s="8"/>
      <c r="L123" s="14"/>
      <c r="M123" s="8"/>
      <c r="N123" s="14"/>
      <c r="O123" s="11">
        <f t="shared" ref="O123:O162" si="16">B123/$B$163</f>
        <v>0</v>
      </c>
    </row>
    <row r="124" spans="1:15" hidden="1" outlineLevel="1" x14ac:dyDescent="0.35">
      <c r="A124" s="9" t="s">
        <v>142</v>
      </c>
      <c r="B124" s="10">
        <f t="shared" si="13"/>
        <v>54000</v>
      </c>
      <c r="C124" s="10">
        <v>0</v>
      </c>
      <c r="D124" s="10">
        <v>54000</v>
      </c>
      <c r="E124" s="10">
        <v>0</v>
      </c>
      <c r="F124" s="10">
        <v>0</v>
      </c>
      <c r="G124" s="10">
        <v>0</v>
      </c>
      <c r="H124" s="10">
        <v>0</v>
      </c>
      <c r="I124" s="10">
        <v>0</v>
      </c>
      <c r="J124" s="10">
        <v>0</v>
      </c>
      <c r="K124" s="10">
        <v>0</v>
      </c>
      <c r="L124" s="10">
        <v>0</v>
      </c>
      <c r="M124" s="10">
        <v>0</v>
      </c>
      <c r="N124" s="10">
        <v>0</v>
      </c>
      <c r="O124" s="11">
        <f t="shared" si="16"/>
        <v>5.2500568159690277E-4</v>
      </c>
    </row>
    <row r="125" spans="1:15" hidden="1" outlineLevel="1" x14ac:dyDescent="0.35">
      <c r="A125" s="7" t="s">
        <v>143</v>
      </c>
      <c r="B125" s="14">
        <f t="shared" si="13"/>
        <v>360000</v>
      </c>
      <c r="C125" s="8">
        <v>30000</v>
      </c>
      <c r="D125" s="14">
        <v>30000</v>
      </c>
      <c r="E125" s="8">
        <v>30000</v>
      </c>
      <c r="F125" s="14">
        <v>30000</v>
      </c>
      <c r="G125" s="8">
        <v>30000</v>
      </c>
      <c r="H125" s="14">
        <v>30000</v>
      </c>
      <c r="I125" s="8">
        <v>30000</v>
      </c>
      <c r="J125" s="14">
        <v>30000</v>
      </c>
      <c r="K125" s="8">
        <v>30000</v>
      </c>
      <c r="L125" s="14">
        <v>30000</v>
      </c>
      <c r="M125" s="8">
        <v>30000</v>
      </c>
      <c r="N125" s="14">
        <v>30000</v>
      </c>
      <c r="O125" s="11">
        <f t="shared" si="16"/>
        <v>3.5000378773126853E-3</v>
      </c>
    </row>
    <row r="126" spans="1:15" hidden="1" outlineLevel="1" x14ac:dyDescent="0.35">
      <c r="A126" s="9" t="s">
        <v>144</v>
      </c>
      <c r="B126" s="10">
        <f t="shared" si="13"/>
        <v>0</v>
      </c>
      <c r="C126" s="10"/>
      <c r="D126" s="10"/>
      <c r="E126" s="10"/>
      <c r="F126" s="10"/>
      <c r="G126" s="10"/>
      <c r="H126" s="10"/>
      <c r="I126" s="10"/>
      <c r="J126" s="10"/>
      <c r="K126" s="10"/>
      <c r="L126" s="10"/>
      <c r="M126" s="10"/>
      <c r="N126" s="10"/>
      <c r="O126" s="11">
        <f t="shared" si="16"/>
        <v>0</v>
      </c>
    </row>
    <row r="127" spans="1:15" hidden="1" outlineLevel="1" x14ac:dyDescent="0.35">
      <c r="A127" s="7" t="s">
        <v>145</v>
      </c>
      <c r="B127" s="14">
        <f t="shared" si="13"/>
        <v>18000</v>
      </c>
      <c r="C127" s="8">
        <v>1500</v>
      </c>
      <c r="D127" s="14">
        <v>1500</v>
      </c>
      <c r="E127" s="8">
        <v>1500</v>
      </c>
      <c r="F127" s="14">
        <v>1500</v>
      </c>
      <c r="G127" s="8">
        <v>1500</v>
      </c>
      <c r="H127" s="14">
        <v>1500</v>
      </c>
      <c r="I127" s="8">
        <v>1500</v>
      </c>
      <c r="J127" s="14">
        <v>1500</v>
      </c>
      <c r="K127" s="8">
        <v>1500</v>
      </c>
      <c r="L127" s="14">
        <v>1500</v>
      </c>
      <c r="M127" s="8">
        <v>1500</v>
      </c>
      <c r="N127" s="14">
        <v>1500</v>
      </c>
      <c r="O127" s="11">
        <f t="shared" si="16"/>
        <v>1.7500189386563425E-4</v>
      </c>
    </row>
    <row r="128" spans="1:15" hidden="1" outlineLevel="1" x14ac:dyDescent="0.35">
      <c r="A128" s="9" t="s">
        <v>146</v>
      </c>
      <c r="B128" s="10">
        <f t="shared" si="13"/>
        <v>0</v>
      </c>
      <c r="C128" s="10"/>
      <c r="D128" s="10"/>
      <c r="E128" s="10"/>
      <c r="F128" s="10"/>
      <c r="G128" s="10"/>
      <c r="H128" s="10"/>
      <c r="I128" s="10"/>
      <c r="J128" s="10"/>
      <c r="K128" s="10"/>
      <c r="L128" s="10"/>
      <c r="M128" s="10"/>
      <c r="N128" s="10"/>
      <c r="O128" s="11">
        <f t="shared" si="16"/>
        <v>0</v>
      </c>
    </row>
    <row r="129" spans="1:16" hidden="1" outlineLevel="1" x14ac:dyDescent="0.35">
      <c r="A129" s="7" t="s">
        <v>147</v>
      </c>
      <c r="B129" s="14">
        <f t="shared" si="13"/>
        <v>0</v>
      </c>
      <c r="C129" s="8"/>
      <c r="D129" s="14"/>
      <c r="E129" s="8"/>
      <c r="F129" s="14"/>
      <c r="G129" s="8"/>
      <c r="H129" s="14"/>
      <c r="I129" s="8"/>
      <c r="J129" s="14"/>
      <c r="K129" s="8"/>
      <c r="L129" s="14"/>
      <c r="M129" s="8"/>
      <c r="N129" s="14"/>
      <c r="O129" s="11">
        <f t="shared" si="16"/>
        <v>0</v>
      </c>
      <c r="P129" s="1" t="s">
        <v>148</v>
      </c>
    </row>
    <row r="130" spans="1:16" hidden="1" outlineLevel="1" x14ac:dyDescent="0.35">
      <c r="A130" s="9" t="s">
        <v>149</v>
      </c>
      <c r="B130" s="10">
        <f t="shared" si="13"/>
        <v>0</v>
      </c>
      <c r="C130" s="10"/>
      <c r="D130" s="10"/>
      <c r="E130" s="10"/>
      <c r="F130" s="10"/>
      <c r="G130" s="10"/>
      <c r="H130" s="10"/>
      <c r="I130" s="10"/>
      <c r="J130" s="10"/>
      <c r="K130" s="10"/>
      <c r="L130" s="10"/>
      <c r="M130" s="10"/>
      <c r="N130" s="10"/>
      <c r="O130" s="11">
        <f t="shared" si="16"/>
        <v>0</v>
      </c>
    </row>
    <row r="131" spans="1:16" hidden="1" outlineLevel="1" x14ac:dyDescent="0.35">
      <c r="A131" s="7" t="s">
        <v>150</v>
      </c>
      <c r="B131" s="14">
        <f t="shared" si="13"/>
        <v>28800</v>
      </c>
      <c r="C131" s="8">
        <v>2400</v>
      </c>
      <c r="D131" s="14">
        <v>2400</v>
      </c>
      <c r="E131" s="8">
        <v>2400</v>
      </c>
      <c r="F131" s="14">
        <v>2400</v>
      </c>
      <c r="G131" s="8">
        <v>2400</v>
      </c>
      <c r="H131" s="14">
        <v>2400</v>
      </c>
      <c r="I131" s="8">
        <v>2400</v>
      </c>
      <c r="J131" s="14">
        <v>2400</v>
      </c>
      <c r="K131" s="8">
        <v>2400</v>
      </c>
      <c r="L131" s="14">
        <v>2400</v>
      </c>
      <c r="M131" s="8">
        <v>2400</v>
      </c>
      <c r="N131" s="14">
        <v>2400</v>
      </c>
      <c r="O131" s="11">
        <f t="shared" si="16"/>
        <v>2.8000303018501483E-4</v>
      </c>
    </row>
    <row r="132" spans="1:16" hidden="1" outlineLevel="1" x14ac:dyDescent="0.35">
      <c r="A132" s="9" t="s">
        <v>151</v>
      </c>
      <c r="B132" s="10">
        <f t="shared" si="13"/>
        <v>0</v>
      </c>
      <c r="C132" s="10"/>
      <c r="D132" s="10"/>
      <c r="E132" s="10"/>
      <c r="F132" s="10"/>
      <c r="G132" s="10"/>
      <c r="H132" s="10"/>
      <c r="I132" s="10"/>
      <c r="J132" s="10"/>
      <c r="K132" s="10"/>
      <c r="L132" s="10"/>
      <c r="M132" s="10"/>
      <c r="N132" s="10"/>
      <c r="O132" s="11">
        <f t="shared" si="16"/>
        <v>0</v>
      </c>
    </row>
    <row r="133" spans="1:16" hidden="1" outlineLevel="1" x14ac:dyDescent="0.35">
      <c r="A133" s="7" t="s">
        <v>152</v>
      </c>
      <c r="B133" s="14">
        <f t="shared" si="13"/>
        <v>0</v>
      </c>
      <c r="C133" s="8"/>
      <c r="D133" s="14"/>
      <c r="E133" s="8"/>
      <c r="F133" s="14"/>
      <c r="G133" s="8"/>
      <c r="H133" s="14"/>
      <c r="I133" s="8"/>
      <c r="J133" s="14"/>
      <c r="K133" s="8"/>
      <c r="L133" s="14"/>
      <c r="M133" s="8"/>
      <c r="N133" s="14"/>
      <c r="O133" s="11">
        <f t="shared" si="16"/>
        <v>0</v>
      </c>
    </row>
    <row r="134" spans="1:16" hidden="1" outlineLevel="1" x14ac:dyDescent="0.35">
      <c r="A134" s="9" t="s">
        <v>153</v>
      </c>
      <c r="B134" s="10">
        <f t="shared" si="13"/>
        <v>0</v>
      </c>
      <c r="C134" s="10"/>
      <c r="D134" s="10"/>
      <c r="E134" s="10"/>
      <c r="F134" s="10"/>
      <c r="G134" s="10"/>
      <c r="H134" s="10"/>
      <c r="I134" s="10"/>
      <c r="J134" s="10"/>
      <c r="K134" s="10"/>
      <c r="L134" s="10"/>
      <c r="M134" s="10"/>
      <c r="N134" s="10"/>
      <c r="O134" s="11">
        <f t="shared" si="16"/>
        <v>0</v>
      </c>
    </row>
    <row r="135" spans="1:16" hidden="1" outlineLevel="1" x14ac:dyDescent="0.35">
      <c r="A135" s="7" t="s">
        <v>154</v>
      </c>
      <c r="B135" s="14">
        <f t="shared" si="13"/>
        <v>0</v>
      </c>
      <c r="C135" s="8"/>
      <c r="D135" s="8"/>
      <c r="E135" s="8"/>
      <c r="F135" s="8"/>
      <c r="G135" s="8"/>
      <c r="H135" s="8"/>
      <c r="I135" s="8"/>
      <c r="J135" s="8"/>
      <c r="K135" s="8"/>
      <c r="L135" s="8"/>
      <c r="M135" s="8"/>
      <c r="N135" s="8"/>
      <c r="O135" s="11">
        <f t="shared" si="16"/>
        <v>0</v>
      </c>
      <c r="P135" s="1" t="s">
        <v>155</v>
      </c>
    </row>
    <row r="136" spans="1:16" hidden="1" outlineLevel="1" x14ac:dyDescent="0.35">
      <c r="A136" s="9" t="s">
        <v>156</v>
      </c>
      <c r="B136" s="10">
        <f t="shared" si="13"/>
        <v>0</v>
      </c>
      <c r="C136" s="10"/>
      <c r="D136" s="10"/>
      <c r="E136" s="10"/>
      <c r="F136" s="10"/>
      <c r="G136" s="10"/>
      <c r="H136" s="10"/>
      <c r="I136" s="10"/>
      <c r="J136" s="10"/>
      <c r="K136" s="10"/>
      <c r="L136" s="10"/>
      <c r="M136" s="10"/>
      <c r="N136" s="10"/>
      <c r="O136" s="11">
        <f t="shared" si="16"/>
        <v>0</v>
      </c>
    </row>
    <row r="137" spans="1:16" hidden="1" outlineLevel="1" x14ac:dyDescent="0.35">
      <c r="A137" s="7" t="s">
        <v>157</v>
      </c>
      <c r="B137" s="14">
        <f t="shared" si="13"/>
        <v>0</v>
      </c>
      <c r="C137" s="8"/>
      <c r="D137" s="14"/>
      <c r="E137" s="8"/>
      <c r="F137" s="14"/>
      <c r="G137" s="8"/>
      <c r="H137" s="14"/>
      <c r="I137" s="8"/>
      <c r="J137" s="14"/>
      <c r="K137" s="8"/>
      <c r="L137" s="14"/>
      <c r="M137" s="8"/>
      <c r="N137" s="14"/>
      <c r="O137" s="11">
        <f t="shared" si="16"/>
        <v>0</v>
      </c>
    </row>
    <row r="138" spans="1:16" hidden="1" outlineLevel="1" x14ac:dyDescent="0.35">
      <c r="A138" s="9" t="s">
        <v>158</v>
      </c>
      <c r="B138" s="10">
        <f t="shared" si="13"/>
        <v>0</v>
      </c>
      <c r="C138" s="10"/>
      <c r="D138" s="10"/>
      <c r="E138" s="10"/>
      <c r="F138" s="10"/>
      <c r="G138" s="10"/>
      <c r="H138" s="10"/>
      <c r="I138" s="10"/>
      <c r="J138" s="10"/>
      <c r="K138" s="10"/>
      <c r="L138" s="10"/>
      <c r="M138" s="10"/>
      <c r="N138" s="10"/>
      <c r="O138" s="11">
        <f t="shared" si="16"/>
        <v>0</v>
      </c>
    </row>
    <row r="139" spans="1:16" hidden="1" outlineLevel="1" x14ac:dyDescent="0.35">
      <c r="A139" s="7" t="s">
        <v>159</v>
      </c>
      <c r="B139" s="14">
        <f t="shared" si="13"/>
        <v>0</v>
      </c>
      <c r="C139" s="8"/>
      <c r="D139" s="14"/>
      <c r="E139" s="8"/>
      <c r="F139" s="14"/>
      <c r="G139" s="8"/>
      <c r="H139" s="14"/>
      <c r="I139" s="8"/>
      <c r="J139" s="14"/>
      <c r="K139" s="8"/>
      <c r="L139" s="14"/>
      <c r="M139" s="8"/>
      <c r="N139" s="14"/>
      <c r="O139" s="11">
        <f t="shared" si="16"/>
        <v>0</v>
      </c>
    </row>
    <row r="140" spans="1:16" hidden="1" outlineLevel="1" x14ac:dyDescent="0.35">
      <c r="A140" s="9" t="s">
        <v>160</v>
      </c>
      <c r="B140" s="10">
        <f t="shared" si="13"/>
        <v>0</v>
      </c>
      <c r="C140" s="10"/>
      <c r="D140" s="10"/>
      <c r="E140" s="10"/>
      <c r="F140" s="10"/>
      <c r="G140" s="10"/>
      <c r="H140" s="10"/>
      <c r="I140" s="10"/>
      <c r="J140" s="10"/>
      <c r="K140" s="10"/>
      <c r="L140" s="10"/>
      <c r="M140" s="10"/>
      <c r="N140" s="10"/>
      <c r="O140" s="11">
        <f t="shared" si="16"/>
        <v>0</v>
      </c>
    </row>
    <row r="141" spans="1:16" hidden="1" outlineLevel="1" x14ac:dyDescent="0.35">
      <c r="A141" s="7" t="s">
        <v>161</v>
      </c>
      <c r="B141" s="14">
        <f t="shared" si="13"/>
        <v>0</v>
      </c>
      <c r="C141" s="8"/>
      <c r="D141" s="14"/>
      <c r="E141" s="8"/>
      <c r="F141" s="14"/>
      <c r="G141" s="8"/>
      <c r="H141" s="14"/>
      <c r="I141" s="8"/>
      <c r="J141" s="14"/>
      <c r="K141" s="8"/>
      <c r="L141" s="14"/>
      <c r="M141" s="8"/>
      <c r="N141" s="14"/>
      <c r="O141" s="11">
        <f t="shared" si="16"/>
        <v>0</v>
      </c>
    </row>
    <row r="142" spans="1:16" hidden="1" outlineLevel="1" x14ac:dyDescent="0.35">
      <c r="A142" s="9" t="s">
        <v>162</v>
      </c>
      <c r="B142" s="10">
        <f t="shared" si="13"/>
        <v>7200000</v>
      </c>
      <c r="C142" s="10">
        <v>600000</v>
      </c>
      <c r="D142" s="10">
        <v>600000</v>
      </c>
      <c r="E142" s="10">
        <v>600000</v>
      </c>
      <c r="F142" s="10">
        <v>600000</v>
      </c>
      <c r="G142" s="10">
        <v>600000</v>
      </c>
      <c r="H142" s="10">
        <v>600000</v>
      </c>
      <c r="I142" s="10">
        <v>600000</v>
      </c>
      <c r="J142" s="10">
        <v>600000</v>
      </c>
      <c r="K142" s="10">
        <v>600000</v>
      </c>
      <c r="L142" s="10">
        <v>600000</v>
      </c>
      <c r="M142" s="10">
        <v>600000</v>
      </c>
      <c r="N142" s="10">
        <v>600000</v>
      </c>
      <c r="O142" s="11">
        <f t="shared" si="16"/>
        <v>7.0000757546253706E-2</v>
      </c>
    </row>
    <row r="143" spans="1:16" hidden="1" outlineLevel="1" x14ac:dyDescent="0.35">
      <c r="A143" s="7" t="s">
        <v>163</v>
      </c>
      <c r="B143" s="14">
        <f t="shared" si="13"/>
        <v>1296000</v>
      </c>
      <c r="C143" s="8">
        <v>108000</v>
      </c>
      <c r="D143" s="14">
        <v>108000</v>
      </c>
      <c r="E143" s="8">
        <v>108000</v>
      </c>
      <c r="F143" s="14">
        <v>108000</v>
      </c>
      <c r="G143" s="8">
        <v>108000</v>
      </c>
      <c r="H143" s="14">
        <v>108000</v>
      </c>
      <c r="I143" s="8">
        <v>108000</v>
      </c>
      <c r="J143" s="14">
        <v>108000</v>
      </c>
      <c r="K143" s="8">
        <v>108000</v>
      </c>
      <c r="L143" s="14">
        <v>108000</v>
      </c>
      <c r="M143" s="8">
        <v>108000</v>
      </c>
      <c r="N143" s="14">
        <v>108000</v>
      </c>
      <c r="O143" s="11">
        <f t="shared" si="16"/>
        <v>1.2600136358325667E-2</v>
      </c>
    </row>
    <row r="144" spans="1:16" hidden="1" outlineLevel="1" x14ac:dyDescent="0.35">
      <c r="A144" s="9" t="s">
        <v>164</v>
      </c>
      <c r="B144" s="10">
        <f t="shared" si="13"/>
        <v>0</v>
      </c>
      <c r="C144" s="10"/>
      <c r="D144" s="10"/>
      <c r="E144" s="10"/>
      <c r="F144" s="10"/>
      <c r="G144" s="10"/>
      <c r="H144" s="10"/>
      <c r="I144" s="10"/>
      <c r="J144" s="10"/>
      <c r="K144" s="10"/>
      <c r="L144" s="10"/>
      <c r="M144" s="10"/>
      <c r="N144" s="10"/>
      <c r="O144" s="11">
        <f t="shared" si="16"/>
        <v>0</v>
      </c>
    </row>
    <row r="145" spans="1:16" hidden="1" outlineLevel="1" x14ac:dyDescent="0.35">
      <c r="A145" s="7" t="s">
        <v>165</v>
      </c>
      <c r="B145" s="14">
        <f t="shared" si="13"/>
        <v>0</v>
      </c>
      <c r="C145" s="8"/>
      <c r="D145" s="14"/>
      <c r="E145" s="8"/>
      <c r="F145" s="14"/>
      <c r="G145" s="8"/>
      <c r="H145" s="14"/>
      <c r="I145" s="8"/>
      <c r="J145" s="14"/>
      <c r="K145" s="8"/>
      <c r="L145" s="14"/>
      <c r="M145" s="8"/>
      <c r="N145" s="14"/>
      <c r="O145" s="11">
        <f t="shared" si="16"/>
        <v>0</v>
      </c>
    </row>
    <row r="146" spans="1:16" hidden="1" outlineLevel="1" x14ac:dyDescent="0.35">
      <c r="A146" s="9" t="s">
        <v>114</v>
      </c>
      <c r="B146" s="10">
        <f t="shared" ref="B146:B148" si="17">SUM(C146:N146)</f>
        <v>0</v>
      </c>
      <c r="C146" s="10"/>
      <c r="D146" s="10"/>
      <c r="E146" s="10"/>
      <c r="F146" s="10"/>
      <c r="G146" s="10"/>
      <c r="H146" s="10"/>
      <c r="I146" s="10"/>
      <c r="J146" s="10"/>
      <c r="K146" s="10"/>
      <c r="L146" s="10"/>
      <c r="M146" s="10"/>
      <c r="N146" s="10"/>
      <c r="O146" s="11">
        <f t="shared" si="16"/>
        <v>0</v>
      </c>
    </row>
    <row r="147" spans="1:16" hidden="1" outlineLevel="1" x14ac:dyDescent="0.35">
      <c r="A147" s="7" t="s">
        <v>166</v>
      </c>
      <c r="B147" s="14">
        <f t="shared" si="17"/>
        <v>0</v>
      </c>
      <c r="C147" s="8"/>
      <c r="D147" s="14"/>
      <c r="E147" s="8"/>
      <c r="F147" s="14"/>
      <c r="G147" s="8"/>
      <c r="H147" s="14"/>
      <c r="I147" s="8"/>
      <c r="J147" s="14"/>
      <c r="K147" s="8"/>
      <c r="L147" s="14"/>
      <c r="M147" s="8"/>
      <c r="N147" s="14"/>
      <c r="O147" s="11">
        <f t="shared" si="16"/>
        <v>0</v>
      </c>
    </row>
    <row r="148" spans="1:16" hidden="1" outlineLevel="1" x14ac:dyDescent="0.35">
      <c r="A148" s="9" t="s">
        <v>167</v>
      </c>
      <c r="B148" s="10">
        <f t="shared" si="17"/>
        <v>21600</v>
      </c>
      <c r="C148" s="10">
        <v>1800</v>
      </c>
      <c r="D148" s="10">
        <v>1800</v>
      </c>
      <c r="E148" s="10">
        <v>1800</v>
      </c>
      <c r="F148" s="10">
        <v>1800</v>
      </c>
      <c r="G148" s="10">
        <v>1800</v>
      </c>
      <c r="H148" s="10">
        <v>1800</v>
      </c>
      <c r="I148" s="10">
        <v>1800</v>
      </c>
      <c r="J148" s="10">
        <v>1800</v>
      </c>
      <c r="K148" s="10">
        <v>1800</v>
      </c>
      <c r="L148" s="10">
        <v>1800</v>
      </c>
      <c r="M148" s="10">
        <v>1800</v>
      </c>
      <c r="N148" s="10">
        <v>1800</v>
      </c>
      <c r="O148" s="11">
        <f t="shared" si="16"/>
        <v>2.1000227263876111E-4</v>
      </c>
    </row>
    <row r="149" spans="1:16" s="13" customFormat="1" collapsed="1" x14ac:dyDescent="0.35">
      <c r="A149" s="4" t="s">
        <v>168</v>
      </c>
      <c r="B149" s="6">
        <f>SUM(B84:B148)</f>
        <v>67351200</v>
      </c>
      <c r="C149" s="6">
        <f t="shared" ref="C149:N149" si="18">SUM(C84:C148)</f>
        <v>5621600</v>
      </c>
      <c r="D149" s="6">
        <f t="shared" si="18"/>
        <v>5657600</v>
      </c>
      <c r="E149" s="6">
        <f t="shared" si="18"/>
        <v>5603600</v>
      </c>
      <c r="F149" s="6">
        <f t="shared" si="18"/>
        <v>5603600</v>
      </c>
      <c r="G149" s="6">
        <f t="shared" si="18"/>
        <v>5603600</v>
      </c>
      <c r="H149" s="6">
        <f t="shared" si="18"/>
        <v>5621600</v>
      </c>
      <c r="I149" s="6">
        <f t="shared" si="18"/>
        <v>5603600</v>
      </c>
      <c r="J149" s="6">
        <f t="shared" si="18"/>
        <v>5603600</v>
      </c>
      <c r="K149" s="6">
        <f t="shared" si="18"/>
        <v>5603600</v>
      </c>
      <c r="L149" s="6">
        <f t="shared" si="18"/>
        <v>5603600</v>
      </c>
      <c r="M149" s="6">
        <f t="shared" si="18"/>
        <v>5603600</v>
      </c>
      <c r="N149" s="6">
        <f t="shared" si="18"/>
        <v>5621600</v>
      </c>
      <c r="O149" s="11">
        <f t="shared" si="16"/>
        <v>0.65481041967350595</v>
      </c>
      <c r="P149" s="12"/>
    </row>
    <row r="150" spans="1:16" s="13" customFormat="1" x14ac:dyDescent="0.35">
      <c r="A150" s="4" t="s">
        <v>169</v>
      </c>
      <c r="B150" s="6">
        <f>SUM(C150:N150)</f>
        <v>360000</v>
      </c>
      <c r="C150" s="6">
        <v>30000</v>
      </c>
      <c r="D150" s="6">
        <v>30000</v>
      </c>
      <c r="E150" s="6">
        <v>30000</v>
      </c>
      <c r="F150" s="6">
        <v>30000</v>
      </c>
      <c r="G150" s="6">
        <v>30000</v>
      </c>
      <c r="H150" s="6">
        <v>30000</v>
      </c>
      <c r="I150" s="6">
        <v>30000</v>
      </c>
      <c r="J150" s="6">
        <v>30000</v>
      </c>
      <c r="K150" s="6">
        <v>30000</v>
      </c>
      <c r="L150" s="6">
        <v>30000</v>
      </c>
      <c r="M150" s="6">
        <v>30000</v>
      </c>
      <c r="N150" s="6">
        <v>30000</v>
      </c>
      <c r="O150" s="11">
        <f t="shared" si="16"/>
        <v>3.5000378773126853E-3</v>
      </c>
      <c r="P150" s="12" t="s">
        <v>170</v>
      </c>
    </row>
    <row r="151" spans="1:16" hidden="1" outlineLevel="1" x14ac:dyDescent="0.35">
      <c r="A151" s="7" t="s">
        <v>171</v>
      </c>
      <c r="B151" s="14">
        <f t="shared" ref="B151" si="19">SUM(C151:N151)</f>
        <v>162768.95999999996</v>
      </c>
      <c r="C151" s="8">
        <v>13564.08</v>
      </c>
      <c r="D151" s="8">
        <v>13564.08</v>
      </c>
      <c r="E151" s="8">
        <v>13564.08</v>
      </c>
      <c r="F151" s="8">
        <v>13564.08</v>
      </c>
      <c r="G151" s="8">
        <v>13564.08</v>
      </c>
      <c r="H151" s="8">
        <v>13564.08</v>
      </c>
      <c r="I151" s="8">
        <v>13564.08</v>
      </c>
      <c r="J151" s="8">
        <v>13564.08</v>
      </c>
      <c r="K151" s="8">
        <v>13564.08</v>
      </c>
      <c r="L151" s="8">
        <v>13564.08</v>
      </c>
      <c r="M151" s="8">
        <v>13564.08</v>
      </c>
      <c r="N151" s="8">
        <v>13564.08</v>
      </c>
      <c r="O151" s="11">
        <f t="shared" si="16"/>
        <v>1.5824931256966479E-3</v>
      </c>
    </row>
    <row r="152" spans="1:16" s="13" customFormat="1" collapsed="1" x14ac:dyDescent="0.35">
      <c r="A152" s="4" t="s">
        <v>172</v>
      </c>
      <c r="B152" s="6">
        <f>B151</f>
        <v>162768.95999999996</v>
      </c>
      <c r="C152" s="6">
        <f t="shared" ref="C152:N152" si="20">C151</f>
        <v>13564.08</v>
      </c>
      <c r="D152" s="6">
        <f t="shared" si="20"/>
        <v>13564.08</v>
      </c>
      <c r="E152" s="6">
        <f t="shared" si="20"/>
        <v>13564.08</v>
      </c>
      <c r="F152" s="6">
        <f t="shared" si="20"/>
        <v>13564.08</v>
      </c>
      <c r="G152" s="6">
        <f t="shared" si="20"/>
        <v>13564.08</v>
      </c>
      <c r="H152" s="6">
        <f t="shared" si="20"/>
        <v>13564.08</v>
      </c>
      <c r="I152" s="6">
        <f t="shared" si="20"/>
        <v>13564.08</v>
      </c>
      <c r="J152" s="6">
        <f t="shared" si="20"/>
        <v>13564.08</v>
      </c>
      <c r="K152" s="6">
        <f t="shared" si="20"/>
        <v>13564.08</v>
      </c>
      <c r="L152" s="6">
        <f t="shared" si="20"/>
        <v>13564.08</v>
      </c>
      <c r="M152" s="6">
        <f t="shared" si="20"/>
        <v>13564.08</v>
      </c>
      <c r="N152" s="6">
        <f t="shared" si="20"/>
        <v>13564.08</v>
      </c>
      <c r="O152" s="11">
        <f t="shared" si="16"/>
        <v>1.5824931256966479E-3</v>
      </c>
      <c r="P152" s="12" t="s">
        <v>173</v>
      </c>
    </row>
    <row r="153" spans="1:16" s="13" customFormat="1" x14ac:dyDescent="0.35">
      <c r="A153" s="4" t="s">
        <v>174</v>
      </c>
      <c r="B153" s="6">
        <f>SUM(C153:N153)</f>
        <v>71280</v>
      </c>
      <c r="C153" s="6">
        <v>5940</v>
      </c>
      <c r="D153" s="6">
        <v>5940</v>
      </c>
      <c r="E153" s="6">
        <v>5940</v>
      </c>
      <c r="F153" s="6">
        <v>5940</v>
      </c>
      <c r="G153" s="6">
        <v>5940</v>
      </c>
      <c r="H153" s="6">
        <v>5940</v>
      </c>
      <c r="I153" s="6">
        <v>5940</v>
      </c>
      <c r="J153" s="6">
        <v>5940</v>
      </c>
      <c r="K153" s="6">
        <v>5940</v>
      </c>
      <c r="L153" s="6">
        <v>5940</v>
      </c>
      <c r="M153" s="6">
        <v>5940</v>
      </c>
      <c r="N153" s="6">
        <v>5940</v>
      </c>
      <c r="O153" s="11">
        <f t="shared" si="16"/>
        <v>6.930074997079117E-4</v>
      </c>
      <c r="P153" s="12"/>
    </row>
    <row r="154" spans="1:16" hidden="1" outlineLevel="1" x14ac:dyDescent="0.35">
      <c r="A154" s="7" t="s">
        <v>175</v>
      </c>
      <c r="B154" s="14">
        <f t="shared" ref="B154:B161" si="21">SUM(C154:N154)</f>
        <v>435643.68000000011</v>
      </c>
      <c r="C154" s="8">
        <v>36303.64</v>
      </c>
      <c r="D154" s="8">
        <v>36303.64</v>
      </c>
      <c r="E154" s="8">
        <v>36303.64</v>
      </c>
      <c r="F154" s="8">
        <v>36303.64</v>
      </c>
      <c r="G154" s="8">
        <v>36303.64</v>
      </c>
      <c r="H154" s="8">
        <v>36303.64</v>
      </c>
      <c r="I154" s="8">
        <v>36303.64</v>
      </c>
      <c r="J154" s="8">
        <v>36303.64</v>
      </c>
      <c r="K154" s="8">
        <v>36303.64</v>
      </c>
      <c r="L154" s="8">
        <v>36303.64</v>
      </c>
      <c r="M154" s="8">
        <v>36303.64</v>
      </c>
      <c r="N154" s="8">
        <v>36303.64</v>
      </c>
      <c r="O154" s="11">
        <f t="shared" si="16"/>
        <v>4.2354705028107972E-3</v>
      </c>
    </row>
    <row r="155" spans="1:16" hidden="1" outlineLevel="1" x14ac:dyDescent="0.35">
      <c r="A155" s="9" t="s">
        <v>176</v>
      </c>
      <c r="B155" s="10">
        <f t="shared" si="21"/>
        <v>1367520</v>
      </c>
      <c r="C155" s="10">
        <v>113960</v>
      </c>
      <c r="D155" s="10">
        <v>113960</v>
      </c>
      <c r="E155" s="10">
        <v>113960</v>
      </c>
      <c r="F155" s="10">
        <v>113960</v>
      </c>
      <c r="G155" s="10">
        <v>113960</v>
      </c>
      <c r="H155" s="10">
        <v>113960</v>
      </c>
      <c r="I155" s="10">
        <v>113960</v>
      </c>
      <c r="J155" s="10">
        <v>113960</v>
      </c>
      <c r="K155" s="10">
        <v>113960</v>
      </c>
      <c r="L155" s="10">
        <v>113960</v>
      </c>
      <c r="M155" s="10">
        <v>113960</v>
      </c>
      <c r="N155" s="10">
        <v>113960</v>
      </c>
      <c r="O155" s="11">
        <f t="shared" si="16"/>
        <v>1.3295477216618454E-2</v>
      </c>
    </row>
    <row r="156" spans="1:16" s="13" customFormat="1" collapsed="1" x14ac:dyDescent="0.35">
      <c r="A156" s="4" t="s">
        <v>177</v>
      </c>
      <c r="B156" s="6">
        <f>SUM(B154:B155)</f>
        <v>1803163.6800000002</v>
      </c>
      <c r="C156" s="6">
        <f t="shared" ref="C156:N156" si="22">SUM(C154:C155)</f>
        <v>150263.64000000001</v>
      </c>
      <c r="D156" s="6">
        <f t="shared" si="22"/>
        <v>150263.64000000001</v>
      </c>
      <c r="E156" s="6">
        <f t="shared" si="22"/>
        <v>150263.64000000001</v>
      </c>
      <c r="F156" s="6">
        <f t="shared" si="22"/>
        <v>150263.64000000001</v>
      </c>
      <c r="G156" s="6">
        <f t="shared" si="22"/>
        <v>150263.64000000001</v>
      </c>
      <c r="H156" s="6">
        <f t="shared" si="22"/>
        <v>150263.64000000001</v>
      </c>
      <c r="I156" s="6">
        <f t="shared" si="22"/>
        <v>150263.64000000001</v>
      </c>
      <c r="J156" s="6">
        <f t="shared" si="22"/>
        <v>150263.64000000001</v>
      </c>
      <c r="K156" s="6">
        <f t="shared" si="22"/>
        <v>150263.64000000001</v>
      </c>
      <c r="L156" s="6">
        <f t="shared" si="22"/>
        <v>150263.64000000001</v>
      </c>
      <c r="M156" s="6">
        <f t="shared" si="22"/>
        <v>150263.64000000001</v>
      </c>
      <c r="N156" s="6">
        <f t="shared" si="22"/>
        <v>150263.64000000001</v>
      </c>
      <c r="O156" s="11">
        <f t="shared" si="16"/>
        <v>1.753094771942925E-2</v>
      </c>
      <c r="P156" s="12"/>
    </row>
    <row r="157" spans="1:16" hidden="1" outlineLevel="1" x14ac:dyDescent="0.35">
      <c r="A157" s="7" t="s">
        <v>178</v>
      </c>
      <c r="B157" s="14">
        <f t="shared" si="21"/>
        <v>72000</v>
      </c>
      <c r="C157" s="8">
        <v>6000</v>
      </c>
      <c r="D157" s="8">
        <v>6000</v>
      </c>
      <c r="E157" s="8">
        <v>6000</v>
      </c>
      <c r="F157" s="8">
        <v>6000</v>
      </c>
      <c r="G157" s="8">
        <v>6000</v>
      </c>
      <c r="H157" s="8">
        <v>6000</v>
      </c>
      <c r="I157" s="8">
        <v>6000</v>
      </c>
      <c r="J157" s="8">
        <v>6000</v>
      </c>
      <c r="K157" s="8">
        <v>6000</v>
      </c>
      <c r="L157" s="8">
        <v>6000</v>
      </c>
      <c r="M157" s="8">
        <v>6000</v>
      </c>
      <c r="N157" s="8">
        <v>6000</v>
      </c>
      <c r="O157" s="11">
        <f t="shared" si="16"/>
        <v>7.0000757546253699E-4</v>
      </c>
    </row>
    <row r="158" spans="1:16" hidden="1" outlineLevel="1" x14ac:dyDescent="0.35">
      <c r="A158" s="9" t="s">
        <v>179</v>
      </c>
      <c r="B158" s="10">
        <f t="shared" si="21"/>
        <v>72000</v>
      </c>
      <c r="C158" s="10">
        <v>6000</v>
      </c>
      <c r="D158" s="10">
        <v>6000</v>
      </c>
      <c r="E158" s="10">
        <v>6000</v>
      </c>
      <c r="F158" s="10">
        <v>6000</v>
      </c>
      <c r="G158" s="10">
        <v>6000</v>
      </c>
      <c r="H158" s="10">
        <v>6000</v>
      </c>
      <c r="I158" s="10">
        <v>6000</v>
      </c>
      <c r="J158" s="10">
        <v>6000</v>
      </c>
      <c r="K158" s="10">
        <v>6000</v>
      </c>
      <c r="L158" s="10">
        <v>6000</v>
      </c>
      <c r="M158" s="10">
        <v>6000</v>
      </c>
      <c r="N158" s="10">
        <v>6000</v>
      </c>
      <c r="O158" s="11">
        <f t="shared" si="16"/>
        <v>7.0000757546253699E-4</v>
      </c>
    </row>
    <row r="159" spans="1:16" hidden="1" outlineLevel="1" x14ac:dyDescent="0.35">
      <c r="A159" s="7" t="s">
        <v>180</v>
      </c>
      <c r="B159" s="14">
        <f t="shared" si="21"/>
        <v>216000</v>
      </c>
      <c r="C159" s="8">
        <v>18000</v>
      </c>
      <c r="D159" s="8">
        <v>18000</v>
      </c>
      <c r="E159" s="8">
        <v>18000</v>
      </c>
      <c r="F159" s="8">
        <v>18000</v>
      </c>
      <c r="G159" s="8">
        <v>18000</v>
      </c>
      <c r="H159" s="8">
        <v>18000</v>
      </c>
      <c r="I159" s="8">
        <v>18000</v>
      </c>
      <c r="J159" s="8">
        <v>18000</v>
      </c>
      <c r="K159" s="8">
        <v>18000</v>
      </c>
      <c r="L159" s="8">
        <v>18000</v>
      </c>
      <c r="M159" s="8">
        <v>18000</v>
      </c>
      <c r="N159" s="8">
        <v>18000</v>
      </c>
      <c r="O159" s="11">
        <f t="shared" si="16"/>
        <v>2.1000227263876111E-3</v>
      </c>
    </row>
    <row r="160" spans="1:16" hidden="1" outlineLevel="1" x14ac:dyDescent="0.35">
      <c r="A160" s="9" t="s">
        <v>181</v>
      </c>
      <c r="B160" s="10">
        <f t="shared" si="21"/>
        <v>144000</v>
      </c>
      <c r="C160" s="10">
        <v>12000</v>
      </c>
      <c r="D160" s="10">
        <v>12000</v>
      </c>
      <c r="E160" s="10">
        <v>12000</v>
      </c>
      <c r="F160" s="10">
        <v>12000</v>
      </c>
      <c r="G160" s="10">
        <v>12000</v>
      </c>
      <c r="H160" s="10">
        <v>12000</v>
      </c>
      <c r="I160" s="10">
        <v>12000</v>
      </c>
      <c r="J160" s="10">
        <v>12000</v>
      </c>
      <c r="K160" s="10">
        <v>12000</v>
      </c>
      <c r="L160" s="10">
        <v>12000</v>
      </c>
      <c r="M160" s="10">
        <v>12000</v>
      </c>
      <c r="N160" s="10">
        <v>12000</v>
      </c>
      <c r="O160" s="11">
        <f t="shared" si="16"/>
        <v>1.400015150925074E-3</v>
      </c>
    </row>
    <row r="161" spans="1:16" hidden="1" outlineLevel="1" x14ac:dyDescent="0.35">
      <c r="A161" s="7" t="s">
        <v>182</v>
      </c>
      <c r="B161" s="14">
        <f t="shared" si="21"/>
        <v>144000</v>
      </c>
      <c r="C161" s="8">
        <v>12000</v>
      </c>
      <c r="D161" s="8">
        <v>12000</v>
      </c>
      <c r="E161" s="8">
        <v>12000</v>
      </c>
      <c r="F161" s="8">
        <v>12000</v>
      </c>
      <c r="G161" s="8">
        <v>12000</v>
      </c>
      <c r="H161" s="8">
        <v>12000</v>
      </c>
      <c r="I161" s="8">
        <v>12000</v>
      </c>
      <c r="J161" s="8">
        <v>12000</v>
      </c>
      <c r="K161" s="8">
        <v>12000</v>
      </c>
      <c r="L161" s="8">
        <v>12000</v>
      </c>
      <c r="M161" s="8">
        <v>12000</v>
      </c>
      <c r="N161" s="8">
        <v>12000</v>
      </c>
      <c r="O161" s="11">
        <f t="shared" si="16"/>
        <v>1.400015150925074E-3</v>
      </c>
    </row>
    <row r="162" spans="1:16" s="13" customFormat="1" collapsed="1" x14ac:dyDescent="0.35">
      <c r="A162" s="4" t="s">
        <v>183</v>
      </c>
      <c r="B162" s="6">
        <f>SUM(B157:B161)</f>
        <v>648000</v>
      </c>
      <c r="C162" s="6">
        <f t="shared" ref="C162:N162" si="23">SUM(C157:C161)</f>
        <v>54000</v>
      </c>
      <c r="D162" s="6">
        <f t="shared" si="23"/>
        <v>54000</v>
      </c>
      <c r="E162" s="6">
        <f t="shared" si="23"/>
        <v>54000</v>
      </c>
      <c r="F162" s="6">
        <f t="shared" si="23"/>
        <v>54000</v>
      </c>
      <c r="G162" s="6">
        <f t="shared" si="23"/>
        <v>54000</v>
      </c>
      <c r="H162" s="6">
        <f t="shared" si="23"/>
        <v>54000</v>
      </c>
      <c r="I162" s="6">
        <f t="shared" si="23"/>
        <v>54000</v>
      </c>
      <c r="J162" s="6">
        <f t="shared" si="23"/>
        <v>54000</v>
      </c>
      <c r="K162" s="6">
        <f t="shared" si="23"/>
        <v>54000</v>
      </c>
      <c r="L162" s="6">
        <f t="shared" si="23"/>
        <v>54000</v>
      </c>
      <c r="M162" s="6">
        <f t="shared" si="23"/>
        <v>54000</v>
      </c>
      <c r="N162" s="6">
        <f t="shared" si="23"/>
        <v>54000</v>
      </c>
      <c r="O162" s="11">
        <f t="shared" si="16"/>
        <v>6.3000681791628337E-3</v>
      </c>
      <c r="P162" s="12"/>
    </row>
    <row r="163" spans="1:16" x14ac:dyDescent="0.35">
      <c r="A163" s="15" t="s">
        <v>184</v>
      </c>
      <c r="B163" s="16">
        <f t="shared" ref="B163:N163" si="24">B14+B24+B26+B29+B31+B32+B37+B40+B76+B78+B79+B83+B149+B150+B152+B153+B156+B162</f>
        <v>102856029.73999999</v>
      </c>
      <c r="C163" s="16">
        <f t="shared" si="24"/>
        <v>8258297.8199999994</v>
      </c>
      <c r="D163" s="16">
        <f t="shared" si="24"/>
        <v>9363405.7200000007</v>
      </c>
      <c r="E163" s="16">
        <f t="shared" si="24"/>
        <v>8045645.5699999994</v>
      </c>
      <c r="F163" s="16">
        <f t="shared" si="24"/>
        <v>8335905.7199999997</v>
      </c>
      <c r="G163" s="16">
        <f t="shared" si="24"/>
        <v>9685645.5700000003</v>
      </c>
      <c r="H163" s="16">
        <f t="shared" si="24"/>
        <v>8188023.2199999997</v>
      </c>
      <c r="I163" s="16">
        <f t="shared" si="24"/>
        <v>8132040.3199999994</v>
      </c>
      <c r="J163" s="16">
        <f t="shared" si="24"/>
        <v>8066205.7199999997</v>
      </c>
      <c r="K163" s="16">
        <f t="shared" si="24"/>
        <v>8045645.5699999994</v>
      </c>
      <c r="L163" s="16">
        <f t="shared" si="24"/>
        <v>8885905.7200000007</v>
      </c>
      <c r="M163" s="16">
        <f t="shared" si="24"/>
        <v>8045645.5699999994</v>
      </c>
      <c r="N163" s="16">
        <f t="shared" si="24"/>
        <v>9803663.2200000007</v>
      </c>
    </row>
    <row r="164" spans="1:16" s="13" customFormat="1" x14ac:dyDescent="0.35">
      <c r="A164" s="17" t="s">
        <v>185</v>
      </c>
      <c r="B164" s="18">
        <f>1-(B163/B5)</f>
        <v>0.53404077278690321</v>
      </c>
      <c r="C164" s="19">
        <f>C5-C163</f>
        <v>10489517.619999997</v>
      </c>
      <c r="D164" s="19">
        <f>C164+D5-D163</f>
        <v>18059622.619999997</v>
      </c>
      <c r="E164" s="19">
        <f>D164+E5-E163</f>
        <v>28761792.489999995</v>
      </c>
      <c r="F164" s="19">
        <f>E164+F5-F163</f>
        <v>38568933.969999999</v>
      </c>
      <c r="G164" s="19">
        <f>F164+G5-G163</f>
        <v>47631103.839999996</v>
      </c>
      <c r="H164" s="19">
        <f>G164+H5-H163</f>
        <v>57586127.819999993</v>
      </c>
      <c r="I164" s="19">
        <f t="shared" ref="I164:N164" si="25">H164+I5-I163</f>
        <v>68201902.939999998</v>
      </c>
      <c r="J164" s="19">
        <f t="shared" si="25"/>
        <v>78883512.659999996</v>
      </c>
      <c r="K164" s="19">
        <f t="shared" si="25"/>
        <v>88980914.290000007</v>
      </c>
      <c r="L164" s="19">
        <f t="shared" si="25"/>
        <v>98842824.010000005</v>
      </c>
      <c r="M164" s="19">
        <f t="shared" si="25"/>
        <v>108940225.64000002</v>
      </c>
      <c r="N164" s="19">
        <f t="shared" si="25"/>
        <v>117884377.86000001</v>
      </c>
      <c r="P164" s="12"/>
    </row>
    <row r="166" spans="1:16" x14ac:dyDescent="0.35">
      <c r="B166" s="2"/>
    </row>
  </sheetData>
  <mergeCells count="4">
    <mergeCell ref="A1:B1"/>
    <mergeCell ref="A2:B2"/>
    <mergeCell ref="A3:N3"/>
    <mergeCell ref="A7:N7"/>
  </mergeCells>
  <conditionalFormatting sqref="O14:O162">
    <cfRule type="colorScale" priority="1">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34E2-D126-426E-A53D-73E54C3A7763}">
  <dimension ref="A1:P166"/>
  <sheetViews>
    <sheetView tabSelected="1" zoomScale="80" zoomScaleNormal="80" workbookViewId="0">
      <pane xSplit="2" ySplit="13" topLeftCell="C14" activePane="bottomRight" state="frozen"/>
      <selection pane="topRight" activeCell="C1" sqref="C1"/>
      <selection pane="bottomLeft" activeCell="A14" sqref="A14"/>
      <selection pane="bottomRight" activeCell="A2" sqref="A2:B2"/>
    </sheetView>
  </sheetViews>
  <sheetFormatPr baseColWidth="10" defaultRowHeight="14.5" outlineLevelRow="1" x14ac:dyDescent="0.35"/>
  <cols>
    <col min="1" max="1" width="34.1796875" bestFit="1" customWidth="1"/>
    <col min="2" max="2" width="22.6328125" bestFit="1" customWidth="1"/>
    <col min="3" max="3" width="16.6328125" customWidth="1"/>
    <col min="4" max="14" width="15.6328125" customWidth="1"/>
    <col min="15" max="15" width="4.453125" bestFit="1" customWidth="1"/>
    <col min="16" max="16" width="10.90625" style="1"/>
    <col min="231" max="231" width="34.1796875" bestFit="1" customWidth="1"/>
    <col min="232" max="270" width="15.6328125" customWidth="1"/>
    <col min="487" max="487" width="34.1796875" bestFit="1" customWidth="1"/>
    <col min="488" max="526" width="15.6328125" customWidth="1"/>
    <col min="743" max="743" width="34.1796875" bestFit="1" customWidth="1"/>
    <col min="744" max="782" width="15.6328125" customWidth="1"/>
    <col min="999" max="999" width="34.1796875" bestFit="1" customWidth="1"/>
    <col min="1000" max="1038" width="15.6328125" customWidth="1"/>
    <col min="1255" max="1255" width="34.1796875" bestFit="1" customWidth="1"/>
    <col min="1256" max="1294" width="15.6328125" customWidth="1"/>
    <col min="1511" max="1511" width="34.1796875" bestFit="1" customWidth="1"/>
    <col min="1512" max="1550" width="15.6328125" customWidth="1"/>
    <col min="1767" max="1767" width="34.1796875" bestFit="1" customWidth="1"/>
    <col min="1768" max="1806" width="15.6328125" customWidth="1"/>
    <col min="2023" max="2023" width="34.1796875" bestFit="1" customWidth="1"/>
    <col min="2024" max="2062" width="15.6328125" customWidth="1"/>
    <col min="2279" max="2279" width="34.1796875" bestFit="1" customWidth="1"/>
    <col min="2280" max="2318" width="15.6328125" customWidth="1"/>
    <col min="2535" max="2535" width="34.1796875" bestFit="1" customWidth="1"/>
    <col min="2536" max="2574" width="15.6328125" customWidth="1"/>
    <col min="2791" max="2791" width="34.1796875" bestFit="1" customWidth="1"/>
    <col min="2792" max="2830" width="15.6328125" customWidth="1"/>
    <col min="3047" max="3047" width="34.1796875" bestFit="1" customWidth="1"/>
    <col min="3048" max="3086" width="15.6328125" customWidth="1"/>
    <col min="3303" max="3303" width="34.1796875" bestFit="1" customWidth="1"/>
    <col min="3304" max="3342" width="15.6328125" customWidth="1"/>
    <col min="3559" max="3559" width="34.1796875" bestFit="1" customWidth="1"/>
    <col min="3560" max="3598" width="15.6328125" customWidth="1"/>
    <col min="3815" max="3815" width="34.1796875" bestFit="1" customWidth="1"/>
    <col min="3816" max="3854" width="15.6328125" customWidth="1"/>
    <col min="4071" max="4071" width="34.1796875" bestFit="1" customWidth="1"/>
    <col min="4072" max="4110" width="15.6328125" customWidth="1"/>
    <col min="4327" max="4327" width="34.1796875" bestFit="1" customWidth="1"/>
    <col min="4328" max="4366" width="15.6328125" customWidth="1"/>
    <col min="4583" max="4583" width="34.1796875" bestFit="1" customWidth="1"/>
    <col min="4584" max="4622" width="15.6328125" customWidth="1"/>
    <col min="4839" max="4839" width="34.1796875" bestFit="1" customWidth="1"/>
    <col min="4840" max="4878" width="15.6328125" customWidth="1"/>
    <col min="5095" max="5095" width="34.1796875" bestFit="1" customWidth="1"/>
    <col min="5096" max="5134" width="15.6328125" customWidth="1"/>
    <col min="5351" max="5351" width="34.1796875" bestFit="1" customWidth="1"/>
    <col min="5352" max="5390" width="15.6328125" customWidth="1"/>
    <col min="5607" max="5607" width="34.1796875" bestFit="1" customWidth="1"/>
    <col min="5608" max="5646" width="15.6328125" customWidth="1"/>
    <col min="5863" max="5863" width="34.1796875" bestFit="1" customWidth="1"/>
    <col min="5864" max="5902" width="15.6328125" customWidth="1"/>
    <col min="6119" max="6119" width="34.1796875" bestFit="1" customWidth="1"/>
    <col min="6120" max="6158" width="15.6328125" customWidth="1"/>
    <col min="6375" max="6375" width="34.1796875" bestFit="1" customWidth="1"/>
    <col min="6376" max="6414" width="15.6328125" customWidth="1"/>
    <col min="6631" max="6631" width="34.1796875" bestFit="1" customWidth="1"/>
    <col min="6632" max="6670" width="15.6328125" customWidth="1"/>
    <col min="6887" max="6887" width="34.1796875" bestFit="1" customWidth="1"/>
    <col min="6888" max="6926" width="15.6328125" customWidth="1"/>
    <col min="7143" max="7143" width="34.1796875" bestFit="1" customWidth="1"/>
    <col min="7144" max="7182" width="15.6328125" customWidth="1"/>
    <col min="7399" max="7399" width="34.1796875" bestFit="1" customWidth="1"/>
    <col min="7400" max="7438" width="15.6328125" customWidth="1"/>
    <col min="7655" max="7655" width="34.1796875" bestFit="1" customWidth="1"/>
    <col min="7656" max="7694" width="15.6328125" customWidth="1"/>
    <col min="7911" max="7911" width="34.1796875" bestFit="1" customWidth="1"/>
    <col min="7912" max="7950" width="15.6328125" customWidth="1"/>
    <col min="8167" max="8167" width="34.1796875" bestFit="1" customWidth="1"/>
    <col min="8168" max="8206" width="15.6328125" customWidth="1"/>
    <col min="8423" max="8423" width="34.1796875" bestFit="1" customWidth="1"/>
    <col min="8424" max="8462" width="15.6328125" customWidth="1"/>
    <col min="8679" max="8679" width="34.1796875" bestFit="1" customWidth="1"/>
    <col min="8680" max="8718" width="15.6328125" customWidth="1"/>
    <col min="8935" max="8935" width="34.1796875" bestFit="1" customWidth="1"/>
    <col min="8936" max="8974" width="15.6328125" customWidth="1"/>
    <col min="9191" max="9191" width="34.1796875" bestFit="1" customWidth="1"/>
    <col min="9192" max="9230" width="15.6328125" customWidth="1"/>
    <col min="9447" max="9447" width="34.1796875" bestFit="1" customWidth="1"/>
    <col min="9448" max="9486" width="15.6328125" customWidth="1"/>
    <col min="9703" max="9703" width="34.1796875" bestFit="1" customWidth="1"/>
    <col min="9704" max="9742" width="15.6328125" customWidth="1"/>
    <col min="9959" max="9959" width="34.1796875" bestFit="1" customWidth="1"/>
    <col min="9960" max="9998" width="15.6328125" customWidth="1"/>
    <col min="10215" max="10215" width="34.1796875" bestFit="1" customWidth="1"/>
    <col min="10216" max="10254" width="15.6328125" customWidth="1"/>
    <col min="10471" max="10471" width="34.1796875" bestFit="1" customWidth="1"/>
    <col min="10472" max="10510" width="15.6328125" customWidth="1"/>
    <col min="10727" max="10727" width="34.1796875" bestFit="1" customWidth="1"/>
    <col min="10728" max="10766" width="15.6328125" customWidth="1"/>
    <col min="10983" max="10983" width="34.1796875" bestFit="1" customWidth="1"/>
    <col min="10984" max="11022" width="15.6328125" customWidth="1"/>
    <col min="11239" max="11239" width="34.1796875" bestFit="1" customWidth="1"/>
    <col min="11240" max="11278" width="15.6328125" customWidth="1"/>
    <col min="11495" max="11495" width="34.1796875" bestFit="1" customWidth="1"/>
    <col min="11496" max="11534" width="15.6328125" customWidth="1"/>
    <col min="11751" max="11751" width="34.1796875" bestFit="1" customWidth="1"/>
    <col min="11752" max="11790" width="15.6328125" customWidth="1"/>
    <col min="12007" max="12007" width="34.1796875" bestFit="1" customWidth="1"/>
    <col min="12008" max="12046" width="15.6328125" customWidth="1"/>
    <col min="12263" max="12263" width="34.1796875" bestFit="1" customWidth="1"/>
    <col min="12264" max="12302" width="15.6328125" customWidth="1"/>
    <col min="12519" max="12519" width="34.1796875" bestFit="1" customWidth="1"/>
    <col min="12520" max="12558" width="15.6328125" customWidth="1"/>
    <col min="12775" max="12775" width="34.1796875" bestFit="1" customWidth="1"/>
    <col min="12776" max="12814" width="15.6328125" customWidth="1"/>
    <col min="13031" max="13031" width="34.1796875" bestFit="1" customWidth="1"/>
    <col min="13032" max="13070" width="15.6328125" customWidth="1"/>
    <col min="13287" max="13287" width="34.1796875" bestFit="1" customWidth="1"/>
    <col min="13288" max="13326" width="15.6328125" customWidth="1"/>
    <col min="13543" max="13543" width="34.1796875" bestFit="1" customWidth="1"/>
    <col min="13544" max="13582" width="15.6328125" customWidth="1"/>
    <col min="13799" max="13799" width="34.1796875" bestFit="1" customWidth="1"/>
    <col min="13800" max="13838" width="15.6328125" customWidth="1"/>
    <col min="14055" max="14055" width="34.1796875" bestFit="1" customWidth="1"/>
    <col min="14056" max="14094" width="15.6328125" customWidth="1"/>
    <col min="14311" max="14311" width="34.1796875" bestFit="1" customWidth="1"/>
    <col min="14312" max="14350" width="15.6328125" customWidth="1"/>
    <col min="14567" max="14567" width="34.1796875" bestFit="1" customWidth="1"/>
    <col min="14568" max="14606" width="15.6328125" customWidth="1"/>
    <col min="14823" max="14823" width="34.1796875" bestFit="1" customWidth="1"/>
    <col min="14824" max="14862" width="15.6328125" customWidth="1"/>
    <col min="15079" max="15079" width="34.1796875" bestFit="1" customWidth="1"/>
    <col min="15080" max="15118" width="15.6328125" customWidth="1"/>
    <col min="15335" max="15335" width="34.1796875" bestFit="1" customWidth="1"/>
    <col min="15336" max="15374" width="15.6328125" customWidth="1"/>
    <col min="15591" max="15591" width="34.1796875" bestFit="1" customWidth="1"/>
    <col min="15592" max="15630" width="15.6328125" customWidth="1"/>
    <col min="15847" max="15847" width="34.1796875" bestFit="1" customWidth="1"/>
    <col min="15848" max="15886" width="15.6328125" customWidth="1"/>
    <col min="16103" max="16103" width="34.1796875" bestFit="1" customWidth="1"/>
    <col min="16104" max="16142" width="15.6328125" customWidth="1"/>
  </cols>
  <sheetData>
    <row r="1" spans="1:16" x14ac:dyDescent="0.35">
      <c r="A1" s="20" t="s">
        <v>0</v>
      </c>
      <c r="B1" s="20"/>
    </row>
    <row r="2" spans="1:16" x14ac:dyDescent="0.35">
      <c r="A2" s="21" t="s">
        <v>1</v>
      </c>
      <c r="B2" s="21"/>
      <c r="J2" s="2"/>
    </row>
    <row r="3" spans="1:16" x14ac:dyDescent="0.35">
      <c r="A3" s="22" t="s">
        <v>2</v>
      </c>
      <c r="B3" s="23"/>
      <c r="C3" s="23"/>
      <c r="D3" s="23"/>
      <c r="E3" s="23"/>
      <c r="F3" s="23"/>
      <c r="G3" s="23"/>
      <c r="H3" s="23"/>
      <c r="I3" s="23"/>
      <c r="J3" s="23"/>
      <c r="K3" s="23"/>
      <c r="L3" s="23"/>
      <c r="M3" s="23"/>
      <c r="N3" s="24"/>
    </row>
    <row r="4" spans="1:16" x14ac:dyDescent="0.35">
      <c r="A4" s="3" t="s">
        <v>3</v>
      </c>
      <c r="B4" s="3" t="s">
        <v>4</v>
      </c>
      <c r="C4" s="3" t="s">
        <v>5</v>
      </c>
      <c r="D4" s="3" t="s">
        <v>6</v>
      </c>
      <c r="E4" s="3" t="s">
        <v>7</v>
      </c>
      <c r="F4" s="3" t="s">
        <v>8</v>
      </c>
      <c r="G4" s="3" t="s">
        <v>9</v>
      </c>
      <c r="H4" s="3" t="s">
        <v>10</v>
      </c>
      <c r="I4" s="3" t="s">
        <v>11</v>
      </c>
      <c r="J4" s="3" t="s">
        <v>12</v>
      </c>
      <c r="K4" s="3" t="s">
        <v>13</v>
      </c>
      <c r="L4" s="3" t="s">
        <v>14</v>
      </c>
      <c r="M4" s="3" t="s">
        <v>15</v>
      </c>
      <c r="N4" s="3" t="s">
        <v>16</v>
      </c>
    </row>
    <row r="5" spans="1:16" x14ac:dyDescent="0.35">
      <c r="A5" s="4" t="s">
        <v>17</v>
      </c>
      <c r="B5" s="5">
        <f>SUM(C5:N5)</f>
        <v>180740408.03999993</v>
      </c>
      <c r="C5" s="6">
        <v>15357301.009999998</v>
      </c>
      <c r="D5" s="6">
        <v>13837070.689999999</v>
      </c>
      <c r="E5" s="6">
        <v>15357301.009999998</v>
      </c>
      <c r="F5" s="6">
        <v>14850557.569999997</v>
      </c>
      <c r="G5" s="6">
        <v>15357301.009999998</v>
      </c>
      <c r="H5" s="6">
        <v>14850557.569999997</v>
      </c>
      <c r="I5" s="6">
        <v>15357301.009999998</v>
      </c>
      <c r="J5" s="6">
        <v>15357301.009999998</v>
      </c>
      <c r="K5" s="6">
        <v>14850557.569999997</v>
      </c>
      <c r="L5" s="6">
        <v>15357301.009999998</v>
      </c>
      <c r="M5" s="6">
        <v>14850557.569999997</v>
      </c>
      <c r="N5" s="6">
        <v>15357301.009999998</v>
      </c>
    </row>
    <row r="7" spans="1:16" x14ac:dyDescent="0.35">
      <c r="A7" s="22" t="s">
        <v>18</v>
      </c>
      <c r="B7" s="23"/>
      <c r="C7" s="23"/>
      <c r="D7" s="23"/>
      <c r="E7" s="23"/>
      <c r="F7" s="23"/>
      <c r="G7" s="23"/>
      <c r="H7" s="23"/>
      <c r="I7" s="23"/>
      <c r="J7" s="23"/>
      <c r="K7" s="23"/>
      <c r="L7" s="23"/>
      <c r="M7" s="23"/>
      <c r="N7" s="24"/>
    </row>
    <row r="8" spans="1:16" x14ac:dyDescent="0.35">
      <c r="A8" s="3" t="s">
        <v>3</v>
      </c>
      <c r="B8" s="3" t="s">
        <v>4</v>
      </c>
      <c r="C8" s="3" t="s">
        <v>5</v>
      </c>
      <c r="D8" s="3" t="s">
        <v>6</v>
      </c>
      <c r="E8" s="3" t="s">
        <v>7</v>
      </c>
      <c r="F8" s="3" t="s">
        <v>8</v>
      </c>
      <c r="G8" s="3" t="s">
        <v>9</v>
      </c>
      <c r="H8" s="3" t="s">
        <v>10</v>
      </c>
      <c r="I8" s="3" t="s">
        <v>11</v>
      </c>
      <c r="J8" s="3" t="s">
        <v>12</v>
      </c>
      <c r="K8" s="3" t="s">
        <v>13</v>
      </c>
      <c r="L8" s="3" t="s">
        <v>14</v>
      </c>
      <c r="M8" s="3" t="s">
        <v>15</v>
      </c>
      <c r="N8" s="3" t="s">
        <v>16</v>
      </c>
    </row>
    <row r="9" spans="1:16" hidden="1" outlineLevel="1" x14ac:dyDescent="0.35">
      <c r="A9" s="7" t="s">
        <v>19</v>
      </c>
      <c r="B9" s="8">
        <f t="shared" ref="B9:B30" si="0">SUM(C9:N9)</f>
        <v>1272000</v>
      </c>
      <c r="C9" s="8">
        <v>0</v>
      </c>
      <c r="D9" s="8">
        <v>1272000</v>
      </c>
      <c r="E9" s="8">
        <v>0</v>
      </c>
      <c r="F9" s="8">
        <v>0</v>
      </c>
      <c r="G9" s="8">
        <v>0</v>
      </c>
      <c r="H9" s="8">
        <v>0</v>
      </c>
      <c r="I9" s="8">
        <v>0</v>
      </c>
      <c r="J9" s="8">
        <v>0</v>
      </c>
      <c r="K9" s="8">
        <v>0</v>
      </c>
      <c r="L9" s="8">
        <v>0</v>
      </c>
      <c r="M9" s="8">
        <v>0</v>
      </c>
      <c r="N9" s="8">
        <v>0</v>
      </c>
    </row>
    <row r="10" spans="1:16" hidden="1" outlineLevel="1" x14ac:dyDescent="0.35">
      <c r="A10" s="9" t="s">
        <v>20</v>
      </c>
      <c r="B10" s="10">
        <f t="shared" si="0"/>
        <v>0</v>
      </c>
      <c r="C10" s="10">
        <v>0</v>
      </c>
      <c r="D10" s="10">
        <v>0</v>
      </c>
      <c r="E10" s="10">
        <v>0</v>
      </c>
      <c r="F10" s="10">
        <v>0</v>
      </c>
      <c r="G10" s="10">
        <v>0</v>
      </c>
      <c r="H10" s="10">
        <v>0</v>
      </c>
      <c r="I10" s="10">
        <v>0</v>
      </c>
      <c r="J10" s="10">
        <v>0</v>
      </c>
      <c r="K10" s="10">
        <v>0</v>
      </c>
      <c r="L10" s="10">
        <v>0</v>
      </c>
      <c r="M10" s="10">
        <v>0</v>
      </c>
      <c r="N10" s="10">
        <v>0</v>
      </c>
    </row>
    <row r="11" spans="1:16" hidden="1" outlineLevel="1" x14ac:dyDescent="0.35">
      <c r="A11" s="7" t="s">
        <v>21</v>
      </c>
      <c r="B11" s="8">
        <f t="shared" si="0"/>
        <v>0</v>
      </c>
      <c r="C11" s="8">
        <v>0</v>
      </c>
      <c r="D11" s="8">
        <v>0</v>
      </c>
      <c r="E11" s="8">
        <v>0</v>
      </c>
      <c r="F11" s="8">
        <v>0</v>
      </c>
      <c r="G11" s="8">
        <v>0</v>
      </c>
      <c r="H11" s="8">
        <v>0</v>
      </c>
      <c r="I11" s="8">
        <v>0</v>
      </c>
      <c r="J11" s="8">
        <v>0</v>
      </c>
      <c r="K11" s="8">
        <v>0</v>
      </c>
      <c r="L11" s="8">
        <v>0</v>
      </c>
      <c r="M11" s="8">
        <v>0</v>
      </c>
      <c r="N11" s="8">
        <v>0</v>
      </c>
    </row>
    <row r="12" spans="1:16" hidden="1" outlineLevel="1" x14ac:dyDescent="0.35">
      <c r="A12" s="9" t="s">
        <v>22</v>
      </c>
      <c r="B12" s="10">
        <f t="shared" si="0"/>
        <v>0</v>
      </c>
      <c r="C12" s="10">
        <v>0</v>
      </c>
      <c r="D12" s="10">
        <v>0</v>
      </c>
      <c r="E12" s="10">
        <v>0</v>
      </c>
      <c r="F12" s="10">
        <v>0</v>
      </c>
      <c r="G12" s="10">
        <v>0</v>
      </c>
      <c r="H12" s="10">
        <v>0</v>
      </c>
      <c r="I12" s="10">
        <v>0</v>
      </c>
      <c r="J12" s="10">
        <v>0</v>
      </c>
      <c r="K12" s="10">
        <v>0</v>
      </c>
      <c r="L12" s="10">
        <v>0</v>
      </c>
      <c r="M12" s="10">
        <v>0</v>
      </c>
      <c r="N12" s="10">
        <v>0</v>
      </c>
    </row>
    <row r="13" spans="1:16" hidden="1" outlineLevel="1" x14ac:dyDescent="0.35">
      <c r="A13" s="7" t="s">
        <v>23</v>
      </c>
      <c r="B13" s="8">
        <f t="shared" si="0"/>
        <v>0</v>
      </c>
      <c r="C13" s="8">
        <v>0</v>
      </c>
      <c r="D13" s="8">
        <v>0</v>
      </c>
      <c r="E13" s="8">
        <v>0</v>
      </c>
      <c r="F13" s="8">
        <v>0</v>
      </c>
      <c r="G13" s="8">
        <v>0</v>
      </c>
      <c r="H13" s="8">
        <v>0</v>
      </c>
      <c r="I13" s="8">
        <v>0</v>
      </c>
      <c r="J13" s="8">
        <v>0</v>
      </c>
      <c r="K13" s="8">
        <v>0</v>
      </c>
      <c r="L13" s="8">
        <v>0</v>
      </c>
      <c r="M13" s="8">
        <v>0</v>
      </c>
      <c r="N13" s="8">
        <v>0</v>
      </c>
    </row>
    <row r="14" spans="1:16" s="13" customFormat="1" collapsed="1" x14ac:dyDescent="0.35">
      <c r="A14" s="4" t="s">
        <v>24</v>
      </c>
      <c r="B14" s="6">
        <f>SUM(B9:B13)</f>
        <v>1272000</v>
      </c>
      <c r="C14" s="6">
        <f t="shared" ref="C14:N14" si="1">SUM(C9:C13)</f>
        <v>0</v>
      </c>
      <c r="D14" s="6">
        <f t="shared" si="1"/>
        <v>1272000</v>
      </c>
      <c r="E14" s="6">
        <f t="shared" si="1"/>
        <v>0</v>
      </c>
      <c r="F14" s="6">
        <f t="shared" si="1"/>
        <v>0</v>
      </c>
      <c r="G14" s="6">
        <f t="shared" si="1"/>
        <v>0</v>
      </c>
      <c r="H14" s="6">
        <f t="shared" si="1"/>
        <v>0</v>
      </c>
      <c r="I14" s="6">
        <f t="shared" si="1"/>
        <v>0</v>
      </c>
      <c r="J14" s="6">
        <f t="shared" si="1"/>
        <v>0</v>
      </c>
      <c r="K14" s="6">
        <f t="shared" si="1"/>
        <v>0</v>
      </c>
      <c r="L14" s="6">
        <f t="shared" si="1"/>
        <v>0</v>
      </c>
      <c r="M14" s="6">
        <f t="shared" si="1"/>
        <v>0</v>
      </c>
      <c r="N14" s="6">
        <f t="shared" si="1"/>
        <v>0</v>
      </c>
      <c r="O14" s="11">
        <f t="shared" ref="O14:O77" si="2">B14/$B$163</f>
        <v>1.2366800499838154E-2</v>
      </c>
      <c r="P14" s="12" t="s">
        <v>25</v>
      </c>
    </row>
    <row r="15" spans="1:16" hidden="1" outlineLevel="1" x14ac:dyDescent="0.35">
      <c r="A15" s="7" t="s">
        <v>26</v>
      </c>
      <c r="B15" s="14">
        <f t="shared" si="0"/>
        <v>384000</v>
      </c>
      <c r="C15" s="8">
        <v>32000</v>
      </c>
      <c r="D15" s="8">
        <v>32000</v>
      </c>
      <c r="E15" s="8">
        <v>32000</v>
      </c>
      <c r="F15" s="8">
        <v>32000</v>
      </c>
      <c r="G15" s="8">
        <v>32000</v>
      </c>
      <c r="H15" s="8">
        <v>32000</v>
      </c>
      <c r="I15" s="8">
        <v>32000</v>
      </c>
      <c r="J15" s="8">
        <v>32000</v>
      </c>
      <c r="K15" s="8">
        <v>32000</v>
      </c>
      <c r="L15" s="8">
        <v>32000</v>
      </c>
      <c r="M15" s="8">
        <v>32000</v>
      </c>
      <c r="N15" s="8">
        <v>32000</v>
      </c>
      <c r="O15" s="11">
        <f t="shared" si="2"/>
        <v>3.7333737358001976E-3</v>
      </c>
    </row>
    <row r="16" spans="1:16" hidden="1" outlineLevel="1" x14ac:dyDescent="0.35">
      <c r="A16" s="9" t="s">
        <v>27</v>
      </c>
      <c r="B16" s="10">
        <f t="shared" si="0"/>
        <v>156000</v>
      </c>
      <c r="C16" s="10">
        <v>13000</v>
      </c>
      <c r="D16" s="10">
        <v>13000</v>
      </c>
      <c r="E16" s="10">
        <v>13000</v>
      </c>
      <c r="F16" s="10">
        <v>13000</v>
      </c>
      <c r="G16" s="10">
        <v>13000</v>
      </c>
      <c r="H16" s="10">
        <v>13000</v>
      </c>
      <c r="I16" s="10">
        <v>13000</v>
      </c>
      <c r="J16" s="10">
        <v>13000</v>
      </c>
      <c r="K16" s="10">
        <v>13000</v>
      </c>
      <c r="L16" s="10">
        <v>13000</v>
      </c>
      <c r="M16" s="10">
        <v>13000</v>
      </c>
      <c r="N16" s="10">
        <v>13000</v>
      </c>
      <c r="O16" s="11">
        <f t="shared" si="2"/>
        <v>1.5166830801688303E-3</v>
      </c>
    </row>
    <row r="17" spans="1:16" hidden="1" outlineLevel="1" x14ac:dyDescent="0.35">
      <c r="A17" s="7" t="s">
        <v>28</v>
      </c>
      <c r="B17" s="14">
        <f t="shared" si="0"/>
        <v>0</v>
      </c>
      <c r="C17" s="8">
        <v>0</v>
      </c>
      <c r="D17" s="8">
        <v>0</v>
      </c>
      <c r="E17" s="8">
        <v>0</v>
      </c>
      <c r="F17" s="8">
        <v>0</v>
      </c>
      <c r="G17" s="8">
        <v>0</v>
      </c>
      <c r="H17" s="8">
        <v>0</v>
      </c>
      <c r="I17" s="8">
        <v>0</v>
      </c>
      <c r="J17" s="8">
        <v>0</v>
      </c>
      <c r="K17" s="8">
        <v>0</v>
      </c>
      <c r="L17" s="8">
        <v>0</v>
      </c>
      <c r="M17" s="8">
        <v>0</v>
      </c>
      <c r="N17" s="8">
        <v>0</v>
      </c>
      <c r="O17" s="11">
        <f t="shared" si="2"/>
        <v>0</v>
      </c>
    </row>
    <row r="18" spans="1:16" hidden="1" outlineLevel="1" x14ac:dyDescent="0.35">
      <c r="A18" s="9" t="s">
        <v>29</v>
      </c>
      <c r="B18" s="10">
        <f t="shared" si="0"/>
        <v>0</v>
      </c>
      <c r="C18" s="10">
        <v>0</v>
      </c>
      <c r="D18" s="10">
        <v>0</v>
      </c>
      <c r="E18" s="10">
        <v>0</v>
      </c>
      <c r="F18" s="10">
        <v>0</v>
      </c>
      <c r="G18" s="10">
        <v>0</v>
      </c>
      <c r="H18" s="10">
        <v>0</v>
      </c>
      <c r="I18" s="10">
        <v>0</v>
      </c>
      <c r="J18" s="10">
        <v>0</v>
      </c>
      <c r="K18" s="10">
        <v>0</v>
      </c>
      <c r="L18" s="10">
        <v>0</v>
      </c>
      <c r="M18" s="10">
        <v>0</v>
      </c>
      <c r="N18" s="10">
        <v>0</v>
      </c>
      <c r="O18" s="11">
        <f t="shared" si="2"/>
        <v>0</v>
      </c>
    </row>
    <row r="19" spans="1:16" hidden="1" outlineLevel="1" x14ac:dyDescent="0.35">
      <c r="A19" s="7" t="s">
        <v>30</v>
      </c>
      <c r="B19" s="14">
        <f t="shared" si="0"/>
        <v>0</v>
      </c>
      <c r="C19" s="8">
        <v>0</v>
      </c>
      <c r="D19" s="14">
        <v>0</v>
      </c>
      <c r="E19" s="8">
        <v>0</v>
      </c>
      <c r="F19" s="14">
        <v>0</v>
      </c>
      <c r="G19" s="8">
        <v>0</v>
      </c>
      <c r="H19" s="14">
        <v>0</v>
      </c>
      <c r="I19" s="8">
        <v>0</v>
      </c>
      <c r="J19" s="14">
        <v>0</v>
      </c>
      <c r="K19" s="8">
        <v>0</v>
      </c>
      <c r="L19" s="14">
        <v>0</v>
      </c>
      <c r="M19" s="8">
        <v>0</v>
      </c>
      <c r="N19" s="14">
        <v>0</v>
      </c>
      <c r="O19" s="11">
        <f t="shared" si="2"/>
        <v>0</v>
      </c>
    </row>
    <row r="20" spans="1:16" hidden="1" outlineLevel="1" x14ac:dyDescent="0.35">
      <c r="A20" s="9" t="s">
        <v>31</v>
      </c>
      <c r="B20" s="10">
        <f t="shared" si="0"/>
        <v>0</v>
      </c>
      <c r="C20" s="10">
        <v>0</v>
      </c>
      <c r="D20" s="10">
        <v>0</v>
      </c>
      <c r="E20" s="10">
        <v>0</v>
      </c>
      <c r="F20" s="10">
        <v>0</v>
      </c>
      <c r="G20" s="10">
        <v>0</v>
      </c>
      <c r="H20" s="10">
        <v>0</v>
      </c>
      <c r="I20" s="10">
        <v>0</v>
      </c>
      <c r="J20" s="10">
        <v>0</v>
      </c>
      <c r="K20" s="10">
        <v>0</v>
      </c>
      <c r="L20" s="10">
        <v>0</v>
      </c>
      <c r="M20" s="10">
        <v>0</v>
      </c>
      <c r="N20" s="10">
        <v>0</v>
      </c>
      <c r="O20" s="11">
        <f t="shared" si="2"/>
        <v>0</v>
      </c>
    </row>
    <row r="21" spans="1:16" hidden="1" outlineLevel="1" x14ac:dyDescent="0.35">
      <c r="A21" s="7" t="s">
        <v>32</v>
      </c>
      <c r="B21" s="14">
        <f t="shared" si="0"/>
        <v>25800</v>
      </c>
      <c r="C21" s="8">
        <v>2150</v>
      </c>
      <c r="D21" s="14">
        <v>2150</v>
      </c>
      <c r="E21" s="8">
        <v>2150</v>
      </c>
      <c r="F21" s="14">
        <v>2150</v>
      </c>
      <c r="G21" s="8">
        <v>2150</v>
      </c>
      <c r="H21" s="14">
        <v>2150</v>
      </c>
      <c r="I21" s="8">
        <v>2150</v>
      </c>
      <c r="J21" s="14">
        <v>2150</v>
      </c>
      <c r="K21" s="8">
        <v>2150</v>
      </c>
      <c r="L21" s="14">
        <v>2150</v>
      </c>
      <c r="M21" s="8">
        <v>2150</v>
      </c>
      <c r="N21" s="14">
        <v>2150</v>
      </c>
      <c r="O21" s="11">
        <f t="shared" si="2"/>
        <v>2.5083604787407579E-4</v>
      </c>
    </row>
    <row r="22" spans="1:16" hidden="1" outlineLevel="1" x14ac:dyDescent="0.35">
      <c r="A22" s="9" t="s">
        <v>33</v>
      </c>
      <c r="B22" s="10">
        <f t="shared" si="0"/>
        <v>1148400</v>
      </c>
      <c r="C22" s="10">
        <v>95700</v>
      </c>
      <c r="D22" s="10">
        <v>95700</v>
      </c>
      <c r="E22" s="10">
        <v>95700</v>
      </c>
      <c r="F22" s="10">
        <v>95700</v>
      </c>
      <c r="G22" s="10">
        <v>95700</v>
      </c>
      <c r="H22" s="10">
        <v>95700</v>
      </c>
      <c r="I22" s="10">
        <v>95700</v>
      </c>
      <c r="J22" s="10">
        <v>95700</v>
      </c>
      <c r="K22" s="10">
        <v>95700</v>
      </c>
      <c r="L22" s="10">
        <v>95700</v>
      </c>
      <c r="M22" s="10">
        <v>95700</v>
      </c>
      <c r="N22" s="10">
        <v>95700</v>
      </c>
      <c r="O22" s="11">
        <f t="shared" si="2"/>
        <v>1.1165120828627466E-2</v>
      </c>
    </row>
    <row r="23" spans="1:16" hidden="1" outlineLevel="1" x14ac:dyDescent="0.35">
      <c r="A23" s="7" t="s">
        <v>34</v>
      </c>
      <c r="B23" s="14">
        <f t="shared" si="0"/>
        <v>1153831.2</v>
      </c>
      <c r="C23" s="8">
        <v>96152.6</v>
      </c>
      <c r="D23" s="8">
        <v>96152.6</v>
      </c>
      <c r="E23" s="8">
        <v>96152.6</v>
      </c>
      <c r="F23" s="8">
        <v>96152.6</v>
      </c>
      <c r="G23" s="8">
        <v>96152.6</v>
      </c>
      <c r="H23" s="8">
        <v>96152.6</v>
      </c>
      <c r="I23" s="8">
        <v>96152.6</v>
      </c>
      <c r="J23" s="8">
        <v>96152.6</v>
      </c>
      <c r="K23" s="8">
        <v>96152.6</v>
      </c>
      <c r="L23" s="8">
        <v>96152.6</v>
      </c>
      <c r="M23" s="8">
        <v>96152.6</v>
      </c>
      <c r="N23" s="8">
        <v>96152.6</v>
      </c>
      <c r="O23" s="11">
        <f t="shared" si="2"/>
        <v>1.121792473340319E-2</v>
      </c>
    </row>
    <row r="24" spans="1:16" s="13" customFormat="1" collapsed="1" x14ac:dyDescent="0.35">
      <c r="A24" s="4" t="s">
        <v>35</v>
      </c>
      <c r="B24" s="6">
        <f>SUM(B15:B23)</f>
        <v>2868031.2</v>
      </c>
      <c r="C24" s="6">
        <f t="shared" ref="C24:N24" si="3">SUM(C15:C23)</f>
        <v>239002.6</v>
      </c>
      <c r="D24" s="6">
        <f t="shared" si="3"/>
        <v>239002.6</v>
      </c>
      <c r="E24" s="6">
        <f t="shared" si="3"/>
        <v>239002.6</v>
      </c>
      <c r="F24" s="6">
        <f t="shared" si="3"/>
        <v>239002.6</v>
      </c>
      <c r="G24" s="6">
        <f t="shared" si="3"/>
        <v>239002.6</v>
      </c>
      <c r="H24" s="6">
        <f t="shared" si="3"/>
        <v>239002.6</v>
      </c>
      <c r="I24" s="6">
        <f t="shared" si="3"/>
        <v>239002.6</v>
      </c>
      <c r="J24" s="6">
        <f t="shared" si="3"/>
        <v>239002.6</v>
      </c>
      <c r="K24" s="6">
        <f t="shared" si="3"/>
        <v>239002.6</v>
      </c>
      <c r="L24" s="6">
        <f t="shared" si="3"/>
        <v>239002.6</v>
      </c>
      <c r="M24" s="6">
        <f t="shared" si="3"/>
        <v>239002.6</v>
      </c>
      <c r="N24" s="6">
        <f t="shared" si="3"/>
        <v>239002.6</v>
      </c>
      <c r="O24" s="11">
        <f t="shared" si="2"/>
        <v>2.788393842587376E-2</v>
      </c>
      <c r="P24" s="12" t="s">
        <v>36</v>
      </c>
    </row>
    <row r="25" spans="1:16" hidden="1" outlineLevel="1" x14ac:dyDescent="0.35">
      <c r="A25" s="7" t="s">
        <v>37</v>
      </c>
      <c r="B25" s="14">
        <f t="shared" si="0"/>
        <v>399600</v>
      </c>
      <c r="C25" s="8">
        <v>33300</v>
      </c>
      <c r="D25" s="8">
        <v>33300</v>
      </c>
      <c r="E25" s="8">
        <v>33300</v>
      </c>
      <c r="F25" s="8">
        <v>33300</v>
      </c>
      <c r="G25" s="8">
        <v>33300</v>
      </c>
      <c r="H25" s="8">
        <v>33300</v>
      </c>
      <c r="I25" s="8">
        <v>33300</v>
      </c>
      <c r="J25" s="8">
        <v>33300</v>
      </c>
      <c r="K25" s="8">
        <v>33300</v>
      </c>
      <c r="L25" s="8">
        <v>33300</v>
      </c>
      <c r="M25" s="8">
        <v>33300</v>
      </c>
      <c r="N25" s="8">
        <v>33300</v>
      </c>
      <c r="O25" s="11">
        <f t="shared" si="2"/>
        <v>3.8850420438170806E-3</v>
      </c>
    </row>
    <row r="26" spans="1:16" collapsed="1" x14ac:dyDescent="0.35">
      <c r="A26" s="4" t="s">
        <v>38</v>
      </c>
      <c r="B26" s="6">
        <f>B25</f>
        <v>399600</v>
      </c>
      <c r="C26" s="6">
        <f t="shared" ref="C26:N26" si="4">C25</f>
        <v>33300</v>
      </c>
      <c r="D26" s="6">
        <f t="shared" si="4"/>
        <v>33300</v>
      </c>
      <c r="E26" s="6">
        <f t="shared" si="4"/>
        <v>33300</v>
      </c>
      <c r="F26" s="6">
        <f t="shared" si="4"/>
        <v>33300</v>
      </c>
      <c r="G26" s="6">
        <f t="shared" si="4"/>
        <v>33300</v>
      </c>
      <c r="H26" s="6">
        <f t="shared" si="4"/>
        <v>33300</v>
      </c>
      <c r="I26" s="6">
        <f t="shared" si="4"/>
        <v>33300</v>
      </c>
      <c r="J26" s="6">
        <f t="shared" si="4"/>
        <v>33300</v>
      </c>
      <c r="K26" s="6">
        <f t="shared" si="4"/>
        <v>33300</v>
      </c>
      <c r="L26" s="6">
        <f t="shared" si="4"/>
        <v>33300</v>
      </c>
      <c r="M26" s="6">
        <f t="shared" si="4"/>
        <v>33300</v>
      </c>
      <c r="N26" s="6">
        <f t="shared" si="4"/>
        <v>33300</v>
      </c>
      <c r="O26" s="11">
        <f t="shared" si="2"/>
        <v>3.8850420438170806E-3</v>
      </c>
      <c r="P26" s="1" t="s">
        <v>39</v>
      </c>
    </row>
    <row r="27" spans="1:16" hidden="1" outlineLevel="1" x14ac:dyDescent="0.35">
      <c r="A27" s="7" t="s">
        <v>40</v>
      </c>
      <c r="B27" s="14">
        <f t="shared" si="0"/>
        <v>0</v>
      </c>
      <c r="C27" s="8"/>
      <c r="D27" s="14"/>
      <c r="E27" s="8"/>
      <c r="F27" s="14"/>
      <c r="G27" s="8"/>
      <c r="H27" s="14"/>
      <c r="I27" s="8"/>
      <c r="J27" s="14"/>
      <c r="K27" s="8"/>
      <c r="L27" s="14"/>
      <c r="M27" s="8"/>
      <c r="N27" s="14"/>
      <c r="O27" s="11">
        <f t="shared" si="2"/>
        <v>0</v>
      </c>
    </row>
    <row r="28" spans="1:16" hidden="1" outlineLevel="1" x14ac:dyDescent="0.35">
      <c r="A28" s="9" t="s">
        <v>41</v>
      </c>
      <c r="B28" s="10">
        <f t="shared" si="0"/>
        <v>0</v>
      </c>
      <c r="C28" s="10"/>
      <c r="D28" s="10"/>
      <c r="E28" s="10"/>
      <c r="F28" s="10"/>
      <c r="G28" s="10"/>
      <c r="H28" s="10"/>
      <c r="I28" s="10"/>
      <c r="J28" s="10"/>
      <c r="K28" s="10"/>
      <c r="L28" s="10"/>
      <c r="M28" s="10"/>
      <c r="N28" s="10"/>
      <c r="O28" s="11">
        <f t="shared" si="2"/>
        <v>0</v>
      </c>
    </row>
    <row r="29" spans="1:16" s="13" customFormat="1" collapsed="1" x14ac:dyDescent="0.35">
      <c r="A29" s="4" t="s">
        <v>42</v>
      </c>
      <c r="B29" s="6">
        <f>SUM(B27:B28)</f>
        <v>0</v>
      </c>
      <c r="C29" s="6">
        <f t="shared" ref="C29:N29" si="5">SUM(C27:C28)</f>
        <v>0</v>
      </c>
      <c r="D29" s="6">
        <f t="shared" si="5"/>
        <v>0</v>
      </c>
      <c r="E29" s="6">
        <f t="shared" si="5"/>
        <v>0</v>
      </c>
      <c r="F29" s="6">
        <f t="shared" si="5"/>
        <v>0</v>
      </c>
      <c r="G29" s="6">
        <f t="shared" si="5"/>
        <v>0</v>
      </c>
      <c r="H29" s="6">
        <f t="shared" si="5"/>
        <v>0</v>
      </c>
      <c r="I29" s="6">
        <f t="shared" si="5"/>
        <v>0</v>
      </c>
      <c r="J29" s="6">
        <f t="shared" si="5"/>
        <v>0</v>
      </c>
      <c r="K29" s="6">
        <f t="shared" si="5"/>
        <v>0</v>
      </c>
      <c r="L29" s="6">
        <f t="shared" si="5"/>
        <v>0</v>
      </c>
      <c r="M29" s="6">
        <f t="shared" si="5"/>
        <v>0</v>
      </c>
      <c r="N29" s="6">
        <f t="shared" si="5"/>
        <v>0</v>
      </c>
      <c r="O29" s="11">
        <f t="shared" si="2"/>
        <v>0</v>
      </c>
      <c r="P29" s="12"/>
    </row>
    <row r="30" spans="1:16" hidden="1" outlineLevel="1" x14ac:dyDescent="0.35">
      <c r="A30" s="7" t="s">
        <v>43</v>
      </c>
      <c r="B30" s="14">
        <f t="shared" si="0"/>
        <v>118800</v>
      </c>
      <c r="C30" s="8">
        <v>9900</v>
      </c>
      <c r="D30" s="14">
        <v>9900</v>
      </c>
      <c r="E30" s="8">
        <v>9900</v>
      </c>
      <c r="F30" s="14">
        <v>9900</v>
      </c>
      <c r="G30" s="8">
        <v>9900</v>
      </c>
      <c r="H30" s="14">
        <v>9900</v>
      </c>
      <c r="I30" s="8">
        <v>9900</v>
      </c>
      <c r="J30" s="14">
        <v>9900</v>
      </c>
      <c r="K30" s="8">
        <v>9900</v>
      </c>
      <c r="L30" s="14">
        <v>9900</v>
      </c>
      <c r="M30" s="8">
        <v>9900</v>
      </c>
      <c r="N30" s="14">
        <v>9900</v>
      </c>
      <c r="O30" s="11">
        <f t="shared" si="2"/>
        <v>1.1550124995131862E-3</v>
      </c>
    </row>
    <row r="31" spans="1:16" s="13" customFormat="1" collapsed="1" x14ac:dyDescent="0.35">
      <c r="A31" s="4" t="s">
        <v>44</v>
      </c>
      <c r="B31" s="6">
        <f>B30</f>
        <v>118800</v>
      </c>
      <c r="C31" s="6">
        <f t="shared" ref="C31:N31" si="6">C30</f>
        <v>9900</v>
      </c>
      <c r="D31" s="6">
        <f t="shared" si="6"/>
        <v>9900</v>
      </c>
      <c r="E31" s="6">
        <f t="shared" si="6"/>
        <v>9900</v>
      </c>
      <c r="F31" s="6">
        <f t="shared" si="6"/>
        <v>9900</v>
      </c>
      <c r="G31" s="6">
        <f t="shared" si="6"/>
        <v>9900</v>
      </c>
      <c r="H31" s="6">
        <f t="shared" si="6"/>
        <v>9900</v>
      </c>
      <c r="I31" s="6">
        <f t="shared" si="6"/>
        <v>9900</v>
      </c>
      <c r="J31" s="6">
        <f t="shared" si="6"/>
        <v>9900</v>
      </c>
      <c r="K31" s="6">
        <f t="shared" si="6"/>
        <v>9900</v>
      </c>
      <c r="L31" s="6">
        <f t="shared" si="6"/>
        <v>9900</v>
      </c>
      <c r="M31" s="6">
        <f t="shared" si="6"/>
        <v>9900</v>
      </c>
      <c r="N31" s="6">
        <f t="shared" si="6"/>
        <v>9900</v>
      </c>
      <c r="O31" s="11">
        <f t="shared" si="2"/>
        <v>1.1550124995131862E-3</v>
      </c>
      <c r="P31" s="12"/>
    </row>
    <row r="32" spans="1:16" s="13" customFormat="1" x14ac:dyDescent="0.35">
      <c r="A32" s="4" t="s">
        <v>45</v>
      </c>
      <c r="B32" s="6">
        <f>SUM(C32:N32)</f>
        <v>83104.56</v>
      </c>
      <c r="C32" s="6">
        <v>6925.3799999999992</v>
      </c>
      <c r="D32" s="6">
        <v>6925.3799999999992</v>
      </c>
      <c r="E32" s="6">
        <v>6925.3799999999992</v>
      </c>
      <c r="F32" s="6">
        <v>6925.3799999999992</v>
      </c>
      <c r="G32" s="6">
        <v>6925.3799999999992</v>
      </c>
      <c r="H32" s="6">
        <v>6925.3799999999992</v>
      </c>
      <c r="I32" s="6">
        <v>6925.3799999999992</v>
      </c>
      <c r="J32" s="6">
        <v>6925.3799999999992</v>
      </c>
      <c r="K32" s="6">
        <v>6925.3799999999992</v>
      </c>
      <c r="L32" s="6">
        <v>6925.3799999999992</v>
      </c>
      <c r="M32" s="6">
        <v>6925.3799999999992</v>
      </c>
      <c r="N32" s="6">
        <v>6925.3799999999992</v>
      </c>
      <c r="O32" s="11">
        <f t="shared" si="2"/>
        <v>8.0796974382612414E-4</v>
      </c>
      <c r="P32" s="12"/>
    </row>
    <row r="33" spans="1:16" hidden="1" outlineLevel="1" x14ac:dyDescent="0.35">
      <c r="A33" s="7" t="s">
        <v>46</v>
      </c>
      <c r="B33" s="14">
        <f t="shared" ref="B33:B77" si="7">SUM(C33:N33)</f>
        <v>36000</v>
      </c>
      <c r="C33" s="8">
        <v>3000</v>
      </c>
      <c r="D33" s="8">
        <v>3000</v>
      </c>
      <c r="E33" s="8">
        <v>3000</v>
      </c>
      <c r="F33" s="8">
        <v>3000</v>
      </c>
      <c r="G33" s="8">
        <v>3000</v>
      </c>
      <c r="H33" s="8">
        <v>3000</v>
      </c>
      <c r="I33" s="8">
        <v>3000</v>
      </c>
      <c r="J33" s="8">
        <v>3000</v>
      </c>
      <c r="K33" s="8">
        <v>3000</v>
      </c>
      <c r="L33" s="8">
        <v>3000</v>
      </c>
      <c r="M33" s="8">
        <v>3000</v>
      </c>
      <c r="N33" s="8">
        <v>3000</v>
      </c>
      <c r="O33" s="11">
        <f t="shared" si="2"/>
        <v>3.500037877312685E-4</v>
      </c>
    </row>
    <row r="34" spans="1:16" hidden="1" outlineLevel="1" x14ac:dyDescent="0.35">
      <c r="A34" s="9" t="s">
        <v>47</v>
      </c>
      <c r="B34" s="10">
        <f t="shared" si="7"/>
        <v>21600</v>
      </c>
      <c r="C34" s="10">
        <v>1800</v>
      </c>
      <c r="D34" s="10">
        <v>1800</v>
      </c>
      <c r="E34" s="10">
        <v>1800</v>
      </c>
      <c r="F34" s="10">
        <v>1800</v>
      </c>
      <c r="G34" s="10">
        <v>1800</v>
      </c>
      <c r="H34" s="10">
        <v>1800</v>
      </c>
      <c r="I34" s="10">
        <v>1800</v>
      </c>
      <c r="J34" s="10">
        <v>1800</v>
      </c>
      <c r="K34" s="10">
        <v>1800</v>
      </c>
      <c r="L34" s="10">
        <v>1800</v>
      </c>
      <c r="M34" s="10">
        <v>1800</v>
      </c>
      <c r="N34" s="10">
        <v>1800</v>
      </c>
      <c r="O34" s="11">
        <f t="shared" si="2"/>
        <v>2.1000227263876111E-4</v>
      </c>
    </row>
    <row r="35" spans="1:16" hidden="1" outlineLevel="1" x14ac:dyDescent="0.35">
      <c r="A35" s="7" t="s">
        <v>48</v>
      </c>
      <c r="B35" s="14">
        <f t="shared" si="7"/>
        <v>0</v>
      </c>
      <c r="C35" s="8">
        <v>0</v>
      </c>
      <c r="D35" s="14">
        <v>0</v>
      </c>
      <c r="E35" s="8">
        <v>0</v>
      </c>
      <c r="F35" s="14">
        <v>0</v>
      </c>
      <c r="G35" s="8">
        <v>0</v>
      </c>
      <c r="H35" s="14">
        <v>0</v>
      </c>
      <c r="I35" s="8">
        <v>0</v>
      </c>
      <c r="J35" s="14">
        <v>0</v>
      </c>
      <c r="K35" s="8">
        <v>0</v>
      </c>
      <c r="L35" s="14">
        <v>0</v>
      </c>
      <c r="M35" s="8">
        <v>0</v>
      </c>
      <c r="N35" s="14">
        <v>0</v>
      </c>
      <c r="O35" s="11">
        <f t="shared" si="2"/>
        <v>0</v>
      </c>
    </row>
    <row r="36" spans="1:16" hidden="1" outlineLevel="1" x14ac:dyDescent="0.35">
      <c r="A36" s="9" t="s">
        <v>49</v>
      </c>
      <c r="B36" s="10">
        <f t="shared" si="7"/>
        <v>0</v>
      </c>
      <c r="C36" s="10">
        <v>0</v>
      </c>
      <c r="D36" s="10">
        <v>0</v>
      </c>
      <c r="E36" s="10">
        <v>0</v>
      </c>
      <c r="F36" s="10">
        <v>0</v>
      </c>
      <c r="G36" s="10">
        <v>0</v>
      </c>
      <c r="H36" s="10">
        <v>0</v>
      </c>
      <c r="I36" s="10">
        <v>0</v>
      </c>
      <c r="J36" s="10">
        <v>0</v>
      </c>
      <c r="K36" s="10">
        <v>0</v>
      </c>
      <c r="L36" s="10">
        <v>0</v>
      </c>
      <c r="M36" s="10">
        <v>0</v>
      </c>
      <c r="N36" s="10">
        <v>0</v>
      </c>
      <c r="O36" s="11">
        <f t="shared" si="2"/>
        <v>0</v>
      </c>
    </row>
    <row r="37" spans="1:16" s="13" customFormat="1" collapsed="1" x14ac:dyDescent="0.35">
      <c r="A37" s="4" t="s">
        <v>50</v>
      </c>
      <c r="B37" s="6">
        <f>SUM(B33:B36)</f>
        <v>57600</v>
      </c>
      <c r="C37" s="6">
        <f t="shared" ref="C37:N37" si="8">SUM(C33:C36)</f>
        <v>4800</v>
      </c>
      <c r="D37" s="6">
        <f t="shared" si="8"/>
        <v>4800</v>
      </c>
      <c r="E37" s="6">
        <f t="shared" si="8"/>
        <v>4800</v>
      </c>
      <c r="F37" s="6">
        <f t="shared" si="8"/>
        <v>4800</v>
      </c>
      <c r="G37" s="6">
        <f t="shared" si="8"/>
        <v>4800</v>
      </c>
      <c r="H37" s="6">
        <f t="shared" si="8"/>
        <v>4800</v>
      </c>
      <c r="I37" s="6">
        <f t="shared" si="8"/>
        <v>4800</v>
      </c>
      <c r="J37" s="6">
        <f t="shared" si="8"/>
        <v>4800</v>
      </c>
      <c r="K37" s="6">
        <f t="shared" si="8"/>
        <v>4800</v>
      </c>
      <c r="L37" s="6">
        <f t="shared" si="8"/>
        <v>4800</v>
      </c>
      <c r="M37" s="6">
        <f t="shared" si="8"/>
        <v>4800</v>
      </c>
      <c r="N37" s="6">
        <f t="shared" si="8"/>
        <v>4800</v>
      </c>
      <c r="O37" s="11">
        <f t="shared" si="2"/>
        <v>5.6000606037002966E-4</v>
      </c>
      <c r="P37" s="12"/>
    </row>
    <row r="38" spans="1:16" hidden="1" outlineLevel="1" x14ac:dyDescent="0.35">
      <c r="A38" s="7" t="s">
        <v>51</v>
      </c>
      <c r="B38" s="14">
        <f t="shared" si="7"/>
        <v>0</v>
      </c>
      <c r="C38" s="8"/>
      <c r="D38" s="8"/>
      <c r="E38" s="8"/>
      <c r="F38" s="8"/>
      <c r="G38" s="8"/>
      <c r="H38" s="8"/>
      <c r="I38" s="8"/>
      <c r="J38" s="8"/>
      <c r="K38" s="8"/>
      <c r="L38" s="8"/>
      <c r="M38" s="8"/>
      <c r="N38" s="8"/>
      <c r="O38" s="11">
        <f t="shared" si="2"/>
        <v>0</v>
      </c>
    </row>
    <row r="39" spans="1:16" hidden="1" outlineLevel="1" x14ac:dyDescent="0.35">
      <c r="A39" s="9" t="s">
        <v>52</v>
      </c>
      <c r="B39" s="10">
        <f t="shared" si="7"/>
        <v>0</v>
      </c>
      <c r="C39" s="10"/>
      <c r="D39" s="10"/>
      <c r="E39" s="10"/>
      <c r="F39" s="10"/>
      <c r="G39" s="10"/>
      <c r="H39" s="10"/>
      <c r="I39" s="10"/>
      <c r="J39" s="10"/>
      <c r="K39" s="10"/>
      <c r="L39" s="10"/>
      <c r="M39" s="10"/>
      <c r="N39" s="10"/>
      <c r="O39" s="11">
        <f t="shared" si="2"/>
        <v>0</v>
      </c>
    </row>
    <row r="40" spans="1:16" s="13" customFormat="1" collapsed="1" x14ac:dyDescent="0.35">
      <c r="A40" s="4" t="s">
        <v>53</v>
      </c>
      <c r="B40" s="6">
        <f>SUM(B38:B39)</f>
        <v>0</v>
      </c>
      <c r="C40" s="6">
        <f t="shared" ref="C40:N40" si="9">SUM(C38:C39)</f>
        <v>0</v>
      </c>
      <c r="D40" s="6">
        <f t="shared" si="9"/>
        <v>0</v>
      </c>
      <c r="E40" s="6">
        <f t="shared" si="9"/>
        <v>0</v>
      </c>
      <c r="F40" s="6">
        <f t="shared" si="9"/>
        <v>0</v>
      </c>
      <c r="G40" s="6">
        <f t="shared" si="9"/>
        <v>0</v>
      </c>
      <c r="H40" s="6">
        <f t="shared" si="9"/>
        <v>0</v>
      </c>
      <c r="I40" s="6">
        <f t="shared" si="9"/>
        <v>0</v>
      </c>
      <c r="J40" s="6">
        <f t="shared" si="9"/>
        <v>0</v>
      </c>
      <c r="K40" s="6">
        <f t="shared" si="9"/>
        <v>0</v>
      </c>
      <c r="L40" s="6">
        <f t="shared" si="9"/>
        <v>0</v>
      </c>
      <c r="M40" s="6">
        <f t="shared" si="9"/>
        <v>0</v>
      </c>
      <c r="N40" s="6">
        <f t="shared" si="9"/>
        <v>0</v>
      </c>
      <c r="O40" s="11">
        <f t="shared" si="2"/>
        <v>0</v>
      </c>
      <c r="P40" s="12" t="s">
        <v>54</v>
      </c>
    </row>
    <row r="41" spans="1:16" hidden="1" outlineLevel="1" x14ac:dyDescent="0.35">
      <c r="A41" s="7" t="s">
        <v>55</v>
      </c>
      <c r="B41" s="14">
        <f t="shared" si="7"/>
        <v>144000</v>
      </c>
      <c r="C41" s="8">
        <v>12000</v>
      </c>
      <c r="D41" s="14">
        <v>12000</v>
      </c>
      <c r="E41" s="8">
        <v>12000</v>
      </c>
      <c r="F41" s="14">
        <v>12000</v>
      </c>
      <c r="G41" s="8">
        <v>12000</v>
      </c>
      <c r="H41" s="14">
        <v>12000</v>
      </c>
      <c r="I41" s="8">
        <v>12000</v>
      </c>
      <c r="J41" s="14">
        <v>12000</v>
      </c>
      <c r="K41" s="8">
        <v>12000</v>
      </c>
      <c r="L41" s="14">
        <v>12000</v>
      </c>
      <c r="M41" s="8">
        <v>12000</v>
      </c>
      <c r="N41" s="14">
        <v>12000</v>
      </c>
      <c r="O41" s="11">
        <f t="shared" si="2"/>
        <v>1.400015150925074E-3</v>
      </c>
    </row>
    <row r="42" spans="1:16" hidden="1" outlineLevel="1" x14ac:dyDescent="0.35">
      <c r="A42" s="9" t="s">
        <v>56</v>
      </c>
      <c r="B42" s="10">
        <f t="shared" si="7"/>
        <v>115789.5</v>
      </c>
      <c r="C42" s="10">
        <v>57894.75</v>
      </c>
      <c r="D42" s="10">
        <v>0</v>
      </c>
      <c r="E42" s="10">
        <v>0</v>
      </c>
      <c r="F42" s="10">
        <v>0</v>
      </c>
      <c r="G42" s="10">
        <v>0</v>
      </c>
      <c r="H42" s="10">
        <v>0</v>
      </c>
      <c r="I42" s="10">
        <v>57894.75</v>
      </c>
      <c r="J42" s="10">
        <v>0</v>
      </c>
      <c r="K42" s="10">
        <v>0</v>
      </c>
      <c r="L42" s="10">
        <v>0</v>
      </c>
      <c r="M42" s="10">
        <v>0</v>
      </c>
      <c r="N42" s="10">
        <v>0</v>
      </c>
      <c r="O42" s="11">
        <f t="shared" si="2"/>
        <v>1.1257434327641587E-3</v>
      </c>
    </row>
    <row r="43" spans="1:16" hidden="1" outlineLevel="1" x14ac:dyDescent="0.35">
      <c r="A43" s="7" t="s">
        <v>57</v>
      </c>
      <c r="B43" s="14">
        <f t="shared" si="7"/>
        <v>114000</v>
      </c>
      <c r="C43" s="8">
        <v>28500</v>
      </c>
      <c r="D43" s="14">
        <v>0</v>
      </c>
      <c r="E43" s="8">
        <v>0</v>
      </c>
      <c r="F43" s="14">
        <v>28500</v>
      </c>
      <c r="G43" s="8">
        <v>0</v>
      </c>
      <c r="H43" s="14">
        <v>0</v>
      </c>
      <c r="I43" s="8">
        <v>28500</v>
      </c>
      <c r="J43" s="14">
        <v>0</v>
      </c>
      <c r="K43" s="8">
        <v>0</v>
      </c>
      <c r="L43" s="14">
        <v>28500</v>
      </c>
      <c r="M43" s="8">
        <v>0</v>
      </c>
      <c r="N43" s="14">
        <v>0</v>
      </c>
      <c r="O43" s="11">
        <f t="shared" si="2"/>
        <v>1.1083453278156836E-3</v>
      </c>
    </row>
    <row r="44" spans="1:16" hidden="1" outlineLevel="1" x14ac:dyDescent="0.35">
      <c r="A44" s="9" t="s">
        <v>58</v>
      </c>
      <c r="B44" s="10">
        <f t="shared" si="7"/>
        <v>0</v>
      </c>
      <c r="C44" s="10">
        <v>0</v>
      </c>
      <c r="D44" s="10">
        <v>0</v>
      </c>
      <c r="E44" s="10">
        <v>0</v>
      </c>
      <c r="F44" s="10">
        <v>0</v>
      </c>
      <c r="G44" s="10">
        <v>0</v>
      </c>
      <c r="H44" s="10">
        <v>0</v>
      </c>
      <c r="I44" s="10">
        <v>0</v>
      </c>
      <c r="J44" s="10">
        <v>0</v>
      </c>
      <c r="K44" s="10">
        <v>0</v>
      </c>
      <c r="L44" s="10">
        <v>0</v>
      </c>
      <c r="M44" s="10">
        <v>0</v>
      </c>
      <c r="N44" s="10">
        <v>0</v>
      </c>
      <c r="O44" s="11">
        <f t="shared" si="2"/>
        <v>0</v>
      </c>
    </row>
    <row r="45" spans="1:16" hidden="1" outlineLevel="1" x14ac:dyDescent="0.35">
      <c r="A45" s="7" t="s">
        <v>59</v>
      </c>
      <c r="B45" s="14">
        <f t="shared" si="7"/>
        <v>18000</v>
      </c>
      <c r="C45" s="8">
        <v>1500</v>
      </c>
      <c r="D45" s="14">
        <v>1500</v>
      </c>
      <c r="E45" s="8">
        <v>1500</v>
      </c>
      <c r="F45" s="14">
        <v>1500</v>
      </c>
      <c r="G45" s="8">
        <v>1500</v>
      </c>
      <c r="H45" s="14">
        <v>1500</v>
      </c>
      <c r="I45" s="8">
        <v>1500</v>
      </c>
      <c r="J45" s="14">
        <v>1500</v>
      </c>
      <c r="K45" s="8">
        <v>1500</v>
      </c>
      <c r="L45" s="14">
        <v>1500</v>
      </c>
      <c r="M45" s="8">
        <v>1500</v>
      </c>
      <c r="N45" s="14">
        <v>1500</v>
      </c>
      <c r="O45" s="11">
        <f t="shared" si="2"/>
        <v>1.7500189386563425E-4</v>
      </c>
    </row>
    <row r="46" spans="1:16" hidden="1" outlineLevel="1" x14ac:dyDescent="0.35">
      <c r="A46" s="9" t="s">
        <v>60</v>
      </c>
      <c r="B46" s="10">
        <f t="shared" si="7"/>
        <v>36000</v>
      </c>
      <c r="C46" s="10">
        <v>3000</v>
      </c>
      <c r="D46" s="10">
        <v>3000</v>
      </c>
      <c r="E46" s="10">
        <v>3000</v>
      </c>
      <c r="F46" s="10">
        <v>3000</v>
      </c>
      <c r="G46" s="10">
        <v>3000</v>
      </c>
      <c r="H46" s="10">
        <v>3000</v>
      </c>
      <c r="I46" s="10">
        <v>3000</v>
      </c>
      <c r="J46" s="10">
        <v>3000</v>
      </c>
      <c r="K46" s="10">
        <v>3000</v>
      </c>
      <c r="L46" s="10">
        <v>3000</v>
      </c>
      <c r="M46" s="10">
        <v>3000</v>
      </c>
      <c r="N46" s="10">
        <v>3000</v>
      </c>
      <c r="O46" s="11">
        <f t="shared" si="2"/>
        <v>3.500037877312685E-4</v>
      </c>
    </row>
    <row r="47" spans="1:16" hidden="1" outlineLevel="1" x14ac:dyDescent="0.35">
      <c r="A47" s="7" t="s">
        <v>61</v>
      </c>
      <c r="B47" s="14">
        <f t="shared" si="7"/>
        <v>49439.1</v>
      </c>
      <c r="C47" s="8">
        <v>8239.85</v>
      </c>
      <c r="D47" s="14">
        <v>0</v>
      </c>
      <c r="E47" s="8">
        <v>8239.85</v>
      </c>
      <c r="F47" s="14">
        <v>0</v>
      </c>
      <c r="G47" s="8">
        <v>8239.85</v>
      </c>
      <c r="H47" s="14">
        <v>0</v>
      </c>
      <c r="I47" s="8">
        <v>8239.85</v>
      </c>
      <c r="J47" s="14">
        <v>0</v>
      </c>
      <c r="K47" s="8">
        <v>8239.85</v>
      </c>
      <c r="L47" s="14">
        <v>0</v>
      </c>
      <c r="M47" s="8">
        <v>8239.85</v>
      </c>
      <c r="N47" s="14">
        <v>0</v>
      </c>
      <c r="O47" s="11">
        <f t="shared" si="2"/>
        <v>4.8066311838958214E-4</v>
      </c>
    </row>
    <row r="48" spans="1:16" hidden="1" outlineLevel="1" x14ac:dyDescent="0.35">
      <c r="A48" s="9" t="s">
        <v>62</v>
      </c>
      <c r="B48" s="10">
        <f t="shared" si="7"/>
        <v>3000</v>
      </c>
      <c r="C48" s="10">
        <v>250</v>
      </c>
      <c r="D48" s="10">
        <v>250</v>
      </c>
      <c r="E48" s="10">
        <v>250</v>
      </c>
      <c r="F48" s="10">
        <v>250</v>
      </c>
      <c r="G48" s="10">
        <v>250</v>
      </c>
      <c r="H48" s="10">
        <v>250</v>
      </c>
      <c r="I48" s="10">
        <v>250</v>
      </c>
      <c r="J48" s="10">
        <v>250</v>
      </c>
      <c r="K48" s="10">
        <v>250</v>
      </c>
      <c r="L48" s="10">
        <v>250</v>
      </c>
      <c r="M48" s="10">
        <v>250</v>
      </c>
      <c r="N48" s="10">
        <v>250</v>
      </c>
      <c r="O48" s="11">
        <f t="shared" si="2"/>
        <v>2.9166982310939044E-5</v>
      </c>
    </row>
    <row r="49" spans="1:15" hidden="1" outlineLevel="1" x14ac:dyDescent="0.35">
      <c r="A49" s="7" t="s">
        <v>63</v>
      </c>
      <c r="B49" s="14">
        <f t="shared" si="7"/>
        <v>0</v>
      </c>
      <c r="C49" s="8">
        <v>0</v>
      </c>
      <c r="D49" s="14">
        <v>0</v>
      </c>
      <c r="E49" s="8">
        <v>0</v>
      </c>
      <c r="F49" s="14">
        <v>0</v>
      </c>
      <c r="G49" s="8">
        <v>0</v>
      </c>
      <c r="H49" s="14">
        <v>0</v>
      </c>
      <c r="I49" s="8">
        <v>0</v>
      </c>
      <c r="J49" s="14">
        <v>0</v>
      </c>
      <c r="K49" s="8">
        <v>0</v>
      </c>
      <c r="L49" s="14">
        <v>0</v>
      </c>
      <c r="M49" s="8">
        <v>0</v>
      </c>
      <c r="N49" s="14">
        <v>0</v>
      </c>
      <c r="O49" s="11">
        <f t="shared" si="2"/>
        <v>0</v>
      </c>
    </row>
    <row r="50" spans="1:15" hidden="1" outlineLevel="1" x14ac:dyDescent="0.35">
      <c r="A50" s="9" t="s">
        <v>64</v>
      </c>
      <c r="B50" s="10">
        <f t="shared" si="7"/>
        <v>9772.5</v>
      </c>
      <c r="C50" s="10">
        <v>3257.5</v>
      </c>
      <c r="D50" s="10">
        <v>0</v>
      </c>
      <c r="E50" s="10">
        <v>0</v>
      </c>
      <c r="F50" s="10">
        <v>0</v>
      </c>
      <c r="G50" s="10">
        <v>0</v>
      </c>
      <c r="H50" s="10">
        <v>3257.5</v>
      </c>
      <c r="I50" s="10">
        <v>0</v>
      </c>
      <c r="J50" s="10">
        <v>0</v>
      </c>
      <c r="K50" s="10">
        <v>0</v>
      </c>
      <c r="L50" s="10">
        <v>0</v>
      </c>
      <c r="M50" s="10">
        <v>0</v>
      </c>
      <c r="N50" s="10">
        <v>3257.5</v>
      </c>
      <c r="O50" s="11">
        <f t="shared" si="2"/>
        <v>9.5011444877883937E-5</v>
      </c>
    </row>
    <row r="51" spans="1:15" hidden="1" outlineLevel="1" x14ac:dyDescent="0.35">
      <c r="A51" s="7" t="s">
        <v>65</v>
      </c>
      <c r="B51" s="14">
        <f t="shared" si="7"/>
        <v>0</v>
      </c>
      <c r="C51" s="8">
        <v>0</v>
      </c>
      <c r="D51" s="14">
        <v>0</v>
      </c>
      <c r="E51" s="8">
        <v>0</v>
      </c>
      <c r="F51" s="14">
        <v>0</v>
      </c>
      <c r="G51" s="8">
        <v>0</v>
      </c>
      <c r="H51" s="14">
        <v>0</v>
      </c>
      <c r="I51" s="8">
        <v>0</v>
      </c>
      <c r="J51" s="14">
        <v>0</v>
      </c>
      <c r="K51" s="8">
        <v>0</v>
      </c>
      <c r="L51" s="14">
        <v>0</v>
      </c>
      <c r="M51" s="8">
        <v>0</v>
      </c>
      <c r="N51" s="14">
        <v>0</v>
      </c>
      <c r="O51" s="11">
        <f t="shared" si="2"/>
        <v>0</v>
      </c>
    </row>
    <row r="52" spans="1:15" hidden="1" outlineLevel="1" x14ac:dyDescent="0.35">
      <c r="A52" s="9" t="s">
        <v>66</v>
      </c>
      <c r="B52" s="10">
        <f t="shared" si="7"/>
        <v>24360</v>
      </c>
      <c r="C52" s="10">
        <v>0</v>
      </c>
      <c r="D52" s="10">
        <v>0</v>
      </c>
      <c r="E52" s="10">
        <v>0</v>
      </c>
      <c r="F52" s="10">
        <v>0</v>
      </c>
      <c r="G52" s="10">
        <v>0</v>
      </c>
      <c r="H52" s="10">
        <v>24360</v>
      </c>
      <c r="I52" s="10">
        <v>0</v>
      </c>
      <c r="J52" s="10">
        <v>0</v>
      </c>
      <c r="K52" s="10">
        <v>0</v>
      </c>
      <c r="L52" s="10">
        <v>0</v>
      </c>
      <c r="M52" s="10">
        <v>0</v>
      </c>
      <c r="N52" s="10">
        <v>0</v>
      </c>
      <c r="O52" s="11">
        <f t="shared" si="2"/>
        <v>2.3683589636482502E-4</v>
      </c>
    </row>
    <row r="53" spans="1:15" hidden="1" outlineLevel="1" x14ac:dyDescent="0.35">
      <c r="A53" s="7" t="s">
        <v>67</v>
      </c>
      <c r="B53" s="14">
        <f t="shared" si="7"/>
        <v>14400</v>
      </c>
      <c r="C53" s="8">
        <v>1200</v>
      </c>
      <c r="D53" s="14">
        <v>1200</v>
      </c>
      <c r="E53" s="8">
        <v>1200</v>
      </c>
      <c r="F53" s="14">
        <v>1200</v>
      </c>
      <c r="G53" s="8">
        <v>1200</v>
      </c>
      <c r="H53" s="14">
        <v>1200</v>
      </c>
      <c r="I53" s="8">
        <v>1200</v>
      </c>
      <c r="J53" s="14">
        <v>1200</v>
      </c>
      <c r="K53" s="8">
        <v>1200</v>
      </c>
      <c r="L53" s="14">
        <v>1200</v>
      </c>
      <c r="M53" s="8">
        <v>1200</v>
      </c>
      <c r="N53" s="14">
        <v>1200</v>
      </c>
      <c r="O53" s="11">
        <f t="shared" si="2"/>
        <v>1.4000151509250741E-4</v>
      </c>
    </row>
    <row r="54" spans="1:15" hidden="1" outlineLevel="1" x14ac:dyDescent="0.35">
      <c r="A54" s="9" t="s">
        <v>68</v>
      </c>
      <c r="B54" s="10">
        <f t="shared" si="7"/>
        <v>0</v>
      </c>
      <c r="C54" s="10">
        <v>0</v>
      </c>
      <c r="D54" s="10">
        <v>0</v>
      </c>
      <c r="E54" s="10">
        <v>0</v>
      </c>
      <c r="F54" s="10">
        <v>0</v>
      </c>
      <c r="G54" s="10">
        <v>0</v>
      </c>
      <c r="H54" s="10">
        <v>0</v>
      </c>
      <c r="I54" s="10">
        <v>0</v>
      </c>
      <c r="J54" s="10">
        <v>0</v>
      </c>
      <c r="K54" s="10">
        <v>0</v>
      </c>
      <c r="L54" s="10">
        <v>0</v>
      </c>
      <c r="M54" s="10">
        <v>0</v>
      </c>
      <c r="N54" s="10">
        <v>0</v>
      </c>
      <c r="O54" s="11">
        <f t="shared" si="2"/>
        <v>0</v>
      </c>
    </row>
    <row r="55" spans="1:15" hidden="1" outlineLevel="1" x14ac:dyDescent="0.35">
      <c r="A55" s="7" t="s">
        <v>69</v>
      </c>
      <c r="B55" s="14">
        <f t="shared" si="7"/>
        <v>315000</v>
      </c>
      <c r="C55" s="8">
        <v>105000</v>
      </c>
      <c r="D55" s="14">
        <v>0</v>
      </c>
      <c r="E55" s="8">
        <v>0</v>
      </c>
      <c r="F55" s="14">
        <v>0</v>
      </c>
      <c r="G55" s="8">
        <v>0</v>
      </c>
      <c r="H55" s="14">
        <v>105000</v>
      </c>
      <c r="I55" s="8">
        <v>0</v>
      </c>
      <c r="J55" s="14">
        <v>0</v>
      </c>
      <c r="K55" s="8">
        <v>0</v>
      </c>
      <c r="L55" s="14">
        <v>0</v>
      </c>
      <c r="M55" s="8">
        <v>0</v>
      </c>
      <c r="N55" s="14">
        <v>105000</v>
      </c>
      <c r="O55" s="11">
        <f t="shared" si="2"/>
        <v>3.0625331426485996E-3</v>
      </c>
    </row>
    <row r="56" spans="1:15" hidden="1" outlineLevel="1" x14ac:dyDescent="0.35">
      <c r="A56" s="9" t="s">
        <v>70</v>
      </c>
      <c r="B56" s="10">
        <f t="shared" si="7"/>
        <v>0</v>
      </c>
      <c r="C56" s="10">
        <v>0</v>
      </c>
      <c r="D56" s="10">
        <v>0</v>
      </c>
      <c r="E56" s="10">
        <v>0</v>
      </c>
      <c r="F56" s="10">
        <v>0</v>
      </c>
      <c r="G56" s="10">
        <v>0</v>
      </c>
      <c r="H56" s="10">
        <v>0</v>
      </c>
      <c r="I56" s="10">
        <v>0</v>
      </c>
      <c r="J56" s="10">
        <v>0</v>
      </c>
      <c r="K56" s="10">
        <v>0</v>
      </c>
      <c r="L56" s="10">
        <v>0</v>
      </c>
      <c r="M56" s="10">
        <v>0</v>
      </c>
      <c r="N56" s="10">
        <v>0</v>
      </c>
      <c r="O56" s="11">
        <f t="shared" si="2"/>
        <v>0</v>
      </c>
    </row>
    <row r="57" spans="1:15" hidden="1" outlineLevel="1" x14ac:dyDescent="0.35">
      <c r="A57" s="7" t="s">
        <v>71</v>
      </c>
      <c r="B57" s="14">
        <f t="shared" si="7"/>
        <v>360000</v>
      </c>
      <c r="C57" s="8">
        <v>30000</v>
      </c>
      <c r="D57" s="14">
        <v>30000</v>
      </c>
      <c r="E57" s="8">
        <v>30000</v>
      </c>
      <c r="F57" s="14">
        <v>30000</v>
      </c>
      <c r="G57" s="8">
        <v>30000</v>
      </c>
      <c r="H57" s="14">
        <v>30000</v>
      </c>
      <c r="I57" s="8">
        <v>30000</v>
      </c>
      <c r="J57" s="14">
        <v>30000</v>
      </c>
      <c r="K57" s="8">
        <v>30000</v>
      </c>
      <c r="L57" s="14">
        <v>30000</v>
      </c>
      <c r="M57" s="8">
        <v>30000</v>
      </c>
      <c r="N57" s="14">
        <v>30000</v>
      </c>
      <c r="O57" s="11">
        <f t="shared" si="2"/>
        <v>3.5000378773126853E-3</v>
      </c>
    </row>
    <row r="58" spans="1:15" hidden="1" outlineLevel="1" x14ac:dyDescent="0.35">
      <c r="A58" s="9" t="s">
        <v>72</v>
      </c>
      <c r="B58" s="10">
        <f t="shared" si="7"/>
        <v>360000</v>
      </c>
      <c r="C58" s="10">
        <v>30000</v>
      </c>
      <c r="D58" s="10">
        <v>30000</v>
      </c>
      <c r="E58" s="10">
        <v>30000</v>
      </c>
      <c r="F58" s="10">
        <v>30000</v>
      </c>
      <c r="G58" s="10">
        <v>30000</v>
      </c>
      <c r="H58" s="10">
        <v>30000</v>
      </c>
      <c r="I58" s="10">
        <v>30000</v>
      </c>
      <c r="J58" s="10">
        <v>30000</v>
      </c>
      <c r="K58" s="10">
        <v>30000</v>
      </c>
      <c r="L58" s="10">
        <v>30000</v>
      </c>
      <c r="M58" s="10">
        <v>30000</v>
      </c>
      <c r="N58" s="10">
        <v>30000</v>
      </c>
      <c r="O58" s="11">
        <f t="shared" si="2"/>
        <v>3.5000378773126853E-3</v>
      </c>
    </row>
    <row r="59" spans="1:15" hidden="1" outlineLevel="1" x14ac:dyDescent="0.35">
      <c r="A59" s="7" t="s">
        <v>73</v>
      </c>
      <c r="B59" s="14">
        <f t="shared" si="7"/>
        <v>144000</v>
      </c>
      <c r="C59" s="8">
        <v>12000</v>
      </c>
      <c r="D59" s="14">
        <v>12000</v>
      </c>
      <c r="E59" s="8">
        <v>12000</v>
      </c>
      <c r="F59" s="14">
        <v>12000</v>
      </c>
      <c r="G59" s="8">
        <v>12000</v>
      </c>
      <c r="H59" s="14">
        <v>12000</v>
      </c>
      <c r="I59" s="8">
        <v>12000</v>
      </c>
      <c r="J59" s="14">
        <v>12000</v>
      </c>
      <c r="K59" s="8">
        <v>12000</v>
      </c>
      <c r="L59" s="14">
        <v>12000</v>
      </c>
      <c r="M59" s="8">
        <v>12000</v>
      </c>
      <c r="N59" s="14">
        <v>12000</v>
      </c>
      <c r="O59" s="11">
        <f t="shared" si="2"/>
        <v>1.400015150925074E-3</v>
      </c>
    </row>
    <row r="60" spans="1:15" hidden="1" outlineLevel="1" x14ac:dyDescent="0.35">
      <c r="A60" s="9" t="s">
        <v>74</v>
      </c>
      <c r="B60" s="10">
        <f t="shared" si="7"/>
        <v>0</v>
      </c>
      <c r="C60" s="10">
        <v>0</v>
      </c>
      <c r="D60" s="10">
        <v>0</v>
      </c>
      <c r="E60" s="10">
        <v>0</v>
      </c>
      <c r="F60" s="10">
        <v>0</v>
      </c>
      <c r="G60" s="10">
        <v>0</v>
      </c>
      <c r="H60" s="10">
        <v>0</v>
      </c>
      <c r="I60" s="10">
        <v>0</v>
      </c>
      <c r="J60" s="10">
        <v>0</v>
      </c>
      <c r="K60" s="10">
        <v>0</v>
      </c>
      <c r="L60" s="10">
        <v>0</v>
      </c>
      <c r="M60" s="10">
        <v>0</v>
      </c>
      <c r="N60" s="10">
        <v>0</v>
      </c>
      <c r="O60" s="11">
        <f t="shared" si="2"/>
        <v>0</v>
      </c>
    </row>
    <row r="61" spans="1:15" hidden="1" outlineLevel="1" x14ac:dyDescent="0.35">
      <c r="A61" s="7" t="s">
        <v>75</v>
      </c>
      <c r="B61" s="14">
        <f t="shared" si="7"/>
        <v>96000</v>
      </c>
      <c r="C61" s="8">
        <v>8000</v>
      </c>
      <c r="D61" s="14">
        <v>8000</v>
      </c>
      <c r="E61" s="8">
        <v>8000</v>
      </c>
      <c r="F61" s="14">
        <v>8000</v>
      </c>
      <c r="G61" s="8">
        <v>8000</v>
      </c>
      <c r="H61" s="14">
        <v>8000</v>
      </c>
      <c r="I61" s="8">
        <v>8000</v>
      </c>
      <c r="J61" s="14">
        <v>8000</v>
      </c>
      <c r="K61" s="8">
        <v>8000</v>
      </c>
      <c r="L61" s="14">
        <v>8000</v>
      </c>
      <c r="M61" s="8">
        <v>8000</v>
      </c>
      <c r="N61" s="14">
        <v>8000</v>
      </c>
      <c r="O61" s="11">
        <f t="shared" si="2"/>
        <v>9.333434339500494E-4</v>
      </c>
    </row>
    <row r="62" spans="1:15" hidden="1" outlineLevel="1" x14ac:dyDescent="0.35">
      <c r="A62" s="9" t="s">
        <v>76</v>
      </c>
      <c r="B62" s="10">
        <f t="shared" si="7"/>
        <v>0</v>
      </c>
      <c r="C62" s="10">
        <v>0</v>
      </c>
      <c r="D62" s="10">
        <v>0</v>
      </c>
      <c r="E62" s="10">
        <v>0</v>
      </c>
      <c r="F62" s="10">
        <v>0</v>
      </c>
      <c r="G62" s="10">
        <v>0</v>
      </c>
      <c r="H62" s="10">
        <v>0</v>
      </c>
      <c r="I62" s="10">
        <v>0</v>
      </c>
      <c r="J62" s="10">
        <v>0</v>
      </c>
      <c r="K62" s="10">
        <v>0</v>
      </c>
      <c r="L62" s="10">
        <v>0</v>
      </c>
      <c r="M62" s="10">
        <v>0</v>
      </c>
      <c r="N62" s="10">
        <v>0</v>
      </c>
      <c r="O62" s="11">
        <f t="shared" si="2"/>
        <v>0</v>
      </c>
    </row>
    <row r="63" spans="1:15" hidden="1" outlineLevel="1" x14ac:dyDescent="0.35">
      <c r="A63" s="7" t="s">
        <v>77</v>
      </c>
      <c r="B63" s="14">
        <f t="shared" si="7"/>
        <v>712800</v>
      </c>
      <c r="C63" s="8">
        <v>59400</v>
      </c>
      <c r="D63" s="14">
        <v>59400</v>
      </c>
      <c r="E63" s="8">
        <v>59400</v>
      </c>
      <c r="F63" s="14">
        <v>59400</v>
      </c>
      <c r="G63" s="8">
        <v>59400</v>
      </c>
      <c r="H63" s="14">
        <v>59400</v>
      </c>
      <c r="I63" s="8">
        <v>59400</v>
      </c>
      <c r="J63" s="14">
        <v>59400</v>
      </c>
      <c r="K63" s="8">
        <v>59400</v>
      </c>
      <c r="L63" s="14">
        <v>59400</v>
      </c>
      <c r="M63" s="8">
        <v>59400</v>
      </c>
      <c r="N63" s="14">
        <v>59400</v>
      </c>
      <c r="O63" s="11">
        <f t="shared" si="2"/>
        <v>6.9300749970791168E-3</v>
      </c>
    </row>
    <row r="64" spans="1:15" hidden="1" outlineLevel="1" x14ac:dyDescent="0.35">
      <c r="A64" s="9" t="s">
        <v>78</v>
      </c>
      <c r="B64" s="10">
        <f t="shared" si="7"/>
        <v>0</v>
      </c>
      <c r="C64" s="10">
        <v>0</v>
      </c>
      <c r="D64" s="10">
        <v>0</v>
      </c>
      <c r="E64" s="10">
        <v>0</v>
      </c>
      <c r="F64" s="10">
        <v>0</v>
      </c>
      <c r="G64" s="10">
        <v>0</v>
      </c>
      <c r="H64" s="10">
        <v>0</v>
      </c>
      <c r="I64" s="10">
        <v>0</v>
      </c>
      <c r="J64" s="10">
        <v>0</v>
      </c>
      <c r="K64" s="10">
        <v>0</v>
      </c>
      <c r="L64" s="10">
        <v>0</v>
      </c>
      <c r="M64" s="10">
        <v>0</v>
      </c>
      <c r="N64" s="10">
        <v>0</v>
      </c>
      <c r="O64" s="11">
        <f t="shared" si="2"/>
        <v>0</v>
      </c>
    </row>
    <row r="65" spans="1:16" hidden="1" outlineLevel="1" x14ac:dyDescent="0.35">
      <c r="A65" s="7" t="s">
        <v>79</v>
      </c>
      <c r="B65" s="14">
        <f t="shared" si="7"/>
        <v>0</v>
      </c>
      <c r="C65" s="8">
        <v>0</v>
      </c>
      <c r="D65" s="14">
        <v>0</v>
      </c>
      <c r="E65" s="8">
        <v>0</v>
      </c>
      <c r="F65" s="14">
        <v>0</v>
      </c>
      <c r="G65" s="8">
        <v>0</v>
      </c>
      <c r="H65" s="14">
        <v>0</v>
      </c>
      <c r="I65" s="8">
        <v>0</v>
      </c>
      <c r="J65" s="14">
        <v>0</v>
      </c>
      <c r="K65" s="8">
        <v>0</v>
      </c>
      <c r="L65" s="14">
        <v>0</v>
      </c>
      <c r="M65" s="8">
        <v>0</v>
      </c>
      <c r="N65" s="14">
        <v>0</v>
      </c>
      <c r="O65" s="11">
        <f t="shared" si="2"/>
        <v>0</v>
      </c>
    </row>
    <row r="66" spans="1:16" hidden="1" outlineLevel="1" x14ac:dyDescent="0.35">
      <c r="A66" s="9" t="s">
        <v>80</v>
      </c>
      <c r="B66" s="10">
        <f t="shared" si="7"/>
        <v>270000</v>
      </c>
      <c r="C66" s="10">
        <v>0</v>
      </c>
      <c r="D66" s="10">
        <v>0</v>
      </c>
      <c r="E66" s="10">
        <v>0</v>
      </c>
      <c r="F66" s="10">
        <v>270000</v>
      </c>
      <c r="G66" s="10">
        <v>0</v>
      </c>
      <c r="H66" s="10">
        <v>0</v>
      </c>
      <c r="I66" s="10">
        <v>0</v>
      </c>
      <c r="J66" s="10">
        <v>0</v>
      </c>
      <c r="K66" s="10">
        <v>0</v>
      </c>
      <c r="L66" s="10">
        <v>0</v>
      </c>
      <c r="M66" s="10">
        <v>0</v>
      </c>
      <c r="N66" s="10">
        <v>0</v>
      </c>
      <c r="O66" s="11">
        <f t="shared" si="2"/>
        <v>2.625028407984514E-3</v>
      </c>
    </row>
    <row r="67" spans="1:16" hidden="1" outlineLevel="1" x14ac:dyDescent="0.35">
      <c r="A67" s="7" t="s">
        <v>81</v>
      </c>
      <c r="B67" s="14">
        <f t="shared" si="7"/>
        <v>0</v>
      </c>
      <c r="C67" s="8">
        <v>0</v>
      </c>
      <c r="D67" s="14">
        <v>0</v>
      </c>
      <c r="E67" s="8">
        <v>0</v>
      </c>
      <c r="F67" s="14">
        <v>0</v>
      </c>
      <c r="G67" s="8">
        <v>0</v>
      </c>
      <c r="H67" s="14">
        <v>0</v>
      </c>
      <c r="I67" s="8">
        <v>0</v>
      </c>
      <c r="J67" s="14">
        <v>0</v>
      </c>
      <c r="K67" s="8">
        <v>0</v>
      </c>
      <c r="L67" s="14">
        <v>0</v>
      </c>
      <c r="M67" s="8">
        <v>0</v>
      </c>
      <c r="N67" s="14">
        <v>0</v>
      </c>
      <c r="O67" s="11">
        <f t="shared" si="2"/>
        <v>0</v>
      </c>
    </row>
    <row r="68" spans="1:16" hidden="1" outlineLevel="1" x14ac:dyDescent="0.35">
      <c r="A68" s="9" t="s">
        <v>82</v>
      </c>
      <c r="B68" s="10">
        <f t="shared" si="7"/>
        <v>28800</v>
      </c>
      <c r="C68" s="10">
        <v>0</v>
      </c>
      <c r="D68" s="10">
        <v>0</v>
      </c>
      <c r="E68" s="10">
        <v>0</v>
      </c>
      <c r="F68" s="10">
        <v>0</v>
      </c>
      <c r="G68" s="10">
        <v>0</v>
      </c>
      <c r="H68" s="10">
        <v>0</v>
      </c>
      <c r="I68" s="10">
        <v>0</v>
      </c>
      <c r="J68" s="10">
        <v>28800</v>
      </c>
      <c r="K68" s="10">
        <v>0</v>
      </c>
      <c r="L68" s="10">
        <v>0</v>
      </c>
      <c r="M68" s="10">
        <v>0</v>
      </c>
      <c r="N68" s="10">
        <v>0</v>
      </c>
      <c r="O68" s="11">
        <f t="shared" si="2"/>
        <v>2.8000303018501483E-4</v>
      </c>
    </row>
    <row r="69" spans="1:16" hidden="1" outlineLevel="1" x14ac:dyDescent="0.35">
      <c r="A69" s="7" t="s">
        <v>83</v>
      </c>
      <c r="B69" s="14">
        <f t="shared" si="7"/>
        <v>0</v>
      </c>
      <c r="C69" s="8">
        <v>0</v>
      </c>
      <c r="D69" s="14">
        <v>0</v>
      </c>
      <c r="E69" s="8">
        <v>0</v>
      </c>
      <c r="F69" s="14">
        <v>0</v>
      </c>
      <c r="G69" s="8">
        <v>0</v>
      </c>
      <c r="H69" s="14">
        <v>0</v>
      </c>
      <c r="I69" s="8">
        <v>0</v>
      </c>
      <c r="J69" s="14">
        <v>0</v>
      </c>
      <c r="K69" s="8">
        <v>0</v>
      </c>
      <c r="L69" s="14">
        <v>0</v>
      </c>
      <c r="M69" s="8">
        <v>0</v>
      </c>
      <c r="N69" s="14">
        <v>0</v>
      </c>
      <c r="O69" s="11">
        <f t="shared" si="2"/>
        <v>0</v>
      </c>
    </row>
    <row r="70" spans="1:16" hidden="1" outlineLevel="1" x14ac:dyDescent="0.35">
      <c r="A70" s="9" t="s">
        <v>84</v>
      </c>
      <c r="B70" s="10">
        <f t="shared" si="7"/>
        <v>360000</v>
      </c>
      <c r="C70" s="10">
        <v>30000</v>
      </c>
      <c r="D70" s="10">
        <v>30000</v>
      </c>
      <c r="E70" s="10">
        <v>30000</v>
      </c>
      <c r="F70" s="10">
        <v>30000</v>
      </c>
      <c r="G70" s="10">
        <v>30000</v>
      </c>
      <c r="H70" s="10">
        <v>30000</v>
      </c>
      <c r="I70" s="10">
        <v>30000</v>
      </c>
      <c r="J70" s="10">
        <v>30000</v>
      </c>
      <c r="K70" s="10">
        <v>30000</v>
      </c>
      <c r="L70" s="10">
        <v>30000</v>
      </c>
      <c r="M70" s="10">
        <v>30000</v>
      </c>
      <c r="N70" s="10">
        <v>30000</v>
      </c>
      <c r="O70" s="11">
        <f t="shared" si="2"/>
        <v>3.5000378773126853E-3</v>
      </c>
    </row>
    <row r="71" spans="1:16" hidden="1" outlineLevel="1" x14ac:dyDescent="0.35">
      <c r="A71" s="7" t="s">
        <v>85</v>
      </c>
      <c r="B71" s="14">
        <f t="shared" si="7"/>
        <v>0</v>
      </c>
      <c r="C71" s="8">
        <v>0</v>
      </c>
      <c r="D71" s="14">
        <v>0</v>
      </c>
      <c r="E71" s="8">
        <v>0</v>
      </c>
      <c r="F71" s="14">
        <v>0</v>
      </c>
      <c r="G71" s="8">
        <v>0</v>
      </c>
      <c r="H71" s="14">
        <v>0</v>
      </c>
      <c r="I71" s="8">
        <v>0</v>
      </c>
      <c r="J71" s="14">
        <v>0</v>
      </c>
      <c r="K71" s="8">
        <v>0</v>
      </c>
      <c r="L71" s="14">
        <v>0</v>
      </c>
      <c r="M71" s="8">
        <v>0</v>
      </c>
      <c r="N71" s="14">
        <v>0</v>
      </c>
      <c r="O71" s="11">
        <f t="shared" si="2"/>
        <v>0</v>
      </c>
    </row>
    <row r="72" spans="1:16" hidden="1" outlineLevel="1" x14ac:dyDescent="0.35">
      <c r="A72" s="9" t="s">
        <v>86</v>
      </c>
      <c r="B72" s="10">
        <f t="shared" si="7"/>
        <v>0</v>
      </c>
      <c r="C72" s="10">
        <v>0</v>
      </c>
      <c r="D72" s="10">
        <v>0</v>
      </c>
      <c r="E72" s="10">
        <v>0</v>
      </c>
      <c r="F72" s="10">
        <v>0</v>
      </c>
      <c r="G72" s="10">
        <v>0</v>
      </c>
      <c r="H72" s="10">
        <v>0</v>
      </c>
      <c r="I72" s="10">
        <v>0</v>
      </c>
      <c r="J72" s="10">
        <v>0</v>
      </c>
      <c r="K72" s="10">
        <v>0</v>
      </c>
      <c r="L72" s="10">
        <v>0</v>
      </c>
      <c r="M72" s="10">
        <v>0</v>
      </c>
      <c r="N72" s="10">
        <v>0</v>
      </c>
      <c r="O72" s="11">
        <f t="shared" si="2"/>
        <v>0</v>
      </c>
    </row>
    <row r="73" spans="1:16" hidden="1" outlineLevel="1" x14ac:dyDescent="0.35">
      <c r="A73" s="7" t="s">
        <v>87</v>
      </c>
      <c r="B73" s="14">
        <f t="shared" si="7"/>
        <v>0</v>
      </c>
      <c r="C73" s="8">
        <v>0</v>
      </c>
      <c r="D73" s="14">
        <v>0</v>
      </c>
      <c r="E73" s="8">
        <v>0</v>
      </c>
      <c r="F73" s="14">
        <v>0</v>
      </c>
      <c r="G73" s="8">
        <v>0</v>
      </c>
      <c r="H73" s="14">
        <v>0</v>
      </c>
      <c r="I73" s="8">
        <v>0</v>
      </c>
      <c r="J73" s="14">
        <v>0</v>
      </c>
      <c r="K73" s="8">
        <v>0</v>
      </c>
      <c r="L73" s="14">
        <v>0</v>
      </c>
      <c r="M73" s="8">
        <v>0</v>
      </c>
      <c r="N73" s="14">
        <v>0</v>
      </c>
      <c r="O73" s="11">
        <f t="shared" si="2"/>
        <v>0</v>
      </c>
    </row>
    <row r="74" spans="1:16" hidden="1" outlineLevel="1" x14ac:dyDescent="0.35">
      <c r="A74" s="9" t="s">
        <v>88</v>
      </c>
      <c r="B74" s="10">
        <f t="shared" si="7"/>
        <v>0</v>
      </c>
      <c r="C74" s="10">
        <v>0</v>
      </c>
      <c r="D74" s="10">
        <v>0</v>
      </c>
      <c r="E74" s="10">
        <v>0</v>
      </c>
      <c r="F74" s="10">
        <v>0</v>
      </c>
      <c r="G74" s="10">
        <v>0</v>
      </c>
      <c r="H74" s="10">
        <v>0</v>
      </c>
      <c r="I74" s="10">
        <v>0</v>
      </c>
      <c r="J74" s="10">
        <v>0</v>
      </c>
      <c r="K74" s="10">
        <v>0</v>
      </c>
      <c r="L74" s="10">
        <v>0</v>
      </c>
      <c r="M74" s="10">
        <v>0</v>
      </c>
      <c r="N74" s="10">
        <v>0</v>
      </c>
      <c r="O74" s="11">
        <f t="shared" si="2"/>
        <v>0</v>
      </c>
    </row>
    <row r="75" spans="1:16" hidden="1" outlineLevel="1" x14ac:dyDescent="0.35">
      <c r="A75" s="7" t="s">
        <v>89</v>
      </c>
      <c r="B75" s="14">
        <f t="shared" si="7"/>
        <v>0</v>
      </c>
      <c r="C75" s="8">
        <v>0</v>
      </c>
      <c r="D75" s="14">
        <v>0</v>
      </c>
      <c r="E75" s="8">
        <v>0</v>
      </c>
      <c r="F75" s="14">
        <v>0</v>
      </c>
      <c r="G75" s="8">
        <v>0</v>
      </c>
      <c r="H75" s="14">
        <v>0</v>
      </c>
      <c r="I75" s="8">
        <v>0</v>
      </c>
      <c r="J75" s="14">
        <v>0</v>
      </c>
      <c r="K75" s="8">
        <v>0</v>
      </c>
      <c r="L75" s="14">
        <v>0</v>
      </c>
      <c r="M75" s="8">
        <v>0</v>
      </c>
      <c r="N75" s="14">
        <v>0</v>
      </c>
      <c r="O75" s="11">
        <f t="shared" si="2"/>
        <v>0</v>
      </c>
    </row>
    <row r="76" spans="1:16" s="13" customFormat="1" collapsed="1" x14ac:dyDescent="0.35">
      <c r="A76" s="4" t="s">
        <v>90</v>
      </c>
      <c r="B76" s="6">
        <f>SUM(B41:B75)</f>
        <v>3175361.1</v>
      </c>
      <c r="C76" s="6">
        <f>SUM(C41:C75)</f>
        <v>390242.1</v>
      </c>
      <c r="D76" s="6">
        <f>SUM(D41:D75)</f>
        <v>187350</v>
      </c>
      <c r="E76" s="6">
        <f t="shared" ref="E76:N76" si="10">SUM(E41:E75)</f>
        <v>195589.85</v>
      </c>
      <c r="F76" s="6">
        <f t="shared" si="10"/>
        <v>485850</v>
      </c>
      <c r="G76" s="6">
        <f t="shared" si="10"/>
        <v>195589.85</v>
      </c>
      <c r="H76" s="6">
        <f t="shared" si="10"/>
        <v>319967.5</v>
      </c>
      <c r="I76" s="6">
        <f t="shared" si="10"/>
        <v>281984.59999999998</v>
      </c>
      <c r="J76" s="6">
        <f t="shared" si="10"/>
        <v>216150</v>
      </c>
      <c r="K76" s="6">
        <f t="shared" si="10"/>
        <v>195589.85</v>
      </c>
      <c r="L76" s="6">
        <f t="shared" si="10"/>
        <v>215850</v>
      </c>
      <c r="M76" s="6">
        <f t="shared" si="10"/>
        <v>195589.85</v>
      </c>
      <c r="N76" s="6">
        <f t="shared" si="10"/>
        <v>295607.5</v>
      </c>
      <c r="O76" s="11">
        <f t="shared" si="2"/>
        <v>3.0871900344847981E-2</v>
      </c>
      <c r="P76" s="12"/>
    </row>
    <row r="77" spans="1:16" hidden="1" outlineLevel="1" x14ac:dyDescent="0.35">
      <c r="A77" s="7" t="s">
        <v>91</v>
      </c>
      <c r="B77" s="14">
        <f t="shared" si="7"/>
        <v>50400</v>
      </c>
      <c r="C77" s="8">
        <v>4200</v>
      </c>
      <c r="D77" s="8">
        <v>4200</v>
      </c>
      <c r="E77" s="8">
        <v>4200</v>
      </c>
      <c r="F77" s="8">
        <v>4200</v>
      </c>
      <c r="G77" s="8">
        <v>4200</v>
      </c>
      <c r="H77" s="8">
        <v>4200</v>
      </c>
      <c r="I77" s="8">
        <v>4200</v>
      </c>
      <c r="J77" s="8">
        <v>4200</v>
      </c>
      <c r="K77" s="8">
        <v>4200</v>
      </c>
      <c r="L77" s="8">
        <v>4200</v>
      </c>
      <c r="M77" s="8">
        <v>4200</v>
      </c>
      <c r="N77" s="8">
        <v>4200</v>
      </c>
      <c r="O77" s="11">
        <f t="shared" si="2"/>
        <v>4.9000530282377588E-4</v>
      </c>
    </row>
    <row r="78" spans="1:16" s="13" customFormat="1" collapsed="1" x14ac:dyDescent="0.35">
      <c r="A78" s="4" t="s">
        <v>92</v>
      </c>
      <c r="B78" s="6">
        <f>B77</f>
        <v>50400</v>
      </c>
      <c r="C78" s="6">
        <f t="shared" ref="C78:N78" si="11">C77</f>
        <v>4200</v>
      </c>
      <c r="D78" s="6">
        <f t="shared" si="11"/>
        <v>4200</v>
      </c>
      <c r="E78" s="6">
        <f t="shared" si="11"/>
        <v>4200</v>
      </c>
      <c r="F78" s="6">
        <f t="shared" si="11"/>
        <v>4200</v>
      </c>
      <c r="G78" s="6">
        <f t="shared" si="11"/>
        <v>4200</v>
      </c>
      <c r="H78" s="6">
        <f t="shared" si="11"/>
        <v>4200</v>
      </c>
      <c r="I78" s="6">
        <f t="shared" si="11"/>
        <v>4200</v>
      </c>
      <c r="J78" s="6">
        <f t="shared" si="11"/>
        <v>4200</v>
      </c>
      <c r="K78" s="6">
        <f t="shared" si="11"/>
        <v>4200</v>
      </c>
      <c r="L78" s="6">
        <f t="shared" si="11"/>
        <v>4200</v>
      </c>
      <c r="M78" s="6">
        <f t="shared" si="11"/>
        <v>4200</v>
      </c>
      <c r="N78" s="6">
        <f t="shared" si="11"/>
        <v>4200</v>
      </c>
      <c r="O78" s="11">
        <f t="shared" ref="O78:O106" si="12">B78/$B$163</f>
        <v>4.9000530282377588E-4</v>
      </c>
      <c r="P78" s="12"/>
    </row>
    <row r="79" spans="1:16" s="13" customFormat="1" x14ac:dyDescent="0.35">
      <c r="A79" s="4" t="s">
        <v>93</v>
      </c>
      <c r="B79" s="6">
        <f>SUM(C79:N79)</f>
        <v>23780000</v>
      </c>
      <c r="C79" s="6">
        <v>1640000</v>
      </c>
      <c r="D79" s="6">
        <v>1640000</v>
      </c>
      <c r="E79" s="6">
        <v>1640000</v>
      </c>
      <c r="F79" s="6">
        <v>1640000</v>
      </c>
      <c r="G79" s="6">
        <v>3280000</v>
      </c>
      <c r="H79" s="6">
        <v>1640000</v>
      </c>
      <c r="I79" s="6">
        <v>1640000</v>
      </c>
      <c r="J79" s="6">
        <v>1640000</v>
      </c>
      <c r="K79" s="6">
        <v>1640000</v>
      </c>
      <c r="L79" s="6">
        <v>2460000</v>
      </c>
      <c r="M79" s="6">
        <v>1640000</v>
      </c>
      <c r="N79" s="6">
        <v>3280000</v>
      </c>
      <c r="O79" s="11">
        <f t="shared" si="12"/>
        <v>0.23119694645137681</v>
      </c>
      <c r="P79" s="12"/>
    </row>
    <row r="80" spans="1:16" hidden="1" outlineLevel="1" x14ac:dyDescent="0.35">
      <c r="A80" s="7" t="s">
        <v>94</v>
      </c>
      <c r="B80" s="14">
        <f t="shared" ref="B80:B145" si="13">SUM(C80:N80)</f>
        <v>45600.24000000002</v>
      </c>
      <c r="C80" s="8">
        <v>3800.0200000000004</v>
      </c>
      <c r="D80" s="8">
        <v>3800.0200000000004</v>
      </c>
      <c r="E80" s="8">
        <v>3800.0200000000004</v>
      </c>
      <c r="F80" s="8">
        <v>3800.0200000000004</v>
      </c>
      <c r="G80" s="8">
        <v>3800.0200000000004</v>
      </c>
      <c r="H80" s="8">
        <v>3800.0200000000004</v>
      </c>
      <c r="I80" s="8">
        <v>3800.0200000000004</v>
      </c>
      <c r="J80" s="8">
        <v>3800.0200000000004</v>
      </c>
      <c r="K80" s="8">
        <v>3800.0200000000004</v>
      </c>
      <c r="L80" s="8">
        <v>3800.0200000000004</v>
      </c>
      <c r="M80" s="8">
        <v>3800.0200000000004</v>
      </c>
      <c r="N80" s="8">
        <v>3800.0200000000004</v>
      </c>
      <c r="O80" s="11">
        <f t="shared" si="12"/>
        <v>4.4334046448485853E-4</v>
      </c>
    </row>
    <row r="81" spans="1:16" hidden="1" outlineLevel="1" x14ac:dyDescent="0.35">
      <c r="A81" s="9" t="s">
        <v>95</v>
      </c>
      <c r="B81" s="10">
        <f t="shared" si="13"/>
        <v>108000</v>
      </c>
      <c r="C81" s="10">
        <v>9000</v>
      </c>
      <c r="D81" s="10">
        <v>9000</v>
      </c>
      <c r="E81" s="10">
        <v>9000</v>
      </c>
      <c r="F81" s="10">
        <v>9000</v>
      </c>
      <c r="G81" s="10">
        <v>9000</v>
      </c>
      <c r="H81" s="10">
        <v>9000</v>
      </c>
      <c r="I81" s="10">
        <v>9000</v>
      </c>
      <c r="J81" s="10">
        <v>9000</v>
      </c>
      <c r="K81" s="10">
        <v>9000</v>
      </c>
      <c r="L81" s="10">
        <v>9000</v>
      </c>
      <c r="M81" s="10">
        <v>9000</v>
      </c>
      <c r="N81" s="10">
        <v>9000</v>
      </c>
      <c r="O81" s="11">
        <f t="shared" si="12"/>
        <v>1.0500113631938055E-3</v>
      </c>
    </row>
    <row r="82" spans="1:16" hidden="1" outlineLevel="1" x14ac:dyDescent="0.35">
      <c r="A82" s="7" t="s">
        <v>96</v>
      </c>
      <c r="B82" s="14">
        <f t="shared" si="13"/>
        <v>501120</v>
      </c>
      <c r="C82" s="8">
        <v>41760</v>
      </c>
      <c r="D82" s="14">
        <v>41760</v>
      </c>
      <c r="E82" s="8">
        <v>41760</v>
      </c>
      <c r="F82" s="14">
        <v>41760</v>
      </c>
      <c r="G82" s="8">
        <v>41760</v>
      </c>
      <c r="H82" s="14">
        <v>41760</v>
      </c>
      <c r="I82" s="8">
        <v>41760</v>
      </c>
      <c r="J82" s="14">
        <v>41760</v>
      </c>
      <c r="K82" s="8">
        <v>41760</v>
      </c>
      <c r="L82" s="14">
        <v>41760</v>
      </c>
      <c r="M82" s="8">
        <v>41760</v>
      </c>
      <c r="N82" s="14">
        <v>41760</v>
      </c>
      <c r="O82" s="11">
        <f t="shared" si="12"/>
        <v>4.8720527252192579E-3</v>
      </c>
    </row>
    <row r="83" spans="1:16" s="13" customFormat="1" collapsed="1" x14ac:dyDescent="0.35">
      <c r="A83" s="4" t="s">
        <v>97</v>
      </c>
      <c r="B83" s="6">
        <f>SUM(B80:B82)</f>
        <v>654720.24</v>
      </c>
      <c r="C83" s="6">
        <f t="shared" ref="C83:N83" si="14">SUM(C80:C82)</f>
        <v>54560.020000000004</v>
      </c>
      <c r="D83" s="6">
        <f t="shared" si="14"/>
        <v>54560.020000000004</v>
      </c>
      <c r="E83" s="6">
        <f t="shared" si="14"/>
        <v>54560.020000000004</v>
      </c>
      <c r="F83" s="6">
        <f t="shared" si="14"/>
        <v>54560.020000000004</v>
      </c>
      <c r="G83" s="6">
        <f t="shared" si="14"/>
        <v>54560.020000000004</v>
      </c>
      <c r="H83" s="6">
        <f t="shared" si="14"/>
        <v>54560.020000000004</v>
      </c>
      <c r="I83" s="6">
        <f t="shared" si="14"/>
        <v>54560.020000000004</v>
      </c>
      <c r="J83" s="6">
        <f t="shared" si="14"/>
        <v>54560.020000000004</v>
      </c>
      <c r="K83" s="6">
        <f t="shared" si="14"/>
        <v>54560.020000000004</v>
      </c>
      <c r="L83" s="6">
        <f t="shared" si="14"/>
        <v>54560.020000000004</v>
      </c>
      <c r="M83" s="6">
        <f t="shared" si="14"/>
        <v>54560.020000000004</v>
      </c>
      <c r="N83" s="6">
        <f t="shared" si="14"/>
        <v>54560.020000000004</v>
      </c>
      <c r="O83" s="11">
        <f t="shared" si="12"/>
        <v>6.3654045528979217E-3</v>
      </c>
      <c r="P83" s="12"/>
    </row>
    <row r="84" spans="1:16" hidden="1" outlineLevel="1" x14ac:dyDescent="0.35">
      <c r="A84" s="7" t="s">
        <v>98</v>
      </c>
      <c r="B84" s="14">
        <f t="shared" si="13"/>
        <v>0</v>
      </c>
      <c r="C84" s="8"/>
      <c r="D84" s="14"/>
      <c r="E84" s="8"/>
      <c r="F84" s="14"/>
      <c r="G84" s="8"/>
      <c r="H84" s="14"/>
      <c r="I84" s="8"/>
      <c r="J84" s="14"/>
      <c r="K84" s="8"/>
      <c r="L84" s="14"/>
      <c r="M84" s="8"/>
      <c r="N84" s="14"/>
      <c r="O84" s="11">
        <f t="shared" si="12"/>
        <v>0</v>
      </c>
    </row>
    <row r="85" spans="1:16" hidden="1" outlineLevel="1" x14ac:dyDescent="0.35">
      <c r="A85" s="9" t="s">
        <v>99</v>
      </c>
      <c r="B85" s="10">
        <f t="shared" si="13"/>
        <v>0</v>
      </c>
      <c r="C85" s="10"/>
      <c r="D85" s="10"/>
      <c r="E85" s="10"/>
      <c r="F85" s="10"/>
      <c r="G85" s="10"/>
      <c r="H85" s="10"/>
      <c r="I85" s="10"/>
      <c r="J85" s="10"/>
      <c r="K85" s="10"/>
      <c r="L85" s="10"/>
      <c r="M85" s="10"/>
      <c r="N85" s="10"/>
      <c r="O85" s="11">
        <f t="shared" si="12"/>
        <v>0</v>
      </c>
    </row>
    <row r="86" spans="1:16" hidden="1" outlineLevel="1" x14ac:dyDescent="0.35">
      <c r="A86" s="7" t="s">
        <v>100</v>
      </c>
      <c r="B86" s="14">
        <f t="shared" si="13"/>
        <v>0</v>
      </c>
      <c r="C86" s="8"/>
      <c r="D86" s="8"/>
      <c r="E86" s="8"/>
      <c r="F86" s="8"/>
      <c r="G86" s="8"/>
      <c r="H86" s="8"/>
      <c r="I86" s="8"/>
      <c r="J86" s="8"/>
      <c r="K86" s="8"/>
      <c r="L86" s="8"/>
      <c r="M86" s="8"/>
      <c r="N86" s="8"/>
      <c r="O86" s="11">
        <f t="shared" si="12"/>
        <v>0</v>
      </c>
      <c r="P86" s="1" t="s">
        <v>101</v>
      </c>
    </row>
    <row r="87" spans="1:16" hidden="1" outlineLevel="1" x14ac:dyDescent="0.35">
      <c r="A87" s="9" t="s">
        <v>102</v>
      </c>
      <c r="B87" s="10">
        <f t="shared" si="13"/>
        <v>180000</v>
      </c>
      <c r="C87" s="10">
        <v>15000</v>
      </c>
      <c r="D87" s="10">
        <v>15000</v>
      </c>
      <c r="E87" s="10">
        <v>15000</v>
      </c>
      <c r="F87" s="10">
        <v>15000</v>
      </c>
      <c r="G87" s="10">
        <v>15000</v>
      </c>
      <c r="H87" s="10">
        <v>15000</v>
      </c>
      <c r="I87" s="10">
        <v>15000</v>
      </c>
      <c r="J87" s="10">
        <v>15000</v>
      </c>
      <c r="K87" s="10">
        <v>15000</v>
      </c>
      <c r="L87" s="10">
        <v>15000</v>
      </c>
      <c r="M87" s="10">
        <v>15000</v>
      </c>
      <c r="N87" s="10">
        <v>15000</v>
      </c>
      <c r="O87" s="11">
        <f t="shared" si="12"/>
        <v>1.7500189386563426E-3</v>
      </c>
    </row>
    <row r="88" spans="1:16" hidden="1" outlineLevel="1" x14ac:dyDescent="0.35">
      <c r="A88" s="7" t="s">
        <v>103</v>
      </c>
      <c r="B88" s="14">
        <f t="shared" si="13"/>
        <v>0</v>
      </c>
      <c r="C88" s="8"/>
      <c r="D88" s="14"/>
      <c r="E88" s="8"/>
      <c r="F88" s="14"/>
      <c r="G88" s="8"/>
      <c r="H88" s="14"/>
      <c r="I88" s="8"/>
      <c r="J88" s="14"/>
      <c r="K88" s="8"/>
      <c r="L88" s="14"/>
      <c r="M88" s="8"/>
      <c r="N88" s="14"/>
      <c r="O88" s="11">
        <f t="shared" si="12"/>
        <v>0</v>
      </c>
    </row>
    <row r="89" spans="1:16" hidden="1" outlineLevel="1" x14ac:dyDescent="0.35">
      <c r="A89" s="9" t="s">
        <v>104</v>
      </c>
      <c r="B89" s="10">
        <f t="shared" si="13"/>
        <v>0</v>
      </c>
      <c r="C89" s="10"/>
      <c r="D89" s="10"/>
      <c r="E89" s="10"/>
      <c r="F89" s="10"/>
      <c r="G89" s="10"/>
      <c r="H89" s="10"/>
      <c r="I89" s="10"/>
      <c r="J89" s="10"/>
      <c r="K89" s="10"/>
      <c r="L89" s="10"/>
      <c r="M89" s="10"/>
      <c r="N89" s="10"/>
      <c r="O89" s="11">
        <f t="shared" si="12"/>
        <v>0</v>
      </c>
    </row>
    <row r="90" spans="1:16" hidden="1" outlineLevel="1" x14ac:dyDescent="0.35">
      <c r="A90" s="7" t="s">
        <v>105</v>
      </c>
      <c r="B90" s="14">
        <f t="shared" si="13"/>
        <v>0</v>
      </c>
      <c r="C90" s="8"/>
      <c r="D90" s="14"/>
      <c r="E90" s="8"/>
      <c r="F90" s="14"/>
      <c r="G90" s="8"/>
      <c r="H90" s="14"/>
      <c r="I90" s="8"/>
      <c r="J90" s="14"/>
      <c r="K90" s="8"/>
      <c r="L90" s="14"/>
      <c r="M90" s="8"/>
      <c r="N90" s="14"/>
      <c r="O90" s="11">
        <f t="shared" si="12"/>
        <v>0</v>
      </c>
    </row>
    <row r="91" spans="1:16" hidden="1" outlineLevel="1" x14ac:dyDescent="0.35">
      <c r="A91" s="9" t="s">
        <v>106</v>
      </c>
      <c r="B91" s="10">
        <f t="shared" si="13"/>
        <v>0</v>
      </c>
      <c r="C91" s="10"/>
      <c r="D91" s="10"/>
      <c r="E91" s="10"/>
      <c r="F91" s="10"/>
      <c r="G91" s="10"/>
      <c r="H91" s="10"/>
      <c r="I91" s="10"/>
      <c r="J91" s="10"/>
      <c r="K91" s="10"/>
      <c r="L91" s="10"/>
      <c r="M91" s="10"/>
      <c r="N91" s="10"/>
      <c r="O91" s="11">
        <f t="shared" si="12"/>
        <v>0</v>
      </c>
    </row>
    <row r="92" spans="1:16" hidden="1" outlineLevel="1" x14ac:dyDescent="0.35">
      <c r="A92" s="7" t="s">
        <v>107</v>
      </c>
      <c r="B92" s="14">
        <f t="shared" si="13"/>
        <v>0</v>
      </c>
      <c r="C92" s="8"/>
      <c r="D92" s="14"/>
      <c r="E92" s="8"/>
      <c r="F92" s="14"/>
      <c r="G92" s="8"/>
      <c r="H92" s="14"/>
      <c r="I92" s="8"/>
      <c r="J92" s="14"/>
      <c r="K92" s="8"/>
      <c r="L92" s="14"/>
      <c r="M92" s="8"/>
      <c r="N92" s="14"/>
      <c r="O92" s="11">
        <f t="shared" si="12"/>
        <v>0</v>
      </c>
    </row>
    <row r="93" spans="1:16" hidden="1" outlineLevel="1" x14ac:dyDescent="0.35">
      <c r="A93" s="9" t="s">
        <v>108</v>
      </c>
      <c r="B93" s="10">
        <f t="shared" si="13"/>
        <v>0</v>
      </c>
      <c r="C93" s="10"/>
      <c r="D93" s="10"/>
      <c r="E93" s="10"/>
      <c r="F93" s="10"/>
      <c r="G93" s="10"/>
      <c r="H93" s="10"/>
      <c r="I93" s="10"/>
      <c r="J93" s="10"/>
      <c r="K93" s="10"/>
      <c r="L93" s="10"/>
      <c r="M93" s="10"/>
      <c r="N93" s="10"/>
      <c r="O93" s="11">
        <f t="shared" si="12"/>
        <v>0</v>
      </c>
    </row>
    <row r="94" spans="1:16" hidden="1" outlineLevel="1" x14ac:dyDescent="0.35">
      <c r="A94" s="7" t="s">
        <v>109</v>
      </c>
      <c r="B94" s="14">
        <f t="shared" si="13"/>
        <v>0</v>
      </c>
      <c r="C94" s="8"/>
      <c r="D94" s="8"/>
      <c r="E94" s="8"/>
      <c r="F94" s="8"/>
      <c r="G94" s="8"/>
      <c r="H94" s="8"/>
      <c r="I94" s="8"/>
      <c r="J94" s="8"/>
      <c r="K94" s="8"/>
      <c r="L94" s="8"/>
      <c r="M94" s="8"/>
      <c r="N94" s="8"/>
      <c r="O94" s="11">
        <f t="shared" si="12"/>
        <v>0</v>
      </c>
    </row>
    <row r="95" spans="1:16" hidden="1" outlineLevel="1" x14ac:dyDescent="0.35">
      <c r="A95" s="9" t="s">
        <v>110</v>
      </c>
      <c r="B95" s="10">
        <f t="shared" si="13"/>
        <v>0</v>
      </c>
      <c r="C95" s="10"/>
      <c r="D95" s="10"/>
      <c r="E95" s="10"/>
      <c r="F95" s="10"/>
      <c r="G95" s="10"/>
      <c r="H95" s="10"/>
      <c r="I95" s="10"/>
      <c r="J95" s="10"/>
      <c r="K95" s="10"/>
      <c r="L95" s="10"/>
      <c r="M95" s="10"/>
      <c r="N95" s="10"/>
      <c r="O95" s="11">
        <f t="shared" si="12"/>
        <v>0</v>
      </c>
      <c r="P95" s="1" t="s">
        <v>111</v>
      </c>
    </row>
    <row r="96" spans="1:16" hidden="1" outlineLevel="1" x14ac:dyDescent="0.35">
      <c r="A96" s="7" t="s">
        <v>112</v>
      </c>
      <c r="B96" s="14">
        <f t="shared" si="13"/>
        <v>0</v>
      </c>
      <c r="C96" s="8"/>
      <c r="D96" s="14"/>
      <c r="E96" s="8"/>
      <c r="F96" s="14"/>
      <c r="G96" s="8"/>
      <c r="H96" s="14"/>
      <c r="I96" s="8"/>
      <c r="J96" s="14"/>
      <c r="K96" s="8"/>
      <c r="L96" s="14"/>
      <c r="M96" s="8"/>
      <c r="N96" s="14"/>
      <c r="O96" s="11">
        <f t="shared" si="12"/>
        <v>0</v>
      </c>
    </row>
    <row r="97" spans="1:16" hidden="1" outlineLevel="1" x14ac:dyDescent="0.35">
      <c r="A97" s="9" t="s">
        <v>113</v>
      </c>
      <c r="B97" s="10">
        <f t="shared" si="13"/>
        <v>0</v>
      </c>
      <c r="C97" s="10"/>
      <c r="D97" s="10"/>
      <c r="E97" s="10"/>
      <c r="F97" s="10"/>
      <c r="G97" s="10"/>
      <c r="H97" s="10"/>
      <c r="I97" s="10"/>
      <c r="J97" s="10"/>
      <c r="K97" s="10"/>
      <c r="L97" s="10"/>
      <c r="M97" s="10"/>
      <c r="N97" s="10"/>
      <c r="O97" s="11">
        <f t="shared" si="12"/>
        <v>0</v>
      </c>
    </row>
    <row r="98" spans="1:16" hidden="1" outlineLevel="1" x14ac:dyDescent="0.35">
      <c r="A98" s="7" t="s">
        <v>114</v>
      </c>
      <c r="B98" s="14">
        <f t="shared" si="13"/>
        <v>0</v>
      </c>
      <c r="C98" s="8"/>
      <c r="D98" s="14"/>
      <c r="E98" s="8"/>
      <c r="F98" s="14"/>
      <c r="G98" s="8"/>
      <c r="H98" s="14"/>
      <c r="I98" s="8"/>
      <c r="J98" s="14"/>
      <c r="K98" s="8"/>
      <c r="L98" s="14"/>
      <c r="M98" s="8"/>
      <c r="N98" s="14"/>
      <c r="O98" s="11">
        <f t="shared" si="12"/>
        <v>0</v>
      </c>
    </row>
    <row r="99" spans="1:16" hidden="1" outlineLevel="1" x14ac:dyDescent="0.35">
      <c r="A99" s="9" t="s">
        <v>115</v>
      </c>
      <c r="B99" s="10">
        <f t="shared" si="13"/>
        <v>0</v>
      </c>
      <c r="C99" s="10"/>
      <c r="D99" s="10"/>
      <c r="E99" s="10"/>
      <c r="F99" s="10"/>
      <c r="G99" s="10"/>
      <c r="H99" s="10"/>
      <c r="I99" s="10"/>
      <c r="J99" s="10"/>
      <c r="K99" s="10"/>
      <c r="L99" s="10"/>
      <c r="M99" s="10"/>
      <c r="N99" s="10"/>
      <c r="O99" s="11">
        <f t="shared" si="12"/>
        <v>0</v>
      </c>
    </row>
    <row r="100" spans="1:16" hidden="1" outlineLevel="1" x14ac:dyDescent="0.35">
      <c r="A100" s="7" t="s">
        <v>116</v>
      </c>
      <c r="B100" s="14">
        <f t="shared" si="13"/>
        <v>0</v>
      </c>
      <c r="C100" s="8"/>
      <c r="D100" s="14"/>
      <c r="E100" s="8"/>
      <c r="F100" s="14"/>
      <c r="G100" s="8"/>
      <c r="H100" s="14"/>
      <c r="I100" s="8"/>
      <c r="J100" s="14"/>
      <c r="K100" s="8"/>
      <c r="L100" s="14"/>
      <c r="M100" s="8"/>
      <c r="N100" s="14"/>
      <c r="O100" s="11">
        <f t="shared" si="12"/>
        <v>0</v>
      </c>
    </row>
    <row r="101" spans="1:16" hidden="1" outlineLevel="1" x14ac:dyDescent="0.35">
      <c r="A101" s="9" t="s">
        <v>117</v>
      </c>
      <c r="B101" s="10">
        <f t="shared" si="13"/>
        <v>0</v>
      </c>
      <c r="C101" s="10"/>
      <c r="D101" s="10"/>
      <c r="E101" s="10"/>
      <c r="F101" s="10"/>
      <c r="G101" s="10"/>
      <c r="H101" s="10"/>
      <c r="I101" s="10"/>
      <c r="J101" s="10"/>
      <c r="K101" s="10"/>
      <c r="L101" s="10"/>
      <c r="M101" s="10"/>
      <c r="N101" s="10"/>
      <c r="O101" s="11">
        <f t="shared" si="12"/>
        <v>0</v>
      </c>
    </row>
    <row r="102" spans="1:16" hidden="1" outlineLevel="1" x14ac:dyDescent="0.35">
      <c r="A102" s="7" t="s">
        <v>118</v>
      </c>
      <c r="B102" s="14">
        <f t="shared" si="13"/>
        <v>0</v>
      </c>
      <c r="C102" s="8"/>
      <c r="D102" s="14"/>
      <c r="E102" s="8"/>
      <c r="F102" s="14"/>
      <c r="G102" s="8"/>
      <c r="H102" s="14"/>
      <c r="I102" s="8"/>
      <c r="J102" s="14"/>
      <c r="K102" s="8"/>
      <c r="L102" s="14"/>
      <c r="M102" s="8"/>
      <c r="N102" s="14"/>
      <c r="O102" s="11">
        <f t="shared" si="12"/>
        <v>0</v>
      </c>
    </row>
    <row r="103" spans="1:16" hidden="1" outlineLevel="1" x14ac:dyDescent="0.35">
      <c r="A103" s="7" t="s">
        <v>119</v>
      </c>
      <c r="B103" s="14">
        <f t="shared" si="13"/>
        <v>36000</v>
      </c>
      <c r="C103" s="8">
        <v>3000</v>
      </c>
      <c r="D103" s="14">
        <v>3000</v>
      </c>
      <c r="E103" s="8">
        <v>3000</v>
      </c>
      <c r="F103" s="14">
        <v>3000</v>
      </c>
      <c r="G103" s="8">
        <v>3000</v>
      </c>
      <c r="H103" s="14">
        <v>3000</v>
      </c>
      <c r="I103" s="8">
        <v>3000</v>
      </c>
      <c r="J103" s="14">
        <v>3000</v>
      </c>
      <c r="K103" s="8">
        <v>3000</v>
      </c>
      <c r="L103" s="14">
        <v>3000</v>
      </c>
      <c r="M103" s="8">
        <v>3000</v>
      </c>
      <c r="N103" s="14">
        <v>3000</v>
      </c>
      <c r="O103" s="11">
        <f t="shared" si="12"/>
        <v>3.500037877312685E-4</v>
      </c>
    </row>
    <row r="104" spans="1:16" hidden="1" outlineLevel="1" x14ac:dyDescent="0.35">
      <c r="A104" s="9" t="s">
        <v>120</v>
      </c>
      <c r="B104" s="10">
        <f t="shared" si="13"/>
        <v>0</v>
      </c>
      <c r="C104" s="10"/>
      <c r="D104" s="10"/>
      <c r="E104" s="10"/>
      <c r="F104" s="10"/>
      <c r="G104" s="10"/>
      <c r="H104" s="10"/>
      <c r="I104" s="10"/>
      <c r="J104" s="10"/>
      <c r="K104" s="10"/>
      <c r="L104" s="10"/>
      <c r="M104" s="10"/>
      <c r="N104" s="10"/>
      <c r="O104" s="11">
        <f t="shared" si="12"/>
        <v>0</v>
      </c>
      <c r="P104" s="1" t="s">
        <v>121</v>
      </c>
    </row>
    <row r="105" spans="1:16" hidden="1" outlineLevel="1" x14ac:dyDescent="0.35">
      <c r="A105" s="7" t="s">
        <v>122</v>
      </c>
      <c r="B105" s="14">
        <f t="shared" si="13"/>
        <v>0</v>
      </c>
      <c r="C105" s="8"/>
      <c r="D105" s="14"/>
      <c r="E105" s="8"/>
      <c r="F105" s="8"/>
      <c r="G105" s="8"/>
      <c r="H105" s="8"/>
      <c r="I105" s="8"/>
      <c r="J105" s="8"/>
      <c r="K105" s="8"/>
      <c r="L105" s="8"/>
      <c r="M105" s="8"/>
      <c r="N105" s="8"/>
      <c r="O105" s="11">
        <f t="shared" si="12"/>
        <v>0</v>
      </c>
    </row>
    <row r="106" spans="1:16" hidden="1" outlineLevel="1" x14ac:dyDescent="0.35">
      <c r="A106" s="9" t="s">
        <v>123</v>
      </c>
      <c r="B106" s="10">
        <f t="shared" si="13"/>
        <v>0</v>
      </c>
      <c r="C106" s="10"/>
      <c r="D106" s="10"/>
      <c r="E106" s="10"/>
      <c r="F106" s="10"/>
      <c r="G106" s="10"/>
      <c r="H106" s="10"/>
      <c r="I106" s="10"/>
      <c r="J106" s="10"/>
      <c r="K106" s="10"/>
      <c r="L106" s="10"/>
      <c r="M106" s="10"/>
      <c r="N106" s="10"/>
      <c r="O106" s="11">
        <f t="shared" si="12"/>
        <v>0</v>
      </c>
      <c r="P106" s="1" t="s">
        <v>124</v>
      </c>
    </row>
    <row r="107" spans="1:16" hidden="1" outlineLevel="1" x14ac:dyDescent="0.35">
      <c r="A107" s="9" t="s">
        <v>125</v>
      </c>
      <c r="B107" s="10"/>
      <c r="C107" s="10"/>
      <c r="D107" s="10"/>
      <c r="E107" s="10"/>
      <c r="F107" s="10"/>
      <c r="G107" s="10"/>
      <c r="H107" s="10"/>
      <c r="I107" s="10"/>
      <c r="J107" s="10"/>
      <c r="K107" s="10"/>
      <c r="L107" s="10"/>
      <c r="M107" s="10"/>
      <c r="N107" s="10"/>
      <c r="O107" s="11"/>
    </row>
    <row r="108" spans="1:16" hidden="1" outlineLevel="1" x14ac:dyDescent="0.35">
      <c r="A108" s="7" t="s">
        <v>126</v>
      </c>
      <c r="B108" s="14">
        <f t="shared" si="13"/>
        <v>0</v>
      </c>
      <c r="C108" s="8"/>
      <c r="D108" s="14"/>
      <c r="E108" s="8"/>
      <c r="F108" s="14"/>
      <c r="G108" s="8"/>
      <c r="H108" s="14"/>
      <c r="I108" s="8"/>
      <c r="J108" s="14"/>
      <c r="K108" s="8"/>
      <c r="L108" s="14"/>
      <c r="M108" s="8"/>
      <c r="N108" s="14"/>
      <c r="O108" s="11">
        <f t="shared" ref="O108:O121" si="15">B108/$B$163</f>
        <v>0</v>
      </c>
    </row>
    <row r="109" spans="1:16" hidden="1" outlineLevel="1" x14ac:dyDescent="0.35">
      <c r="A109" s="9" t="s">
        <v>127</v>
      </c>
      <c r="B109" s="10">
        <f t="shared" si="13"/>
        <v>0</v>
      </c>
      <c r="C109" s="10"/>
      <c r="D109" s="10"/>
      <c r="E109" s="10"/>
      <c r="F109" s="10"/>
      <c r="G109" s="10"/>
      <c r="H109" s="10"/>
      <c r="I109" s="10"/>
      <c r="J109" s="10"/>
      <c r="K109" s="10"/>
      <c r="L109" s="10"/>
      <c r="M109" s="10"/>
      <c r="N109" s="10"/>
      <c r="O109" s="11">
        <f t="shared" si="15"/>
        <v>0</v>
      </c>
    </row>
    <row r="110" spans="1:16" hidden="1" outlineLevel="1" x14ac:dyDescent="0.35">
      <c r="A110" s="7" t="s">
        <v>128</v>
      </c>
      <c r="B110" s="14">
        <f t="shared" si="13"/>
        <v>180000</v>
      </c>
      <c r="C110" s="8">
        <v>15000</v>
      </c>
      <c r="D110" s="14">
        <v>15000</v>
      </c>
      <c r="E110" s="8">
        <v>15000</v>
      </c>
      <c r="F110" s="14">
        <v>15000</v>
      </c>
      <c r="G110" s="8">
        <v>15000</v>
      </c>
      <c r="H110" s="14">
        <v>15000</v>
      </c>
      <c r="I110" s="8">
        <v>15000</v>
      </c>
      <c r="J110" s="14">
        <v>15000</v>
      </c>
      <c r="K110" s="8">
        <v>15000</v>
      </c>
      <c r="L110" s="14">
        <v>15000</v>
      </c>
      <c r="M110" s="8">
        <v>15000</v>
      </c>
      <c r="N110" s="14">
        <v>15000</v>
      </c>
      <c r="O110" s="11">
        <f t="shared" si="15"/>
        <v>1.7500189386563426E-3</v>
      </c>
    </row>
    <row r="111" spans="1:16" hidden="1" outlineLevel="1" x14ac:dyDescent="0.35">
      <c r="A111" s="9" t="s">
        <v>129</v>
      </c>
      <c r="B111" s="10">
        <f t="shared" si="13"/>
        <v>0</v>
      </c>
      <c r="C111" s="10"/>
      <c r="D111" s="10"/>
      <c r="E111" s="10"/>
      <c r="F111" s="10"/>
      <c r="G111" s="10"/>
      <c r="H111" s="10"/>
      <c r="I111" s="10"/>
      <c r="J111" s="10"/>
      <c r="K111" s="10"/>
      <c r="L111" s="10"/>
      <c r="M111" s="10"/>
      <c r="N111" s="10"/>
      <c r="O111" s="11">
        <f t="shared" si="15"/>
        <v>0</v>
      </c>
    </row>
    <row r="112" spans="1:16" hidden="1" outlineLevel="1" x14ac:dyDescent="0.35">
      <c r="A112" s="7" t="s">
        <v>130</v>
      </c>
      <c r="B112" s="14">
        <f t="shared" si="13"/>
        <v>0</v>
      </c>
      <c r="C112" s="8"/>
      <c r="D112" s="14"/>
      <c r="E112" s="8"/>
      <c r="F112" s="14"/>
      <c r="G112" s="8"/>
      <c r="H112" s="14"/>
      <c r="I112" s="8"/>
      <c r="J112" s="14"/>
      <c r="K112" s="8"/>
      <c r="L112" s="14"/>
      <c r="M112" s="8"/>
      <c r="N112" s="14"/>
      <c r="O112" s="11">
        <f t="shared" si="15"/>
        <v>0</v>
      </c>
    </row>
    <row r="113" spans="1:15" hidden="1" outlineLevel="1" x14ac:dyDescent="0.35">
      <c r="A113" s="9" t="s">
        <v>131</v>
      </c>
      <c r="B113" s="10">
        <f t="shared" si="13"/>
        <v>54000</v>
      </c>
      <c r="C113" s="10">
        <v>18000</v>
      </c>
      <c r="D113" s="10">
        <v>0</v>
      </c>
      <c r="E113" s="10">
        <v>0</v>
      </c>
      <c r="F113" s="10">
        <v>0</v>
      </c>
      <c r="G113" s="10">
        <v>0</v>
      </c>
      <c r="H113" s="10">
        <v>18000</v>
      </c>
      <c r="I113" s="10">
        <v>0</v>
      </c>
      <c r="J113" s="10">
        <v>0</v>
      </c>
      <c r="K113" s="10">
        <v>0</v>
      </c>
      <c r="L113" s="10">
        <v>0</v>
      </c>
      <c r="M113" s="10">
        <v>0</v>
      </c>
      <c r="N113" s="10">
        <v>18000</v>
      </c>
      <c r="O113" s="11">
        <f t="shared" si="15"/>
        <v>5.2500568159690277E-4</v>
      </c>
    </row>
    <row r="114" spans="1:15" hidden="1" outlineLevel="1" x14ac:dyDescent="0.35">
      <c r="A114" s="7" t="s">
        <v>132</v>
      </c>
      <c r="B114" s="14">
        <f t="shared" si="13"/>
        <v>0</v>
      </c>
      <c r="C114" s="8"/>
      <c r="D114" s="14"/>
      <c r="E114" s="8"/>
      <c r="F114" s="14"/>
      <c r="G114" s="8"/>
      <c r="H114" s="14"/>
      <c r="I114" s="8"/>
      <c r="J114" s="14"/>
      <c r="K114" s="8"/>
      <c r="L114" s="14"/>
      <c r="M114" s="8"/>
      <c r="N114" s="14"/>
      <c r="O114" s="11">
        <f t="shared" si="15"/>
        <v>0</v>
      </c>
    </row>
    <row r="115" spans="1:15" hidden="1" outlineLevel="1" x14ac:dyDescent="0.35">
      <c r="A115" s="9" t="s">
        <v>133</v>
      </c>
      <c r="B115" s="10">
        <f t="shared" si="13"/>
        <v>0</v>
      </c>
      <c r="C115" s="10"/>
      <c r="D115" s="10"/>
      <c r="E115" s="10"/>
      <c r="F115" s="10"/>
      <c r="G115" s="10"/>
      <c r="H115" s="10"/>
      <c r="I115" s="10"/>
      <c r="J115" s="10"/>
      <c r="K115" s="10"/>
      <c r="L115" s="10"/>
      <c r="M115" s="10"/>
      <c r="N115" s="10"/>
      <c r="O115" s="11">
        <f t="shared" si="15"/>
        <v>0</v>
      </c>
    </row>
    <row r="116" spans="1:15" hidden="1" outlineLevel="1" x14ac:dyDescent="0.35">
      <c r="A116" s="7" t="s">
        <v>134</v>
      </c>
      <c r="B116" s="14">
        <f t="shared" si="13"/>
        <v>0</v>
      </c>
      <c r="C116" s="8"/>
      <c r="D116" s="14"/>
      <c r="E116" s="8"/>
      <c r="F116" s="14"/>
      <c r="G116" s="8"/>
      <c r="H116" s="14"/>
      <c r="I116" s="8"/>
      <c r="J116" s="14"/>
      <c r="K116" s="8"/>
      <c r="L116" s="14"/>
      <c r="M116" s="8"/>
      <c r="N116" s="14"/>
      <c r="O116" s="11">
        <f t="shared" si="15"/>
        <v>0</v>
      </c>
    </row>
    <row r="117" spans="1:15" hidden="1" outlineLevel="1" x14ac:dyDescent="0.35">
      <c r="A117" s="9" t="s">
        <v>135</v>
      </c>
      <c r="B117" s="10">
        <f t="shared" si="13"/>
        <v>0</v>
      </c>
      <c r="C117" s="10"/>
      <c r="D117" s="10"/>
      <c r="E117" s="10"/>
      <c r="F117" s="10"/>
      <c r="G117" s="10"/>
      <c r="H117" s="10"/>
      <c r="I117" s="10"/>
      <c r="J117" s="10"/>
      <c r="K117" s="10"/>
      <c r="L117" s="10"/>
      <c r="M117" s="10"/>
      <c r="N117" s="10"/>
      <c r="O117" s="11">
        <f t="shared" si="15"/>
        <v>0</v>
      </c>
    </row>
    <row r="118" spans="1:15" hidden="1" outlineLevel="1" x14ac:dyDescent="0.35">
      <c r="A118" s="7" t="s">
        <v>136</v>
      </c>
      <c r="B118" s="14">
        <f t="shared" si="13"/>
        <v>0</v>
      </c>
      <c r="C118" s="8"/>
      <c r="D118" s="8"/>
      <c r="E118" s="8"/>
      <c r="F118" s="8"/>
      <c r="G118" s="8"/>
      <c r="H118" s="8"/>
      <c r="I118" s="8"/>
      <c r="J118" s="8"/>
      <c r="K118" s="8"/>
      <c r="L118" s="8"/>
      <c r="M118" s="8"/>
      <c r="N118" s="8"/>
      <c r="O118" s="11">
        <f t="shared" si="15"/>
        <v>0</v>
      </c>
    </row>
    <row r="119" spans="1:15" hidden="1" outlineLevel="1" x14ac:dyDescent="0.35">
      <c r="A119" s="9" t="s">
        <v>137</v>
      </c>
      <c r="B119" s="10">
        <f t="shared" si="13"/>
        <v>57922800</v>
      </c>
      <c r="C119" s="10">
        <v>4826900</v>
      </c>
      <c r="D119" s="10">
        <v>4826900</v>
      </c>
      <c r="E119" s="10">
        <v>4826900</v>
      </c>
      <c r="F119" s="10">
        <v>4826900</v>
      </c>
      <c r="G119" s="10">
        <v>4826900</v>
      </c>
      <c r="H119" s="10">
        <v>4826900</v>
      </c>
      <c r="I119" s="10">
        <v>4826900</v>
      </c>
      <c r="J119" s="10">
        <v>4826900</v>
      </c>
      <c r="K119" s="10">
        <v>4826900</v>
      </c>
      <c r="L119" s="10">
        <v>4826900</v>
      </c>
      <c r="M119" s="10">
        <v>4826900</v>
      </c>
      <c r="N119" s="10">
        <v>4826900</v>
      </c>
      <c r="O119" s="11">
        <f t="shared" si="15"/>
        <v>0.56314442766668671</v>
      </c>
    </row>
    <row r="120" spans="1:15" hidden="1" outlineLevel="1" x14ac:dyDescent="0.35">
      <c r="A120" s="7" t="s">
        <v>138</v>
      </c>
      <c r="B120" s="14">
        <f t="shared" si="13"/>
        <v>0</v>
      </c>
      <c r="C120" s="8"/>
      <c r="D120" s="14"/>
      <c r="E120" s="8"/>
      <c r="F120" s="14"/>
      <c r="G120" s="8"/>
      <c r="H120" s="14"/>
      <c r="I120" s="8"/>
      <c r="J120" s="14"/>
      <c r="K120" s="8"/>
      <c r="L120" s="14"/>
      <c r="M120" s="8"/>
      <c r="N120" s="14"/>
      <c r="O120" s="11">
        <f t="shared" si="15"/>
        <v>0</v>
      </c>
    </row>
    <row r="121" spans="1:15" hidden="1" outlineLevel="1" x14ac:dyDescent="0.35">
      <c r="A121" s="9" t="s">
        <v>139</v>
      </c>
      <c r="B121" s="10">
        <f t="shared" si="13"/>
        <v>0</v>
      </c>
      <c r="C121" s="10"/>
      <c r="D121" s="10"/>
      <c r="E121" s="10"/>
      <c r="F121" s="10"/>
      <c r="G121" s="10"/>
      <c r="H121" s="10"/>
      <c r="I121" s="10"/>
      <c r="J121" s="10"/>
      <c r="K121" s="10"/>
      <c r="L121" s="10"/>
      <c r="M121" s="10"/>
      <c r="N121" s="10"/>
      <c r="O121" s="11">
        <f t="shared" si="15"/>
        <v>0</v>
      </c>
    </row>
    <row r="122" spans="1:15" hidden="1" outlineLevel="1" x14ac:dyDescent="0.35">
      <c r="A122" s="9" t="s">
        <v>140</v>
      </c>
      <c r="B122" s="10"/>
      <c r="C122" s="10"/>
      <c r="D122" s="10"/>
      <c r="E122" s="10"/>
      <c r="F122" s="10"/>
      <c r="G122" s="10"/>
      <c r="H122" s="10"/>
      <c r="I122" s="10"/>
      <c r="J122" s="10"/>
      <c r="K122" s="10"/>
      <c r="L122" s="10"/>
      <c r="M122" s="10"/>
      <c r="N122" s="10"/>
      <c r="O122" s="11"/>
    </row>
    <row r="123" spans="1:15" hidden="1" outlineLevel="1" x14ac:dyDescent="0.35">
      <c r="A123" s="7" t="s">
        <v>141</v>
      </c>
      <c r="B123" s="14">
        <f t="shared" si="13"/>
        <v>0</v>
      </c>
      <c r="C123" s="8"/>
      <c r="D123" s="14"/>
      <c r="E123" s="8"/>
      <c r="F123" s="14"/>
      <c r="G123" s="8"/>
      <c r="H123" s="14"/>
      <c r="I123" s="8"/>
      <c r="J123" s="14"/>
      <c r="K123" s="8"/>
      <c r="L123" s="14"/>
      <c r="M123" s="8"/>
      <c r="N123" s="14"/>
      <c r="O123" s="11">
        <f t="shared" ref="O123:O162" si="16">B123/$B$163</f>
        <v>0</v>
      </c>
    </row>
    <row r="124" spans="1:15" hidden="1" outlineLevel="1" x14ac:dyDescent="0.35">
      <c r="A124" s="9" t="s">
        <v>142</v>
      </c>
      <c r="B124" s="10">
        <f t="shared" si="13"/>
        <v>54000</v>
      </c>
      <c r="C124" s="10">
        <v>0</v>
      </c>
      <c r="D124" s="10">
        <v>54000</v>
      </c>
      <c r="E124" s="10">
        <v>0</v>
      </c>
      <c r="F124" s="10">
        <v>0</v>
      </c>
      <c r="G124" s="10">
        <v>0</v>
      </c>
      <c r="H124" s="10">
        <v>0</v>
      </c>
      <c r="I124" s="10">
        <v>0</v>
      </c>
      <c r="J124" s="10">
        <v>0</v>
      </c>
      <c r="K124" s="10">
        <v>0</v>
      </c>
      <c r="L124" s="10">
        <v>0</v>
      </c>
      <c r="M124" s="10">
        <v>0</v>
      </c>
      <c r="N124" s="10">
        <v>0</v>
      </c>
      <c r="O124" s="11">
        <f t="shared" si="16"/>
        <v>5.2500568159690277E-4</v>
      </c>
    </row>
    <row r="125" spans="1:15" hidden="1" outlineLevel="1" x14ac:dyDescent="0.35">
      <c r="A125" s="7" t="s">
        <v>143</v>
      </c>
      <c r="B125" s="14">
        <f t="shared" si="13"/>
        <v>360000</v>
      </c>
      <c r="C125" s="8">
        <v>30000</v>
      </c>
      <c r="D125" s="14">
        <v>30000</v>
      </c>
      <c r="E125" s="8">
        <v>30000</v>
      </c>
      <c r="F125" s="14">
        <v>30000</v>
      </c>
      <c r="G125" s="8">
        <v>30000</v>
      </c>
      <c r="H125" s="14">
        <v>30000</v>
      </c>
      <c r="I125" s="8">
        <v>30000</v>
      </c>
      <c r="J125" s="14">
        <v>30000</v>
      </c>
      <c r="K125" s="8">
        <v>30000</v>
      </c>
      <c r="L125" s="14">
        <v>30000</v>
      </c>
      <c r="M125" s="8">
        <v>30000</v>
      </c>
      <c r="N125" s="14">
        <v>30000</v>
      </c>
      <c r="O125" s="11">
        <f t="shared" si="16"/>
        <v>3.5000378773126853E-3</v>
      </c>
    </row>
    <row r="126" spans="1:15" hidden="1" outlineLevel="1" x14ac:dyDescent="0.35">
      <c r="A126" s="9" t="s">
        <v>144</v>
      </c>
      <c r="B126" s="10">
        <f t="shared" si="13"/>
        <v>0</v>
      </c>
      <c r="C126" s="10"/>
      <c r="D126" s="10"/>
      <c r="E126" s="10"/>
      <c r="F126" s="10"/>
      <c r="G126" s="10"/>
      <c r="H126" s="10"/>
      <c r="I126" s="10"/>
      <c r="J126" s="10"/>
      <c r="K126" s="10"/>
      <c r="L126" s="10"/>
      <c r="M126" s="10"/>
      <c r="N126" s="10"/>
      <c r="O126" s="11">
        <f t="shared" si="16"/>
        <v>0</v>
      </c>
    </row>
    <row r="127" spans="1:15" hidden="1" outlineLevel="1" x14ac:dyDescent="0.35">
      <c r="A127" s="7" t="s">
        <v>145</v>
      </c>
      <c r="B127" s="14">
        <f t="shared" si="13"/>
        <v>18000</v>
      </c>
      <c r="C127" s="8">
        <v>1500</v>
      </c>
      <c r="D127" s="14">
        <v>1500</v>
      </c>
      <c r="E127" s="8">
        <v>1500</v>
      </c>
      <c r="F127" s="14">
        <v>1500</v>
      </c>
      <c r="G127" s="8">
        <v>1500</v>
      </c>
      <c r="H127" s="14">
        <v>1500</v>
      </c>
      <c r="I127" s="8">
        <v>1500</v>
      </c>
      <c r="J127" s="14">
        <v>1500</v>
      </c>
      <c r="K127" s="8">
        <v>1500</v>
      </c>
      <c r="L127" s="14">
        <v>1500</v>
      </c>
      <c r="M127" s="8">
        <v>1500</v>
      </c>
      <c r="N127" s="14">
        <v>1500</v>
      </c>
      <c r="O127" s="11">
        <f t="shared" si="16"/>
        <v>1.7500189386563425E-4</v>
      </c>
    </row>
    <row r="128" spans="1:15" hidden="1" outlineLevel="1" x14ac:dyDescent="0.35">
      <c r="A128" s="9" t="s">
        <v>146</v>
      </c>
      <c r="B128" s="10">
        <f t="shared" si="13"/>
        <v>0</v>
      </c>
      <c r="C128" s="10"/>
      <c r="D128" s="10"/>
      <c r="E128" s="10"/>
      <c r="F128" s="10"/>
      <c r="G128" s="10"/>
      <c r="H128" s="10"/>
      <c r="I128" s="10"/>
      <c r="J128" s="10"/>
      <c r="K128" s="10"/>
      <c r="L128" s="10"/>
      <c r="M128" s="10"/>
      <c r="N128" s="10"/>
      <c r="O128" s="11">
        <f t="shared" si="16"/>
        <v>0</v>
      </c>
    </row>
    <row r="129" spans="1:16" hidden="1" outlineLevel="1" x14ac:dyDescent="0.35">
      <c r="A129" s="7" t="s">
        <v>147</v>
      </c>
      <c r="B129" s="14">
        <f t="shared" si="13"/>
        <v>0</v>
      </c>
      <c r="C129" s="8"/>
      <c r="D129" s="14"/>
      <c r="E129" s="8"/>
      <c r="F129" s="14"/>
      <c r="G129" s="8"/>
      <c r="H129" s="14"/>
      <c r="I129" s="8"/>
      <c r="J129" s="14"/>
      <c r="K129" s="8"/>
      <c r="L129" s="14"/>
      <c r="M129" s="8"/>
      <c r="N129" s="14"/>
      <c r="O129" s="11">
        <f t="shared" si="16"/>
        <v>0</v>
      </c>
      <c r="P129" s="1" t="s">
        <v>148</v>
      </c>
    </row>
    <row r="130" spans="1:16" hidden="1" outlineLevel="1" x14ac:dyDescent="0.35">
      <c r="A130" s="9" t="s">
        <v>149</v>
      </c>
      <c r="B130" s="10">
        <f t="shared" si="13"/>
        <v>0</v>
      </c>
      <c r="C130" s="10"/>
      <c r="D130" s="10"/>
      <c r="E130" s="10"/>
      <c r="F130" s="10"/>
      <c r="G130" s="10"/>
      <c r="H130" s="10"/>
      <c r="I130" s="10"/>
      <c r="J130" s="10"/>
      <c r="K130" s="10"/>
      <c r="L130" s="10"/>
      <c r="M130" s="10"/>
      <c r="N130" s="10"/>
      <c r="O130" s="11">
        <f t="shared" si="16"/>
        <v>0</v>
      </c>
    </row>
    <row r="131" spans="1:16" hidden="1" outlineLevel="1" x14ac:dyDescent="0.35">
      <c r="A131" s="7" t="s">
        <v>150</v>
      </c>
      <c r="B131" s="14">
        <f t="shared" si="13"/>
        <v>28800</v>
      </c>
      <c r="C131" s="8">
        <v>2400</v>
      </c>
      <c r="D131" s="14">
        <v>2400</v>
      </c>
      <c r="E131" s="8">
        <v>2400</v>
      </c>
      <c r="F131" s="14">
        <v>2400</v>
      </c>
      <c r="G131" s="8">
        <v>2400</v>
      </c>
      <c r="H131" s="14">
        <v>2400</v>
      </c>
      <c r="I131" s="8">
        <v>2400</v>
      </c>
      <c r="J131" s="14">
        <v>2400</v>
      </c>
      <c r="K131" s="8">
        <v>2400</v>
      </c>
      <c r="L131" s="14">
        <v>2400</v>
      </c>
      <c r="M131" s="8">
        <v>2400</v>
      </c>
      <c r="N131" s="14">
        <v>2400</v>
      </c>
      <c r="O131" s="11">
        <f t="shared" si="16"/>
        <v>2.8000303018501483E-4</v>
      </c>
    </row>
    <row r="132" spans="1:16" hidden="1" outlineLevel="1" x14ac:dyDescent="0.35">
      <c r="A132" s="9" t="s">
        <v>151</v>
      </c>
      <c r="B132" s="10">
        <f t="shared" si="13"/>
        <v>0</v>
      </c>
      <c r="C132" s="10"/>
      <c r="D132" s="10"/>
      <c r="E132" s="10"/>
      <c r="F132" s="10"/>
      <c r="G132" s="10"/>
      <c r="H132" s="10"/>
      <c r="I132" s="10"/>
      <c r="J132" s="10"/>
      <c r="K132" s="10"/>
      <c r="L132" s="10"/>
      <c r="M132" s="10"/>
      <c r="N132" s="10"/>
      <c r="O132" s="11">
        <f t="shared" si="16"/>
        <v>0</v>
      </c>
    </row>
    <row r="133" spans="1:16" hidden="1" outlineLevel="1" x14ac:dyDescent="0.35">
      <c r="A133" s="7" t="s">
        <v>152</v>
      </c>
      <c r="B133" s="14">
        <f t="shared" si="13"/>
        <v>0</v>
      </c>
      <c r="C133" s="8"/>
      <c r="D133" s="14"/>
      <c r="E133" s="8"/>
      <c r="F133" s="14"/>
      <c r="G133" s="8"/>
      <c r="H133" s="14"/>
      <c r="I133" s="8"/>
      <c r="J133" s="14"/>
      <c r="K133" s="8"/>
      <c r="L133" s="14"/>
      <c r="M133" s="8"/>
      <c r="N133" s="14"/>
      <c r="O133" s="11">
        <f t="shared" si="16"/>
        <v>0</v>
      </c>
    </row>
    <row r="134" spans="1:16" hidden="1" outlineLevel="1" x14ac:dyDescent="0.35">
      <c r="A134" s="9" t="s">
        <v>153</v>
      </c>
      <c r="B134" s="10">
        <f t="shared" si="13"/>
        <v>0</v>
      </c>
      <c r="C134" s="10"/>
      <c r="D134" s="10"/>
      <c r="E134" s="10"/>
      <c r="F134" s="10"/>
      <c r="G134" s="10"/>
      <c r="H134" s="10"/>
      <c r="I134" s="10"/>
      <c r="J134" s="10"/>
      <c r="K134" s="10"/>
      <c r="L134" s="10"/>
      <c r="M134" s="10"/>
      <c r="N134" s="10"/>
      <c r="O134" s="11">
        <f t="shared" si="16"/>
        <v>0</v>
      </c>
    </row>
    <row r="135" spans="1:16" hidden="1" outlineLevel="1" x14ac:dyDescent="0.35">
      <c r="A135" s="7" t="s">
        <v>154</v>
      </c>
      <c r="B135" s="14">
        <f t="shared" si="13"/>
        <v>0</v>
      </c>
      <c r="C135" s="8"/>
      <c r="D135" s="8"/>
      <c r="E135" s="8"/>
      <c r="F135" s="8"/>
      <c r="G135" s="8"/>
      <c r="H135" s="8"/>
      <c r="I135" s="8"/>
      <c r="J135" s="8"/>
      <c r="K135" s="8"/>
      <c r="L135" s="8"/>
      <c r="M135" s="8"/>
      <c r="N135" s="8"/>
      <c r="O135" s="11">
        <f t="shared" si="16"/>
        <v>0</v>
      </c>
      <c r="P135" s="1" t="s">
        <v>155</v>
      </c>
    </row>
    <row r="136" spans="1:16" hidden="1" outlineLevel="1" x14ac:dyDescent="0.35">
      <c r="A136" s="9" t="s">
        <v>156</v>
      </c>
      <c r="B136" s="10">
        <f t="shared" si="13"/>
        <v>0</v>
      </c>
      <c r="C136" s="10"/>
      <c r="D136" s="10"/>
      <c r="E136" s="10"/>
      <c r="F136" s="10"/>
      <c r="G136" s="10"/>
      <c r="H136" s="10"/>
      <c r="I136" s="10"/>
      <c r="J136" s="10"/>
      <c r="K136" s="10"/>
      <c r="L136" s="10"/>
      <c r="M136" s="10"/>
      <c r="N136" s="10"/>
      <c r="O136" s="11">
        <f t="shared" si="16"/>
        <v>0</v>
      </c>
    </row>
    <row r="137" spans="1:16" hidden="1" outlineLevel="1" x14ac:dyDescent="0.35">
      <c r="A137" s="7" t="s">
        <v>157</v>
      </c>
      <c r="B137" s="14">
        <f t="shared" si="13"/>
        <v>0</v>
      </c>
      <c r="C137" s="8"/>
      <c r="D137" s="14"/>
      <c r="E137" s="8"/>
      <c r="F137" s="14"/>
      <c r="G137" s="8"/>
      <c r="H137" s="14"/>
      <c r="I137" s="8"/>
      <c r="J137" s="14"/>
      <c r="K137" s="8"/>
      <c r="L137" s="14"/>
      <c r="M137" s="8"/>
      <c r="N137" s="14"/>
      <c r="O137" s="11">
        <f t="shared" si="16"/>
        <v>0</v>
      </c>
    </row>
    <row r="138" spans="1:16" hidden="1" outlineLevel="1" x14ac:dyDescent="0.35">
      <c r="A138" s="9" t="s">
        <v>158</v>
      </c>
      <c r="B138" s="10">
        <f t="shared" si="13"/>
        <v>0</v>
      </c>
      <c r="C138" s="10"/>
      <c r="D138" s="10"/>
      <c r="E138" s="10"/>
      <c r="F138" s="10"/>
      <c r="G138" s="10"/>
      <c r="H138" s="10"/>
      <c r="I138" s="10"/>
      <c r="J138" s="10"/>
      <c r="K138" s="10"/>
      <c r="L138" s="10"/>
      <c r="M138" s="10"/>
      <c r="N138" s="10"/>
      <c r="O138" s="11">
        <f t="shared" si="16"/>
        <v>0</v>
      </c>
    </row>
    <row r="139" spans="1:16" hidden="1" outlineLevel="1" x14ac:dyDescent="0.35">
      <c r="A139" s="7" t="s">
        <v>159</v>
      </c>
      <c r="B139" s="14">
        <f t="shared" si="13"/>
        <v>0</v>
      </c>
      <c r="C139" s="8"/>
      <c r="D139" s="14"/>
      <c r="E139" s="8"/>
      <c r="F139" s="14"/>
      <c r="G139" s="8"/>
      <c r="H139" s="14"/>
      <c r="I139" s="8"/>
      <c r="J139" s="14"/>
      <c r="K139" s="8"/>
      <c r="L139" s="14"/>
      <c r="M139" s="8"/>
      <c r="N139" s="14"/>
      <c r="O139" s="11">
        <f t="shared" si="16"/>
        <v>0</v>
      </c>
    </row>
    <row r="140" spans="1:16" hidden="1" outlineLevel="1" x14ac:dyDescent="0.35">
      <c r="A140" s="9" t="s">
        <v>160</v>
      </c>
      <c r="B140" s="10">
        <f t="shared" si="13"/>
        <v>0</v>
      </c>
      <c r="C140" s="10"/>
      <c r="D140" s="10"/>
      <c r="E140" s="10"/>
      <c r="F140" s="10"/>
      <c r="G140" s="10"/>
      <c r="H140" s="10"/>
      <c r="I140" s="10"/>
      <c r="J140" s="10"/>
      <c r="K140" s="10"/>
      <c r="L140" s="10"/>
      <c r="M140" s="10"/>
      <c r="N140" s="10"/>
      <c r="O140" s="11">
        <f t="shared" si="16"/>
        <v>0</v>
      </c>
    </row>
    <row r="141" spans="1:16" hidden="1" outlineLevel="1" x14ac:dyDescent="0.35">
      <c r="A141" s="7" t="s">
        <v>161</v>
      </c>
      <c r="B141" s="14">
        <f t="shared" si="13"/>
        <v>0</v>
      </c>
      <c r="C141" s="8"/>
      <c r="D141" s="14"/>
      <c r="E141" s="8"/>
      <c r="F141" s="14"/>
      <c r="G141" s="8"/>
      <c r="H141" s="14"/>
      <c r="I141" s="8"/>
      <c r="J141" s="14"/>
      <c r="K141" s="8"/>
      <c r="L141" s="14"/>
      <c r="M141" s="8"/>
      <c r="N141" s="14"/>
      <c r="O141" s="11">
        <f t="shared" si="16"/>
        <v>0</v>
      </c>
    </row>
    <row r="142" spans="1:16" hidden="1" outlineLevel="1" x14ac:dyDescent="0.35">
      <c r="A142" s="9" t="s">
        <v>162</v>
      </c>
      <c r="B142" s="10">
        <f t="shared" si="13"/>
        <v>7200000</v>
      </c>
      <c r="C142" s="10">
        <v>600000</v>
      </c>
      <c r="D142" s="10">
        <v>600000</v>
      </c>
      <c r="E142" s="10">
        <v>600000</v>
      </c>
      <c r="F142" s="10">
        <v>600000</v>
      </c>
      <c r="G142" s="10">
        <v>600000</v>
      </c>
      <c r="H142" s="10">
        <v>600000</v>
      </c>
      <c r="I142" s="10">
        <v>600000</v>
      </c>
      <c r="J142" s="10">
        <v>600000</v>
      </c>
      <c r="K142" s="10">
        <v>600000</v>
      </c>
      <c r="L142" s="10">
        <v>600000</v>
      </c>
      <c r="M142" s="10">
        <v>600000</v>
      </c>
      <c r="N142" s="10">
        <v>600000</v>
      </c>
      <c r="O142" s="11">
        <f t="shared" si="16"/>
        <v>7.0000757546253706E-2</v>
      </c>
    </row>
    <row r="143" spans="1:16" hidden="1" outlineLevel="1" x14ac:dyDescent="0.35">
      <c r="A143" s="7" t="s">
        <v>163</v>
      </c>
      <c r="B143" s="14">
        <f t="shared" si="13"/>
        <v>1296000</v>
      </c>
      <c r="C143" s="8">
        <v>108000</v>
      </c>
      <c r="D143" s="14">
        <v>108000</v>
      </c>
      <c r="E143" s="8">
        <v>108000</v>
      </c>
      <c r="F143" s="14">
        <v>108000</v>
      </c>
      <c r="G143" s="8">
        <v>108000</v>
      </c>
      <c r="H143" s="14">
        <v>108000</v>
      </c>
      <c r="I143" s="8">
        <v>108000</v>
      </c>
      <c r="J143" s="14">
        <v>108000</v>
      </c>
      <c r="K143" s="8">
        <v>108000</v>
      </c>
      <c r="L143" s="14">
        <v>108000</v>
      </c>
      <c r="M143" s="8">
        <v>108000</v>
      </c>
      <c r="N143" s="14">
        <v>108000</v>
      </c>
      <c r="O143" s="11">
        <f t="shared" si="16"/>
        <v>1.2600136358325667E-2</v>
      </c>
    </row>
    <row r="144" spans="1:16" hidden="1" outlineLevel="1" x14ac:dyDescent="0.35">
      <c r="A144" s="9" t="s">
        <v>164</v>
      </c>
      <c r="B144" s="10">
        <f t="shared" si="13"/>
        <v>0</v>
      </c>
      <c r="C144" s="10"/>
      <c r="D144" s="10"/>
      <c r="E144" s="10"/>
      <c r="F144" s="10"/>
      <c r="G144" s="10"/>
      <c r="H144" s="10"/>
      <c r="I144" s="10"/>
      <c r="J144" s="10"/>
      <c r="K144" s="10"/>
      <c r="L144" s="10"/>
      <c r="M144" s="10"/>
      <c r="N144" s="10"/>
      <c r="O144" s="11">
        <f t="shared" si="16"/>
        <v>0</v>
      </c>
    </row>
    <row r="145" spans="1:16" hidden="1" outlineLevel="1" x14ac:dyDescent="0.35">
      <c r="A145" s="7" t="s">
        <v>165</v>
      </c>
      <c r="B145" s="14">
        <f t="shared" si="13"/>
        <v>0</v>
      </c>
      <c r="C145" s="8"/>
      <c r="D145" s="14"/>
      <c r="E145" s="8"/>
      <c r="F145" s="14"/>
      <c r="G145" s="8"/>
      <c r="H145" s="14"/>
      <c r="I145" s="8"/>
      <c r="J145" s="14"/>
      <c r="K145" s="8"/>
      <c r="L145" s="14"/>
      <c r="M145" s="8"/>
      <c r="N145" s="14"/>
      <c r="O145" s="11">
        <f t="shared" si="16"/>
        <v>0</v>
      </c>
    </row>
    <row r="146" spans="1:16" hidden="1" outlineLevel="1" x14ac:dyDescent="0.35">
      <c r="A146" s="9" t="s">
        <v>114</v>
      </c>
      <c r="B146" s="10">
        <f t="shared" ref="B146:B148" si="17">SUM(C146:N146)</f>
        <v>0</v>
      </c>
      <c r="C146" s="10"/>
      <c r="D146" s="10"/>
      <c r="E146" s="10"/>
      <c r="F146" s="10"/>
      <c r="G146" s="10"/>
      <c r="H146" s="10"/>
      <c r="I146" s="10"/>
      <c r="J146" s="10"/>
      <c r="K146" s="10"/>
      <c r="L146" s="10"/>
      <c r="M146" s="10"/>
      <c r="N146" s="10"/>
      <c r="O146" s="11">
        <f t="shared" si="16"/>
        <v>0</v>
      </c>
    </row>
    <row r="147" spans="1:16" hidden="1" outlineLevel="1" x14ac:dyDescent="0.35">
      <c r="A147" s="7" t="s">
        <v>166</v>
      </c>
      <c r="B147" s="14">
        <f t="shared" si="17"/>
        <v>0</v>
      </c>
      <c r="C147" s="8"/>
      <c r="D147" s="14"/>
      <c r="E147" s="8"/>
      <c r="F147" s="14"/>
      <c r="G147" s="8"/>
      <c r="H147" s="14"/>
      <c r="I147" s="8"/>
      <c r="J147" s="14"/>
      <c r="K147" s="8"/>
      <c r="L147" s="14"/>
      <c r="M147" s="8"/>
      <c r="N147" s="14"/>
      <c r="O147" s="11">
        <f t="shared" si="16"/>
        <v>0</v>
      </c>
    </row>
    <row r="148" spans="1:16" hidden="1" outlineLevel="1" x14ac:dyDescent="0.35">
      <c r="A148" s="9" t="s">
        <v>167</v>
      </c>
      <c r="B148" s="10">
        <f t="shared" si="17"/>
        <v>21600</v>
      </c>
      <c r="C148" s="10">
        <v>1800</v>
      </c>
      <c r="D148" s="10">
        <v>1800</v>
      </c>
      <c r="E148" s="10">
        <v>1800</v>
      </c>
      <c r="F148" s="10">
        <v>1800</v>
      </c>
      <c r="G148" s="10">
        <v>1800</v>
      </c>
      <c r="H148" s="10">
        <v>1800</v>
      </c>
      <c r="I148" s="10">
        <v>1800</v>
      </c>
      <c r="J148" s="10">
        <v>1800</v>
      </c>
      <c r="K148" s="10">
        <v>1800</v>
      </c>
      <c r="L148" s="10">
        <v>1800</v>
      </c>
      <c r="M148" s="10">
        <v>1800</v>
      </c>
      <c r="N148" s="10">
        <v>1800</v>
      </c>
      <c r="O148" s="11">
        <f t="shared" si="16"/>
        <v>2.1000227263876111E-4</v>
      </c>
    </row>
    <row r="149" spans="1:16" s="13" customFormat="1" collapsed="1" x14ac:dyDescent="0.35">
      <c r="A149" s="4" t="s">
        <v>168</v>
      </c>
      <c r="B149" s="6">
        <f>SUM(B84:B148)</f>
        <v>67351200</v>
      </c>
      <c r="C149" s="6">
        <f t="shared" ref="C149:N149" si="18">SUM(C84:C148)</f>
        <v>5621600</v>
      </c>
      <c r="D149" s="6">
        <f t="shared" si="18"/>
        <v>5657600</v>
      </c>
      <c r="E149" s="6">
        <f t="shared" si="18"/>
        <v>5603600</v>
      </c>
      <c r="F149" s="6">
        <f t="shared" si="18"/>
        <v>5603600</v>
      </c>
      <c r="G149" s="6">
        <f t="shared" si="18"/>
        <v>5603600</v>
      </c>
      <c r="H149" s="6">
        <f t="shared" si="18"/>
        <v>5621600</v>
      </c>
      <c r="I149" s="6">
        <f t="shared" si="18"/>
        <v>5603600</v>
      </c>
      <c r="J149" s="6">
        <f t="shared" si="18"/>
        <v>5603600</v>
      </c>
      <c r="K149" s="6">
        <f t="shared" si="18"/>
        <v>5603600</v>
      </c>
      <c r="L149" s="6">
        <f t="shared" si="18"/>
        <v>5603600</v>
      </c>
      <c r="M149" s="6">
        <f t="shared" si="18"/>
        <v>5603600</v>
      </c>
      <c r="N149" s="6">
        <f t="shared" si="18"/>
        <v>5621600</v>
      </c>
      <c r="O149" s="11">
        <f t="shared" si="16"/>
        <v>0.65481041967350595</v>
      </c>
      <c r="P149" s="12"/>
    </row>
    <row r="150" spans="1:16" s="13" customFormat="1" x14ac:dyDescent="0.35">
      <c r="A150" s="4" t="s">
        <v>169</v>
      </c>
      <c r="B150" s="6">
        <f>SUM(C150:N150)</f>
        <v>360000</v>
      </c>
      <c r="C150" s="6">
        <v>30000</v>
      </c>
      <c r="D150" s="6">
        <v>30000</v>
      </c>
      <c r="E150" s="6">
        <v>30000</v>
      </c>
      <c r="F150" s="6">
        <v>30000</v>
      </c>
      <c r="G150" s="6">
        <v>30000</v>
      </c>
      <c r="H150" s="6">
        <v>30000</v>
      </c>
      <c r="I150" s="6">
        <v>30000</v>
      </c>
      <c r="J150" s="6">
        <v>30000</v>
      </c>
      <c r="K150" s="6">
        <v>30000</v>
      </c>
      <c r="L150" s="6">
        <v>30000</v>
      </c>
      <c r="M150" s="6">
        <v>30000</v>
      </c>
      <c r="N150" s="6">
        <v>30000</v>
      </c>
      <c r="O150" s="11">
        <f t="shared" si="16"/>
        <v>3.5000378773126853E-3</v>
      </c>
      <c r="P150" s="12" t="s">
        <v>170</v>
      </c>
    </row>
    <row r="151" spans="1:16" hidden="1" outlineLevel="1" x14ac:dyDescent="0.35">
      <c r="A151" s="7" t="s">
        <v>171</v>
      </c>
      <c r="B151" s="14">
        <f t="shared" ref="B151" si="19">SUM(C151:N151)</f>
        <v>162768.95999999996</v>
      </c>
      <c r="C151" s="8">
        <v>13564.08</v>
      </c>
      <c r="D151" s="8">
        <v>13564.08</v>
      </c>
      <c r="E151" s="8">
        <v>13564.08</v>
      </c>
      <c r="F151" s="8">
        <v>13564.08</v>
      </c>
      <c r="G151" s="8">
        <v>13564.08</v>
      </c>
      <c r="H151" s="8">
        <v>13564.08</v>
      </c>
      <c r="I151" s="8">
        <v>13564.08</v>
      </c>
      <c r="J151" s="8">
        <v>13564.08</v>
      </c>
      <c r="K151" s="8">
        <v>13564.08</v>
      </c>
      <c r="L151" s="8">
        <v>13564.08</v>
      </c>
      <c r="M151" s="8">
        <v>13564.08</v>
      </c>
      <c r="N151" s="8">
        <v>13564.08</v>
      </c>
      <c r="O151" s="11">
        <f t="shared" si="16"/>
        <v>1.5824931256966479E-3</v>
      </c>
    </row>
    <row r="152" spans="1:16" s="13" customFormat="1" collapsed="1" x14ac:dyDescent="0.35">
      <c r="A152" s="4" t="s">
        <v>172</v>
      </c>
      <c r="B152" s="6">
        <f>B151</f>
        <v>162768.95999999996</v>
      </c>
      <c r="C152" s="6">
        <f t="shared" ref="C152:N152" si="20">C151</f>
        <v>13564.08</v>
      </c>
      <c r="D152" s="6">
        <f t="shared" si="20"/>
        <v>13564.08</v>
      </c>
      <c r="E152" s="6">
        <f t="shared" si="20"/>
        <v>13564.08</v>
      </c>
      <c r="F152" s="6">
        <f t="shared" si="20"/>
        <v>13564.08</v>
      </c>
      <c r="G152" s="6">
        <f t="shared" si="20"/>
        <v>13564.08</v>
      </c>
      <c r="H152" s="6">
        <f t="shared" si="20"/>
        <v>13564.08</v>
      </c>
      <c r="I152" s="6">
        <f t="shared" si="20"/>
        <v>13564.08</v>
      </c>
      <c r="J152" s="6">
        <f t="shared" si="20"/>
        <v>13564.08</v>
      </c>
      <c r="K152" s="6">
        <f t="shared" si="20"/>
        <v>13564.08</v>
      </c>
      <c r="L152" s="6">
        <f t="shared" si="20"/>
        <v>13564.08</v>
      </c>
      <c r="M152" s="6">
        <f t="shared" si="20"/>
        <v>13564.08</v>
      </c>
      <c r="N152" s="6">
        <f t="shared" si="20"/>
        <v>13564.08</v>
      </c>
      <c r="O152" s="11">
        <f t="shared" si="16"/>
        <v>1.5824931256966479E-3</v>
      </c>
      <c r="P152" s="12" t="s">
        <v>173</v>
      </c>
    </row>
    <row r="153" spans="1:16" s="13" customFormat="1" x14ac:dyDescent="0.35">
      <c r="A153" s="4" t="s">
        <v>174</v>
      </c>
      <c r="B153" s="6">
        <f>SUM(C153:N153)</f>
        <v>71280</v>
      </c>
      <c r="C153" s="6">
        <v>5940</v>
      </c>
      <c r="D153" s="6">
        <v>5940</v>
      </c>
      <c r="E153" s="6">
        <v>5940</v>
      </c>
      <c r="F153" s="6">
        <v>5940</v>
      </c>
      <c r="G153" s="6">
        <v>5940</v>
      </c>
      <c r="H153" s="6">
        <v>5940</v>
      </c>
      <c r="I153" s="6">
        <v>5940</v>
      </c>
      <c r="J153" s="6">
        <v>5940</v>
      </c>
      <c r="K153" s="6">
        <v>5940</v>
      </c>
      <c r="L153" s="6">
        <v>5940</v>
      </c>
      <c r="M153" s="6">
        <v>5940</v>
      </c>
      <c r="N153" s="6">
        <v>5940</v>
      </c>
      <c r="O153" s="11">
        <f t="shared" si="16"/>
        <v>6.930074997079117E-4</v>
      </c>
      <c r="P153" s="12"/>
    </row>
    <row r="154" spans="1:16" hidden="1" outlineLevel="1" x14ac:dyDescent="0.35">
      <c r="A154" s="7" t="s">
        <v>175</v>
      </c>
      <c r="B154" s="14">
        <f t="shared" ref="B154:B161" si="21">SUM(C154:N154)</f>
        <v>435643.68000000011</v>
      </c>
      <c r="C154" s="8">
        <v>36303.64</v>
      </c>
      <c r="D154" s="8">
        <v>36303.64</v>
      </c>
      <c r="E154" s="8">
        <v>36303.64</v>
      </c>
      <c r="F154" s="8">
        <v>36303.64</v>
      </c>
      <c r="G154" s="8">
        <v>36303.64</v>
      </c>
      <c r="H154" s="8">
        <v>36303.64</v>
      </c>
      <c r="I154" s="8">
        <v>36303.64</v>
      </c>
      <c r="J154" s="8">
        <v>36303.64</v>
      </c>
      <c r="K154" s="8">
        <v>36303.64</v>
      </c>
      <c r="L154" s="8">
        <v>36303.64</v>
      </c>
      <c r="M154" s="8">
        <v>36303.64</v>
      </c>
      <c r="N154" s="8">
        <v>36303.64</v>
      </c>
      <c r="O154" s="11">
        <f t="shared" si="16"/>
        <v>4.2354705028107972E-3</v>
      </c>
    </row>
    <row r="155" spans="1:16" hidden="1" outlineLevel="1" x14ac:dyDescent="0.35">
      <c r="A155" s="9" t="s">
        <v>176</v>
      </c>
      <c r="B155" s="10">
        <f t="shared" si="21"/>
        <v>1367520</v>
      </c>
      <c r="C155" s="10">
        <v>113960</v>
      </c>
      <c r="D155" s="10">
        <v>113960</v>
      </c>
      <c r="E155" s="10">
        <v>113960</v>
      </c>
      <c r="F155" s="10">
        <v>113960</v>
      </c>
      <c r="G155" s="10">
        <v>113960</v>
      </c>
      <c r="H155" s="10">
        <v>113960</v>
      </c>
      <c r="I155" s="10">
        <v>113960</v>
      </c>
      <c r="J155" s="10">
        <v>113960</v>
      </c>
      <c r="K155" s="10">
        <v>113960</v>
      </c>
      <c r="L155" s="10">
        <v>113960</v>
      </c>
      <c r="M155" s="10">
        <v>113960</v>
      </c>
      <c r="N155" s="10">
        <v>113960</v>
      </c>
      <c r="O155" s="11">
        <f t="shared" si="16"/>
        <v>1.3295477216618454E-2</v>
      </c>
    </row>
    <row r="156" spans="1:16" s="13" customFormat="1" collapsed="1" x14ac:dyDescent="0.35">
      <c r="A156" s="4" t="s">
        <v>177</v>
      </c>
      <c r="B156" s="6">
        <f>SUM(B154:B155)</f>
        <v>1803163.6800000002</v>
      </c>
      <c r="C156" s="6">
        <f t="shared" ref="C156:N156" si="22">SUM(C154:C155)</f>
        <v>150263.64000000001</v>
      </c>
      <c r="D156" s="6">
        <f t="shared" si="22"/>
        <v>150263.64000000001</v>
      </c>
      <c r="E156" s="6">
        <f t="shared" si="22"/>
        <v>150263.64000000001</v>
      </c>
      <c r="F156" s="6">
        <f t="shared" si="22"/>
        <v>150263.64000000001</v>
      </c>
      <c r="G156" s="6">
        <f t="shared" si="22"/>
        <v>150263.64000000001</v>
      </c>
      <c r="H156" s="6">
        <f t="shared" si="22"/>
        <v>150263.64000000001</v>
      </c>
      <c r="I156" s="6">
        <f t="shared" si="22"/>
        <v>150263.64000000001</v>
      </c>
      <c r="J156" s="6">
        <f t="shared" si="22"/>
        <v>150263.64000000001</v>
      </c>
      <c r="K156" s="6">
        <f t="shared" si="22"/>
        <v>150263.64000000001</v>
      </c>
      <c r="L156" s="6">
        <f t="shared" si="22"/>
        <v>150263.64000000001</v>
      </c>
      <c r="M156" s="6">
        <f t="shared" si="22"/>
        <v>150263.64000000001</v>
      </c>
      <c r="N156" s="6">
        <f t="shared" si="22"/>
        <v>150263.64000000001</v>
      </c>
      <c r="O156" s="11">
        <f t="shared" si="16"/>
        <v>1.753094771942925E-2</v>
      </c>
      <c r="P156" s="12"/>
    </row>
    <row r="157" spans="1:16" hidden="1" outlineLevel="1" x14ac:dyDescent="0.35">
      <c r="A157" s="7" t="s">
        <v>178</v>
      </c>
      <c r="B157" s="14">
        <f t="shared" si="21"/>
        <v>72000</v>
      </c>
      <c r="C157" s="8">
        <v>6000</v>
      </c>
      <c r="D157" s="8">
        <v>6000</v>
      </c>
      <c r="E157" s="8">
        <v>6000</v>
      </c>
      <c r="F157" s="8">
        <v>6000</v>
      </c>
      <c r="G157" s="8">
        <v>6000</v>
      </c>
      <c r="H157" s="8">
        <v>6000</v>
      </c>
      <c r="I157" s="8">
        <v>6000</v>
      </c>
      <c r="J157" s="8">
        <v>6000</v>
      </c>
      <c r="K157" s="8">
        <v>6000</v>
      </c>
      <c r="L157" s="8">
        <v>6000</v>
      </c>
      <c r="M157" s="8">
        <v>6000</v>
      </c>
      <c r="N157" s="8">
        <v>6000</v>
      </c>
      <c r="O157" s="11">
        <f t="shared" si="16"/>
        <v>7.0000757546253699E-4</v>
      </c>
    </row>
    <row r="158" spans="1:16" hidden="1" outlineLevel="1" x14ac:dyDescent="0.35">
      <c r="A158" s="9" t="s">
        <v>179</v>
      </c>
      <c r="B158" s="10">
        <f t="shared" si="21"/>
        <v>72000</v>
      </c>
      <c r="C158" s="10">
        <v>6000</v>
      </c>
      <c r="D158" s="10">
        <v>6000</v>
      </c>
      <c r="E158" s="10">
        <v>6000</v>
      </c>
      <c r="F158" s="10">
        <v>6000</v>
      </c>
      <c r="G158" s="10">
        <v>6000</v>
      </c>
      <c r="H158" s="10">
        <v>6000</v>
      </c>
      <c r="I158" s="10">
        <v>6000</v>
      </c>
      <c r="J158" s="10">
        <v>6000</v>
      </c>
      <c r="K158" s="10">
        <v>6000</v>
      </c>
      <c r="L158" s="10">
        <v>6000</v>
      </c>
      <c r="M158" s="10">
        <v>6000</v>
      </c>
      <c r="N158" s="10">
        <v>6000</v>
      </c>
      <c r="O158" s="11">
        <f t="shared" si="16"/>
        <v>7.0000757546253699E-4</v>
      </c>
    </row>
    <row r="159" spans="1:16" hidden="1" outlineLevel="1" x14ac:dyDescent="0.35">
      <c r="A159" s="7" t="s">
        <v>180</v>
      </c>
      <c r="B159" s="14">
        <f t="shared" si="21"/>
        <v>216000</v>
      </c>
      <c r="C159" s="8">
        <v>18000</v>
      </c>
      <c r="D159" s="8">
        <v>18000</v>
      </c>
      <c r="E159" s="8">
        <v>18000</v>
      </c>
      <c r="F159" s="8">
        <v>18000</v>
      </c>
      <c r="G159" s="8">
        <v>18000</v>
      </c>
      <c r="H159" s="8">
        <v>18000</v>
      </c>
      <c r="I159" s="8">
        <v>18000</v>
      </c>
      <c r="J159" s="8">
        <v>18000</v>
      </c>
      <c r="K159" s="8">
        <v>18000</v>
      </c>
      <c r="L159" s="8">
        <v>18000</v>
      </c>
      <c r="M159" s="8">
        <v>18000</v>
      </c>
      <c r="N159" s="8">
        <v>18000</v>
      </c>
      <c r="O159" s="11">
        <f t="shared" si="16"/>
        <v>2.1000227263876111E-3</v>
      </c>
    </row>
    <row r="160" spans="1:16" hidden="1" outlineLevel="1" x14ac:dyDescent="0.35">
      <c r="A160" s="9" t="s">
        <v>181</v>
      </c>
      <c r="B160" s="10">
        <f t="shared" si="21"/>
        <v>144000</v>
      </c>
      <c r="C160" s="10">
        <v>12000</v>
      </c>
      <c r="D160" s="10">
        <v>12000</v>
      </c>
      <c r="E160" s="10">
        <v>12000</v>
      </c>
      <c r="F160" s="10">
        <v>12000</v>
      </c>
      <c r="G160" s="10">
        <v>12000</v>
      </c>
      <c r="H160" s="10">
        <v>12000</v>
      </c>
      <c r="I160" s="10">
        <v>12000</v>
      </c>
      <c r="J160" s="10">
        <v>12000</v>
      </c>
      <c r="K160" s="10">
        <v>12000</v>
      </c>
      <c r="L160" s="10">
        <v>12000</v>
      </c>
      <c r="M160" s="10">
        <v>12000</v>
      </c>
      <c r="N160" s="10">
        <v>12000</v>
      </c>
      <c r="O160" s="11">
        <f t="shared" si="16"/>
        <v>1.400015150925074E-3</v>
      </c>
    </row>
    <row r="161" spans="1:16" hidden="1" outlineLevel="1" x14ac:dyDescent="0.35">
      <c r="A161" s="7" t="s">
        <v>182</v>
      </c>
      <c r="B161" s="14">
        <f t="shared" si="21"/>
        <v>144000</v>
      </c>
      <c r="C161" s="8">
        <v>12000</v>
      </c>
      <c r="D161" s="8">
        <v>12000</v>
      </c>
      <c r="E161" s="8">
        <v>12000</v>
      </c>
      <c r="F161" s="8">
        <v>12000</v>
      </c>
      <c r="G161" s="8">
        <v>12000</v>
      </c>
      <c r="H161" s="8">
        <v>12000</v>
      </c>
      <c r="I161" s="8">
        <v>12000</v>
      </c>
      <c r="J161" s="8">
        <v>12000</v>
      </c>
      <c r="K161" s="8">
        <v>12000</v>
      </c>
      <c r="L161" s="8">
        <v>12000</v>
      </c>
      <c r="M161" s="8">
        <v>12000</v>
      </c>
      <c r="N161" s="8">
        <v>12000</v>
      </c>
      <c r="O161" s="11">
        <f t="shared" si="16"/>
        <v>1.400015150925074E-3</v>
      </c>
    </row>
    <row r="162" spans="1:16" s="13" customFormat="1" collapsed="1" x14ac:dyDescent="0.35">
      <c r="A162" s="4" t="s">
        <v>183</v>
      </c>
      <c r="B162" s="6">
        <f>SUM(B157:B161)</f>
        <v>648000</v>
      </c>
      <c r="C162" s="6">
        <f t="shared" ref="C162:N162" si="23">SUM(C157:C161)</f>
        <v>54000</v>
      </c>
      <c r="D162" s="6">
        <f t="shared" si="23"/>
        <v>54000</v>
      </c>
      <c r="E162" s="6">
        <f t="shared" si="23"/>
        <v>54000</v>
      </c>
      <c r="F162" s="6">
        <f t="shared" si="23"/>
        <v>54000</v>
      </c>
      <c r="G162" s="6">
        <f t="shared" si="23"/>
        <v>54000</v>
      </c>
      <c r="H162" s="6">
        <f t="shared" si="23"/>
        <v>54000</v>
      </c>
      <c r="I162" s="6">
        <f t="shared" si="23"/>
        <v>54000</v>
      </c>
      <c r="J162" s="6">
        <f t="shared" si="23"/>
        <v>54000</v>
      </c>
      <c r="K162" s="6">
        <f t="shared" si="23"/>
        <v>54000</v>
      </c>
      <c r="L162" s="6">
        <f t="shared" si="23"/>
        <v>54000</v>
      </c>
      <c r="M162" s="6">
        <f t="shared" si="23"/>
        <v>54000</v>
      </c>
      <c r="N162" s="6">
        <f t="shared" si="23"/>
        <v>54000</v>
      </c>
      <c r="O162" s="11">
        <f t="shared" si="16"/>
        <v>6.3000681791628337E-3</v>
      </c>
      <c r="P162" s="12"/>
    </row>
    <row r="163" spans="1:16" x14ac:dyDescent="0.35">
      <c r="A163" s="15" t="s">
        <v>184</v>
      </c>
      <c r="B163" s="16">
        <f t="shared" ref="B163:N163" si="24">B14+B24+B26+B29+B31+B32+B37+B40+B76+B78+B79+B83+B149+B150+B152+B153+B156+B162</f>
        <v>102856029.73999999</v>
      </c>
      <c r="C163" s="16">
        <f t="shared" si="24"/>
        <v>8258297.8199999994</v>
      </c>
      <c r="D163" s="16">
        <f t="shared" si="24"/>
        <v>9363405.7200000007</v>
      </c>
      <c r="E163" s="16">
        <f t="shared" si="24"/>
        <v>8045645.5699999994</v>
      </c>
      <c r="F163" s="16">
        <f t="shared" si="24"/>
        <v>8335905.7199999997</v>
      </c>
      <c r="G163" s="16">
        <f t="shared" si="24"/>
        <v>9685645.5700000003</v>
      </c>
      <c r="H163" s="16">
        <f t="shared" si="24"/>
        <v>8188023.2199999997</v>
      </c>
      <c r="I163" s="16">
        <f t="shared" si="24"/>
        <v>8132040.3199999994</v>
      </c>
      <c r="J163" s="16">
        <f t="shared" si="24"/>
        <v>8066205.7199999997</v>
      </c>
      <c r="K163" s="16">
        <f t="shared" si="24"/>
        <v>8045645.5699999994</v>
      </c>
      <c r="L163" s="16">
        <f t="shared" si="24"/>
        <v>8885905.7200000007</v>
      </c>
      <c r="M163" s="16">
        <f t="shared" si="24"/>
        <v>8045645.5699999994</v>
      </c>
      <c r="N163" s="16">
        <f t="shared" si="24"/>
        <v>9803663.2200000007</v>
      </c>
    </row>
    <row r="164" spans="1:16" s="13" customFormat="1" x14ac:dyDescent="0.35">
      <c r="A164" s="17" t="s">
        <v>185</v>
      </c>
      <c r="B164" s="18">
        <f>1-(B163/B5)</f>
        <v>0.43091846004222378</v>
      </c>
      <c r="C164" s="19">
        <f>C5-C163</f>
        <v>7099003.1899999985</v>
      </c>
      <c r="D164" s="19">
        <f>C164+D5-D163</f>
        <v>11572668.159999998</v>
      </c>
      <c r="E164" s="19">
        <f>D164+E5-E163</f>
        <v>18884323.599999994</v>
      </c>
      <c r="F164" s="19">
        <f>E164+F5-F163</f>
        <v>25398975.449999988</v>
      </c>
      <c r="G164" s="19">
        <f>F164+G5-G163</f>
        <v>31070630.889999986</v>
      </c>
      <c r="H164" s="19">
        <f>G164+H5-H163</f>
        <v>37733165.23999998</v>
      </c>
      <c r="I164" s="19">
        <f t="shared" ref="I164:N164" si="25">H164+I5-I163</f>
        <v>44958425.929999977</v>
      </c>
      <c r="J164" s="19">
        <f t="shared" si="25"/>
        <v>52249521.219999976</v>
      </c>
      <c r="K164" s="19">
        <f t="shared" si="25"/>
        <v>59054433.219999976</v>
      </c>
      <c r="L164" s="19">
        <f t="shared" si="25"/>
        <v>65525828.509999976</v>
      </c>
      <c r="M164" s="19">
        <f t="shared" si="25"/>
        <v>72330740.509999976</v>
      </c>
      <c r="N164" s="19">
        <f t="shared" si="25"/>
        <v>77884378.299999982</v>
      </c>
      <c r="P164" s="12"/>
    </row>
    <row r="166" spans="1:16" x14ac:dyDescent="0.35">
      <c r="B166" s="2"/>
    </row>
  </sheetData>
  <mergeCells count="4">
    <mergeCell ref="A1:B1"/>
    <mergeCell ref="A2:B2"/>
    <mergeCell ref="A3:N3"/>
    <mergeCell ref="A7:N7"/>
  </mergeCells>
  <conditionalFormatting sqref="O14:O162">
    <cfRule type="colorScale" priority="1">
      <colorScale>
        <cfvo type="min"/>
        <cfvo type="percentile" val="50"/>
        <cfvo type="max"/>
        <color rgb="FF63BE7B"/>
        <color rgb="FFFFEB84"/>
        <color rgb="FFF8696B"/>
      </colorScale>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F218358</vt:lpstr>
      <vt:lpstr>F218358 actualizado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Anel Muñoz</dc:creator>
  <cp:lastModifiedBy>Grupo1 Project</cp:lastModifiedBy>
  <dcterms:created xsi:type="dcterms:W3CDTF">2024-11-16T00:16:59Z</dcterms:created>
  <dcterms:modified xsi:type="dcterms:W3CDTF">2024-11-19T15:40:55Z</dcterms:modified>
</cp:coreProperties>
</file>