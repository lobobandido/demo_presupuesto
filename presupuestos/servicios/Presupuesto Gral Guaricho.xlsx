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01.- POR ESTACIÓN\"/>
    </mc:Choice>
  </mc:AlternateContent>
  <xr:revisionPtr revIDLastSave="0" documentId="13_ncr:1_{3672B270-EC61-4027-B166-295CEB3C1095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1" l="1"/>
  <c r="F21" i="7"/>
  <c r="E21" i="7"/>
  <c r="B196" i="34" l="1"/>
  <c r="B193" i="34"/>
  <c r="B192" i="34"/>
  <c r="B188" i="34"/>
  <c r="B186" i="34"/>
  <c r="B185" i="34"/>
  <c r="B184" i="34"/>
  <c r="B183" i="34"/>
  <c r="B182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P9" i="20"/>
  <c r="M16" i="20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H13" i="21"/>
  <c r="I11" i="11" s="1"/>
  <c r="G10" i="21"/>
  <c r="H8" i="11" s="1"/>
  <c r="G11" i="21"/>
  <c r="H9" i="11" s="1"/>
  <c r="G12" i="21"/>
  <c r="G13" i="21"/>
  <c r="O13" i="21" s="1"/>
  <c r="Q11" i="11" s="1"/>
  <c r="E7" i="11"/>
  <c r="F7" i="11"/>
  <c r="G7" i="11"/>
  <c r="M7" i="11"/>
  <c r="I13" i="21" l="1"/>
  <c r="J11" i="11" s="1"/>
  <c r="K11" i="11" s="1"/>
  <c r="I12" i="21"/>
  <c r="J10" i="11" s="1"/>
  <c r="K10" i="11" s="1"/>
  <c r="X13" i="21"/>
  <c r="Z11" i="11" s="1"/>
  <c r="I11" i="21"/>
  <c r="J9" i="11" s="1"/>
  <c r="K9" i="11" s="1"/>
  <c r="N13" i="21"/>
  <c r="P11" i="11" s="1"/>
  <c r="M12" i="21"/>
  <c r="O10" i="11" s="1"/>
  <c r="L13" i="21"/>
  <c r="N11" i="11" s="1"/>
  <c r="M13" i="21"/>
  <c r="O11" i="11" s="1"/>
  <c r="T13" i="21"/>
  <c r="V11" i="11" s="1"/>
  <c r="I8" i="11"/>
  <c r="H11" i="11"/>
  <c r="S13" i="21"/>
  <c r="U11" i="11" s="1"/>
  <c r="V13" i="21"/>
  <c r="X11" i="11" s="1"/>
  <c r="W13" i="21"/>
  <c r="Y11" i="11" s="1"/>
  <c r="R13" i="21"/>
  <c r="T11" i="11" s="1"/>
  <c r="Q13" i="21"/>
  <c r="S11" i="11" s="1"/>
  <c r="U13" i="21"/>
  <c r="W11" i="11" s="1"/>
  <c r="P13" i="21"/>
  <c r="R11" i="11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N7" i="22" s="1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D8" i="23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9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I9" i="23" l="1"/>
  <c r="D9" i="23"/>
  <c r="N9" i="23"/>
  <c r="O9" i="23"/>
  <c r="P9" i="23"/>
  <c r="J9" i="23"/>
  <c r="E9" i="23"/>
  <c r="F9" i="23"/>
  <c r="K9" i="23"/>
  <c r="H9" i="23"/>
  <c r="L9" i="23"/>
  <c r="M9" i="23"/>
  <c r="G9" i="23"/>
  <c r="N8" i="23"/>
  <c r="C49" i="27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8" i="23"/>
  <c r="E11" i="23" s="1"/>
  <c r="E13" i="23" s="1"/>
  <c r="P8" i="23"/>
  <c r="P11" i="23" s="1"/>
  <c r="P13" i="23" s="1"/>
  <c r="I8" i="23"/>
  <c r="I11" i="23" s="1"/>
  <c r="I13" i="23" s="1"/>
  <c r="L8" i="23"/>
  <c r="L11" i="23" s="1"/>
  <c r="L13" i="23" s="1"/>
  <c r="M8" i="23"/>
  <c r="M11" i="23" s="1"/>
  <c r="M13" i="23" s="1"/>
  <c r="J8" i="23"/>
  <c r="J11" i="23" s="1"/>
  <c r="J13" i="23" s="1"/>
  <c r="F8" i="23"/>
  <c r="F11" i="23" s="1"/>
  <c r="F13" i="23" s="1"/>
  <c r="O8" i="23"/>
  <c r="O11" i="23" s="1"/>
  <c r="O13" i="23" s="1"/>
  <c r="H8" i="23"/>
  <c r="H11" i="23" s="1"/>
  <c r="H13" i="23" s="1"/>
  <c r="G8" i="23"/>
  <c r="G11" i="23" s="1"/>
  <c r="G13" i="23" s="1"/>
  <c r="K8" i="23"/>
  <c r="K11" i="23" s="1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E179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H7" i="33"/>
  <c r="G10" i="33"/>
  <c r="H10" i="33" s="1"/>
  <c r="H8" i="33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H194" i="34" s="1"/>
  <c r="V21" i="4"/>
  <c r="S80" i="34" s="1"/>
  <c r="D153" i="34"/>
  <c r="N13" i="32"/>
  <c r="F153" i="34"/>
  <c r="F154" i="34" s="1"/>
  <c r="F19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I10" i="18" l="1"/>
  <c r="D42" i="27"/>
  <c r="D189" i="34"/>
  <c r="E42" i="27"/>
  <c r="E189" i="34"/>
  <c r="P42" i="27"/>
  <c r="P189" i="34"/>
  <c r="F42" i="27"/>
  <c r="F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I194" i="34" s="1"/>
  <c r="S13" i="32"/>
  <c r="N163" i="34"/>
  <c r="V22" i="8"/>
  <c r="V23" i="8" s="1"/>
  <c r="F158" i="34"/>
  <c r="N13" i="8"/>
  <c r="L158" i="34"/>
  <c r="T13" i="8"/>
  <c r="M153" i="34"/>
  <c r="M154" i="34" s="1"/>
  <c r="M194" i="34" s="1"/>
  <c r="W13" i="32"/>
  <c r="L36" i="6"/>
  <c r="P36" i="7"/>
  <c r="L51" i="6"/>
  <c r="O14" i="34"/>
  <c r="Y19" i="5"/>
  <c r="Q20" i="33"/>
  <c r="G24" i="34"/>
  <c r="G181" i="34" s="1"/>
  <c r="J153" i="34"/>
  <c r="J154" i="34" s="1"/>
  <c r="J194" i="34" s="1"/>
  <c r="T13" i="32"/>
  <c r="K158" i="34"/>
  <c r="S13" i="8"/>
  <c r="G153" i="34"/>
  <c r="G154" i="34" s="1"/>
  <c r="G194" i="34" s="1"/>
  <c r="Q13" i="32"/>
  <c r="T25" i="6"/>
  <c r="Z20" i="33"/>
  <c r="P24" i="34"/>
  <c r="P181" i="34" s="1"/>
  <c r="U19" i="5"/>
  <c r="K14" i="34"/>
  <c r="G14" i="34"/>
  <c r="Q19" i="5"/>
  <c r="N24" i="34"/>
  <c r="N181" i="34" s="1"/>
  <c r="X20" i="33"/>
  <c r="O10" i="18"/>
  <c r="D24" i="34"/>
  <c r="D181" i="34" s="1"/>
  <c r="N20" i="33"/>
  <c r="M21" i="33"/>
  <c r="E10" i="18"/>
  <c r="W13" i="8"/>
  <c r="O158" i="34"/>
  <c r="K153" i="34"/>
  <c r="K154" i="34" s="1"/>
  <c r="K194" i="34" s="1"/>
  <c r="U13" i="32"/>
  <c r="J24" i="34"/>
  <c r="J181" i="34" s="1"/>
  <c r="T20" i="33"/>
  <c r="R19" i="5"/>
  <c r="H14" i="34"/>
  <c r="N14" i="34"/>
  <c r="X19" i="5"/>
  <c r="L24" i="34"/>
  <c r="L181" i="34" s="1"/>
  <c r="V20" i="33"/>
  <c r="D163" i="34"/>
  <c r="L22" i="8"/>
  <c r="F163" i="34"/>
  <c r="N22" i="8"/>
  <c r="N23" i="8" s="1"/>
  <c r="Y20" i="33"/>
  <c r="O24" i="34"/>
  <c r="O181" i="34" s="1"/>
  <c r="L13" i="8"/>
  <c r="D158" i="34"/>
  <c r="R20" i="33"/>
  <c r="H24" i="34"/>
  <c r="H181" i="34" s="1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I181" i="34" s="1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O194" i="34" s="1"/>
  <c r="Y13" i="32"/>
  <c r="L153" i="34"/>
  <c r="L154" i="34" s="1"/>
  <c r="L194" i="34" s="1"/>
  <c r="V13" i="32"/>
  <c r="S19" i="5"/>
  <c r="I14" i="34"/>
  <c r="P153" i="34"/>
  <c r="P154" i="34" s="1"/>
  <c r="P19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D194" i="34" s="1"/>
  <c r="Z19" i="5"/>
  <c r="P14" i="34"/>
  <c r="O20" i="33"/>
  <c r="E24" i="34"/>
  <c r="E181" i="34" s="1"/>
  <c r="E153" i="34"/>
  <c r="E154" i="34" s="1"/>
  <c r="E194" i="34" s="1"/>
  <c r="O13" i="32"/>
  <c r="N153" i="34"/>
  <c r="N154" i="34" s="1"/>
  <c r="N19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M181" i="34" s="1"/>
  <c r="W20" i="33"/>
  <c r="M14" i="34"/>
  <c r="W19" i="5"/>
  <c r="O22" i="8"/>
  <c r="O23" i="8" s="1"/>
  <c r="G164" i="34"/>
  <c r="K24" i="34"/>
  <c r="K181" i="34" s="1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F181" i="34" s="1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V9" i="6" l="1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S29" i="6" s="1"/>
  <c r="Y25" i="6"/>
  <c r="Y29" i="6" s="1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R29" i="6" s="1"/>
  <c r="S16" i="6"/>
  <c r="S20" i="6" s="1"/>
  <c r="J82" i="34" s="1"/>
  <c r="M25" i="6"/>
  <c r="M29" i="6" s="1"/>
  <c r="D76" i="34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D40" i="27" l="1"/>
  <c r="D187" i="34"/>
  <c r="T154" i="34"/>
  <c r="B194" i="34"/>
  <c r="R50" i="6"/>
  <c r="R21" i="6"/>
  <c r="V50" i="6"/>
  <c r="O11" i="6"/>
  <c r="O35" i="6" s="1"/>
  <c r="Y50" i="6"/>
  <c r="P11" i="6"/>
  <c r="G81" i="34" s="1"/>
  <c r="R11" i="6"/>
  <c r="I81" i="34" s="1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Y12" i="6"/>
  <c r="X12" i="6"/>
  <c r="W11" i="6"/>
  <c r="N81" i="34" s="1"/>
  <c r="V12" i="6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X51" i="6"/>
  <c r="P30" i="18"/>
  <c r="B112" i="34"/>
  <c r="M28" i="8"/>
  <c r="F18" i="18"/>
  <c r="O28" i="8"/>
  <c r="H18" i="18"/>
  <c r="U30" i="6"/>
  <c r="L83" i="34"/>
  <c r="U35" i="6"/>
  <c r="R30" i="6"/>
  <c r="I83" i="34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M190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O12" i="6" l="1"/>
  <c r="P35" i="6"/>
  <c r="P12" i="6"/>
  <c r="R35" i="6"/>
  <c r="R12" i="6"/>
  <c r="K81" i="34"/>
  <c r="K84" i="34" s="1"/>
  <c r="K190" i="34" s="1"/>
  <c r="Y43" i="10"/>
  <c r="Y44" i="10" s="1"/>
  <c r="L52" i="6"/>
  <c r="S28" i="34" s="1"/>
  <c r="L149" i="34"/>
  <c r="L150" i="34" s="1"/>
  <c r="L45" i="27" s="1"/>
  <c r="N43" i="10"/>
  <c r="N44" i="10" s="1"/>
  <c r="W35" i="6"/>
  <c r="W36" i="6" s="1"/>
  <c r="S12" i="6"/>
  <c r="N84" i="34"/>
  <c r="N190" i="34" s="1"/>
  <c r="J81" i="34"/>
  <c r="J84" i="34" s="1"/>
  <c r="J190" i="34" s="1"/>
  <c r="L176" i="10"/>
  <c r="S150" i="34" s="1"/>
  <c r="T35" i="6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O190" i="34" s="1"/>
  <c r="L13" i="6"/>
  <c r="W12" i="6"/>
  <c r="P84" i="34"/>
  <c r="P190" i="34" s="1"/>
  <c r="D84" i="34"/>
  <c r="D190" i="34" s="1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E190" i="34" s="1"/>
  <c r="AA25" i="7"/>
  <c r="AA26" i="7" s="1"/>
  <c r="F84" i="34"/>
  <c r="F190" i="34" s="1"/>
  <c r="L32" i="6"/>
  <c r="L84" i="34"/>
  <c r="L190" i="34" s="1"/>
  <c r="L23" i="6"/>
  <c r="H84" i="34"/>
  <c r="H190" i="34" s="1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E24" i="18"/>
  <c r="D29" i="34"/>
  <c r="Y11" i="7"/>
  <c r="G40" i="34"/>
  <c r="G39" i="27" s="1"/>
  <c r="O40" i="34"/>
  <c r="O39" i="27" s="1"/>
  <c r="G14" i="18"/>
  <c r="O36" i="6"/>
  <c r="L19" i="10"/>
  <c r="H14" i="18"/>
  <c r="P36" i="6"/>
  <c r="F14" i="18"/>
  <c r="N36" i="6"/>
  <c r="I84" i="34"/>
  <c r="I190" i="34" s="1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G190" i="34" s="1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L14" i="6" l="1"/>
  <c r="O14" i="18"/>
  <c r="L37" i="6"/>
  <c r="S84" i="34" s="1"/>
  <c r="L14" i="18"/>
  <c r="R14" i="18" s="1"/>
  <c r="P26" i="18"/>
  <c r="T36" i="6"/>
  <c r="L38" i="6" s="1"/>
  <c r="B149" i="34"/>
  <c r="B150" i="34" s="1"/>
  <c r="S30" i="7"/>
  <c r="S31" i="7" s="1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F33" i="27"/>
  <c r="D35" i="27"/>
  <c r="Y12" i="7"/>
  <c r="J155" i="34"/>
  <c r="J157" i="34" s="1"/>
  <c r="H26" i="18"/>
  <c r="I155" i="34"/>
  <c r="X12" i="7"/>
  <c r="D38" i="27"/>
  <c r="E155" i="34"/>
  <c r="T12" i="7"/>
  <c r="D30" i="34"/>
  <c r="B40" i="34"/>
  <c r="P32" i="34"/>
  <c r="AB12" i="7"/>
  <c r="M155" i="34"/>
  <c r="M157" i="34" s="1"/>
  <c r="M195" i="34" s="1"/>
  <c r="AE12" i="7"/>
  <c r="P155" i="34"/>
  <c r="U12" i="7"/>
  <c r="F155" i="34"/>
  <c r="F157" i="34" s="1"/>
  <c r="E32" i="34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E16" i="18" l="1"/>
  <c r="F48" i="27"/>
  <c r="F195" i="34"/>
  <c r="J48" i="27"/>
  <c r="J195" i="34"/>
  <c r="C33" i="27"/>
  <c r="C180" i="34"/>
  <c r="N157" i="34"/>
  <c r="N195" i="34" s="1"/>
  <c r="F31" i="34"/>
  <c r="Z31" i="7"/>
  <c r="G31" i="34"/>
  <c r="O44" i="10"/>
  <c r="Q43" i="10"/>
  <c r="Q44" i="10" s="1"/>
  <c r="Q39" i="10"/>
  <c r="K16" i="18"/>
  <c r="O16" i="18"/>
  <c r="H157" i="34"/>
  <c r="AA31" i="7"/>
  <c r="G16" i="18"/>
  <c r="P157" i="34"/>
  <c r="P195" i="34" s="1"/>
  <c r="K157" i="34"/>
  <c r="L157" i="34"/>
  <c r="L195" i="34" s="1"/>
  <c r="R32" i="7"/>
  <c r="V16" i="18" s="1"/>
  <c r="R28" i="7"/>
  <c r="AB31" i="7"/>
  <c r="N16" i="18"/>
  <c r="E157" i="34"/>
  <c r="V31" i="7"/>
  <c r="H16" i="18"/>
  <c r="R14" i="7"/>
  <c r="E37" i="27"/>
  <c r="P37" i="27"/>
  <c r="R39" i="27"/>
  <c r="E35" i="27"/>
  <c r="D36" i="27"/>
  <c r="X31" i="7"/>
  <c r="J16" i="18"/>
  <c r="O37" i="27"/>
  <c r="I157" i="34"/>
  <c r="T31" i="7"/>
  <c r="F16" i="18"/>
  <c r="AE31" i="7"/>
  <c r="Q16" i="18"/>
  <c r="O157" i="34"/>
  <c r="O195" i="34" s="1"/>
  <c r="AD31" i="7"/>
  <c r="P16" i="18"/>
  <c r="W31" i="7"/>
  <c r="I16" i="18"/>
  <c r="G33" i="27"/>
  <c r="G157" i="34"/>
  <c r="D157" i="34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K48" i="27" l="1"/>
  <c r="K195" i="34"/>
  <c r="H48" i="27"/>
  <c r="H195" i="34"/>
  <c r="D48" i="27"/>
  <c r="D195" i="34"/>
  <c r="I48" i="27"/>
  <c r="I195" i="34"/>
  <c r="E48" i="27"/>
  <c r="E195" i="34"/>
  <c r="G48" i="27"/>
  <c r="G195" i="34"/>
  <c r="H31" i="34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E187" i="34" s="1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F40" i="27" l="1"/>
  <c r="F187" i="34"/>
  <c r="J31" i="34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D191" i="34" s="1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F37" i="34"/>
  <c r="P130" i="10"/>
  <c r="K46" i="27"/>
  <c r="G35" i="27"/>
  <c r="I28" i="34"/>
  <c r="F43" i="27"/>
  <c r="C44" i="27"/>
  <c r="E148" i="34"/>
  <c r="E191" i="34" s="1"/>
  <c r="N116" i="10"/>
  <c r="P35" i="18"/>
  <c r="O18" i="23" s="1"/>
  <c r="U38" i="10"/>
  <c r="G40" i="27" l="1"/>
  <c r="G187" i="34"/>
  <c r="U43" i="10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H40" i="27" l="1"/>
  <c r="H187" i="34"/>
  <c r="L31" i="34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G191" i="34" s="1"/>
  <c r="P116" i="10"/>
  <c r="F148" i="34"/>
  <c r="F191" i="34" s="1"/>
  <c r="C25" i="34"/>
  <c r="W38" i="10"/>
  <c r="I40" i="27" l="1"/>
  <c r="I187" i="34"/>
  <c r="W43" i="10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J40" i="27" l="1"/>
  <c r="J187" i="34"/>
  <c r="W44" i="10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I38" i="27"/>
  <c r="J41" i="27"/>
  <c r="K78" i="34"/>
  <c r="J37" i="34"/>
  <c r="M28" i="34"/>
  <c r="L35" i="27"/>
  <c r="H148" i="34"/>
  <c r="H191" i="34" s="1"/>
  <c r="I148" i="34"/>
  <c r="I191" i="34" s="1"/>
  <c r="R116" i="10"/>
  <c r="T39" i="18"/>
  <c r="K40" i="27" l="1"/>
  <c r="K187" i="34"/>
  <c r="R117" i="10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J38" i="27"/>
  <c r="U130" i="10"/>
  <c r="W162" i="10"/>
  <c r="T21" i="10"/>
  <c r="T22" i="10" s="1"/>
  <c r="M165" i="34"/>
  <c r="K41" i="27"/>
  <c r="L49" i="27"/>
  <c r="N28" i="34"/>
  <c r="M35" i="27"/>
  <c r="J148" i="34"/>
  <c r="J191" i="34" s="1"/>
  <c r="S116" i="10"/>
  <c r="I44" i="27"/>
  <c r="H44" i="27"/>
  <c r="B12" i="34"/>
  <c r="L40" i="27" l="1"/>
  <c r="L187" i="34"/>
  <c r="I36" i="27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40" i="27" l="1"/>
  <c r="M187" i="34"/>
  <c r="M24" i="18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K191" i="34" s="1"/>
  <c r="L148" i="34"/>
  <c r="L191" i="34" s="1"/>
  <c r="U116" i="10"/>
  <c r="V6" i="23"/>
  <c r="X6" i="23" s="1"/>
  <c r="T6" i="23"/>
  <c r="B119" i="34"/>
  <c r="G42" i="27"/>
  <c r="D47" i="27"/>
  <c r="F47" i="27"/>
  <c r="R33" i="27"/>
  <c r="N40" i="27" l="1"/>
  <c r="N187" i="34"/>
  <c r="K36" i="27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O187" i="34" s="1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M191" i="34" s="1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X193" i="10"/>
  <c r="B34" i="34"/>
  <c r="B76" i="34"/>
  <c r="B187" i="34" s="1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P187" i="34" s="1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N191" i="34" s="1"/>
  <c r="W116" i="10"/>
  <c r="B156" i="34"/>
  <c r="B157" i="34" s="1"/>
  <c r="I42" i="27"/>
  <c r="C157" i="34"/>
  <c r="X16" i="18"/>
  <c r="D37" i="18"/>
  <c r="C16" i="23" s="1"/>
  <c r="T157" i="34" l="1"/>
  <c r="B195" i="34"/>
  <c r="T84" i="34"/>
  <c r="B190" i="34"/>
  <c r="X194" i="10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O191" i="34" s="1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P191" i="34" s="1"/>
  <c r="B118" i="34"/>
  <c r="B148" i="34" s="1"/>
  <c r="B191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B179" i="34" s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98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B181" i="34" s="1"/>
  <c r="L26" i="23"/>
  <c r="F26" i="23"/>
  <c r="O26" i="23"/>
  <c r="N26" i="23"/>
  <c r="J26" i="23"/>
  <c r="T25" i="34" l="1"/>
  <c r="W10" i="18"/>
  <c r="Y10" i="18" s="1"/>
  <c r="B167" i="34"/>
  <c r="B166" i="34"/>
  <c r="B197" i="34" s="1"/>
  <c r="E20" i="23"/>
  <c r="E52" i="23"/>
  <c r="D32" i="23"/>
  <c r="D34" i="23"/>
  <c r="R16" i="23"/>
  <c r="V16" i="23" s="1"/>
  <c r="X16" i="23" s="1"/>
  <c r="R34" i="27"/>
  <c r="R50" i="27" s="1"/>
  <c r="B198" i="34" l="1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B168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B169" i="34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<sst xmlns="http://schemas.openxmlformats.org/spreadsheetml/2006/main" count="1883" uniqueCount="478">
  <si>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</si>
  <si>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</si>
  <si>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</si>
  <si>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</si>
  <si>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</si>
  <si>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</si>
  <si>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</si>
  <si>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</si>
  <si>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</si>
  <si>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</si>
  <si>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</si>
  <si>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</si>
  <si>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</si>
  <si>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</si>
  <si>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</si>
  <si>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</si>
  <si>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</si>
  <si>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</si>
  <si>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</si>
  <si>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</si>
  <si>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</si>
  <si>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</si>
  <si>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</si>
  <si>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</si>
  <si>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</si>
  <si>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</si>
  <si>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</si>
  <si>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</si>
  <si>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</si>
  <si>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</si>
  <si>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</si>
  <si>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</si>
  <si>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</si>
  <si>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</si>
  <si>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</si>
  <si>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</si>
  <si>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</si>
  <si>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</si>
  <si>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</si>
  <si>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</si>
  <si>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</si>
  <si>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</si>
  <si>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</si>
  <si>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</si>
  <si>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</si>
  <si>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</si>
  <si>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</si>
  <si>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</si>
  <si>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</si>
  <si>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</si>
  <si>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</si>
  <si>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</si>
  <si>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</si>
  <si>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</si>
  <si>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</si>
  <si>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</si>
  <si>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</si>
  <si>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</si>
  <si>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</si>
  <si>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</si>
  <si>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</si>
  <si>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</si>
  <si>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</si>
  <si>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</si>
  <si>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</si>
  <si>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</si>
  <si>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</si>
  <si>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</si>
  <si>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</si>
  <si>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</si>
  <si>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</si>
  <si>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</si>
  <si>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</si>
  <si>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</si>
  <si>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</si>
  <si>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</si>
  <si>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</si>
  <si>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</si>
  <si>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</si>
  <si>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</si>
  <si>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</si>
  <si>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</si>
  <si>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</si>
  <si>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</si>
  <si>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</si>
  <si>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</si>
  <si>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</si>
  <si>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</si>
  <si>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</si>
  <si>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</si>
  <si>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</si>
  <si>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</si>
  <si>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</si>
  <si>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</si>
  <si>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</si>
  <si>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</si>
  <si>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</si>
  <si>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</si>
  <si>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</si>
  <si>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</si>
  <si>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</si>
  <si>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</si>
  <si>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</si>
  <si>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</si>
  <si>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</si>
  <si>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</si>
  <si>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</si>
  <si>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</si>
  <si>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</si>
  <si>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</si>
  <si>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</si>
  <si>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</si>
  <si>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</si>
  <si>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</si>
  <si>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</si>
  <si>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</si>
  <si>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</si>
  <si>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</si>
  <si>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</si>
  <si>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</si>
  <si>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</si>
  <si>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</si>
  <si>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</si>
  <si>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</si>
  <si>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</si>
  <si>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</si>
  <si>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</si>
  <si>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</si>
  <si>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</si>
  <si>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</si>
  <si>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</si>
  <si>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</si>
  <si>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</si>
  <si>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</si>
  <si>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</si>
  <si>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</si>
  <si>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</si>
  <si>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</si>
  <si>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</si>
  <si>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</si>
  <si>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</si>
  <si>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</si>
  <si>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</si>
  <si>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</si>
  <si>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</si>
  <si>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</si>
  <si>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</si>
  <si>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</si>
  <si>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</si>
  <si>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</si>
  <si>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</si>
  <si>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</si>
  <si>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</si>
  <si>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</si>
  <si>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</si>
  <si>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</si>
  <si>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</si>
  <si>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</si>
  <si>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</si>
  <si>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</si>
  <si>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</si>
  <si>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</si>
  <si>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</si>
  <si>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</si>
  <si>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</si>
  <si>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</si>
  <si>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</si>
  <si>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</si>
  <si>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</si>
  <si>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</si>
  <si>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</si>
  <si>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</si>
  <si>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</si>
  <si>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</si>
  <si>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</si>
  <si>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</si>
  <si>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</si>
  <si>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</si>
  <si>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</si>
  <si>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</si>
  <si>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</si>
  <si>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</si>
  <si>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</si>
  <si>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</si>
  <si>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</si>
  <si>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</si>
  <si>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</si>
  <si>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</si>
  <si>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</si>
  <si>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</si>
  <si>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</si>
  <si>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</si>
  <si>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</si>
  <si>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</si>
  <si>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</si>
  <si>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</si>
  <si>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</si>
  <si>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</si>
  <si>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</si>
  <si>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</si>
  <si>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</si>
  <si>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</si>
  <si>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</si>
  <si>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</si>
  <si>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</si>
  <si>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</si>
  <si>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</si>
  <si>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</si>
  <si>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</si>
  <si>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</si>
  <si>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</si>
  <si>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</si>
  <si>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</si>
  <si>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</si>
  <si>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</si>
  <si>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</si>
  <si>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</si>
  <si>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</si>
  <si>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</si>
  <si>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</si>
  <si>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</si>
  <si>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</si>
  <si>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</si>
  <si>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</si>
  <si>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</si>
  <si>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</si>
  <si>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</si>
  <si>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</si>
  <si>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</si>
  <si>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</si>
  <si>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</si>
  <si>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</si>
  <si>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</si>
  <si>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</si>
  <si>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</si>
  <si>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</si>
  <si>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</si>
  <si>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</si>
  <si>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</si>
  <si>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</si>
  <si>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</si>
  <si>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</si>
  <si>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</si>
  <si>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</si>
  <si>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</si>
  <si>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</si>
  <si>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</si>
  <si>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</si>
  <si>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</si>
  <si>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</si>
  <si>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</si>
  <si>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</si>
  <si>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</si>
  <si>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</si>
  <si>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</si>
  <si>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</si>
  <si>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</si>
  <si>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</si>
  <si>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</si>
  <si>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</si>
  <si>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</si>
  <si>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</si>
  <si>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</si>
  <si>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</si>
  <si>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</si>
  <si>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</si>
  <si>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</si>
  <si>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</si>
  <si>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</si>
  <si>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</si>
  <si>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</si>
  <si>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</si>
  <si>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</si>
  <si>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</si>
  <si>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</si>
  <si>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</si>
  <si>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</si>
  <si>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</si>
  <si>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</si>
  <si>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</si>
  <si>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</si>
  <si>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</si>
  <si>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</si>
  <si>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</si>
  <si>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</si>
  <si>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</si>
  <si>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</si>
  <si>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</si>
  <si>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</si>
  <si>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</si>
  <si>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</si>
  <si>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</si>
  <si>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</si>
  <si>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</si>
  <si>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</si>
  <si>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</si>
  <si>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</si>
  <si>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</si>
  <si>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</si>
  <si>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</si>
  <si>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</si>
  <si>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</si>
  <si>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</si>
  <si>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</si>
  <si>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</si>
  <si>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</si>
  <si>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</si>
  <si>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</si>
  <si>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</si>
  <si>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</si>
  <si>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</si>
  <si>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</si>
  <si>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</si>
  <si>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</si>
  <si>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</si>
  <si>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</si>
  <si>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</si>
  <si>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</si>
  <si>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</si>
  <si>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</si>
  <si>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</si>
  <si>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</si>
  <si>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</si>
  <si>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</si>
  <si>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</si>
  <si>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</si>
  <si>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</si>
  <si>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</si>
  <si>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</si>
  <si>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</si>
  <si>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</si>
  <si>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</si>
  <si>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</si>
  <si>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</si>
  <si>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</si>
  <si>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</si>
  <si>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</si>
  <si>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</si>
  <si>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</si>
  <si>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</si>
  <si>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</si>
  <si>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</si>
  <si>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</si>
  <si>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</si>
  <si>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</si>
  <si>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</si>
  <si>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</si>
  <si>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</si>
  <si>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</si>
  <si>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</si>
  <si>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</si>
  <si>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</si>
  <si>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</si>
  <si>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</si>
  <si>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</si>
  <si>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</si>
  <si>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</si>
  <si>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</si>
  <si>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</si>
  <si>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</si>
  <si>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</si>
  <si>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</si>
  <si>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</si>
  <si>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</si>
  <si>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</si>
  <si>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</si>
  <si>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</si>
  <si>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</si>
  <si>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</si>
  <si>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</si>
  <si>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</si>
  <si>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</si>
  <si>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</si>
  <si>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</si>
  <si>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</si>
  <si>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</si>
  <si>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</si>
  <si>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</si>
  <si>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</si>
  <si>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</si>
  <si>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</si>
  <si>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</si>
  <si>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</si>
  <si>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</si>
  <si>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</si>
  <si>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</si>
  <si>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</si>
  <si>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</si>
  <si>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</si>
  <si>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</si>
  <si>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</si>
  <si>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</si>
  <si>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</si>
  <si>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</si>
  <si>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</si>
  <si>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</si>
  <si>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</si>
  <si>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</si>
  <si>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</si>
  <si>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</si>
  <si>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</si>
  <si>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</si>
  <si>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</si>
  <si>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</si>
  <si>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</si>
  <si>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</si>
  <si>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</si>
  <si>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</si>
  <si>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</si>
  <si>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</si>
  <si>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</si>
  <si>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</si>
  <si>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</si>
  <si>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</si>
  <si>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</si>
  <si>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</si>
  <si>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</si>
  <si>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</si>
  <si>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</si>
  <si>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</si>
  <si>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</si>
  <si>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</si>
  <si>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</si>
  <si>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</si>
  <si>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</si>
  <si>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</si>
  <si>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</si>
  <si>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</si>
  <si>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</si>
  <si>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</si>
  <si>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</si>
  <si>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</si>
  <si>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</si>
  <si>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Hilo para desbrosadora</t>
  </si>
  <si>
    <t>Aceite para desbrosadora</t>
  </si>
  <si>
    <t>Mtto. Para desbrosadora</t>
  </si>
  <si>
    <t xml:space="preserve">Acesoria </t>
  </si>
  <si>
    <t>Botiquin Oficina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</si>
  <si>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</si>
  <si>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</si>
  <si>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</si>
  <si>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</si>
  <si>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</si>
  <si>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</si>
  <si>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Internet casa staff</t>
  </si>
  <si>
    <t>Succion de fosas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</si>
  <si>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</si>
  <si>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</si>
  <si>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</si>
  <si>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</si>
  <si>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</si>
  <si>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</si>
  <si>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</si>
  <si>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</si>
  <si>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</si>
  <si>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</si>
  <si>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</si>
  <si>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</si>
  <si>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</si>
  <si>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</si>
  <si>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</si>
  <si>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 xml:space="preserve"> </t>
  </si>
  <si>
    <t xml:space="preserve">Camper habitacional </t>
  </si>
  <si>
    <t>OPERADOR D</t>
  </si>
  <si>
    <t>RODRIGUEZ PULIDO ROCIO GUADALUPE</t>
  </si>
  <si>
    <t>Bandas de generador</t>
  </si>
  <si>
    <t xml:space="preserve">Aceite para generador </t>
  </si>
  <si>
    <t xml:space="preserve">Mantenimiento Gen </t>
  </si>
  <si>
    <t xml:space="preserve">Refaccionamiento Gen </t>
  </si>
  <si>
    <t>LOPEZ ONTIVEROS CARLOS IVAN</t>
  </si>
  <si>
    <t>OPERADOR B</t>
  </si>
  <si>
    <t>RAMIREZ OLSIN MANUEL DE JESUS</t>
  </si>
  <si>
    <t>OPERADOR A</t>
  </si>
  <si>
    <t>CASTILLO ANGULO ROMAN</t>
  </si>
  <si>
    <t>ALEJANDRO CORDOBA VICTOR MANUEL</t>
  </si>
  <si>
    <t>HERNANDEZ NARANJO ELIGRAFIO</t>
  </si>
  <si>
    <t>Casa staff Agua Dulce</t>
  </si>
  <si>
    <t>ALCAZAR TRINIDAD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</si>
</sst>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19" xfId="0" applyFont="1" applyBorder="1" applyAlignment="1">
      <alignment horizontal="left"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13" fillId="2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 wrapText="1"/>
    </xf>
    <xf numFmtId="0" fontId="35" fillId="23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-31240.058910087719</c:v>
                </c:pt>
                <c:pt idx="2">
                  <c:v>-31221.167910087715</c:v>
                </c:pt>
                <c:pt idx="3">
                  <c:v>-29443.53641008772</c:v>
                </c:pt>
                <c:pt idx="4">
                  <c:v>-32366.147910087715</c:v>
                </c:pt>
                <c:pt idx="5">
                  <c:v>-34464.027481516292</c:v>
                </c:pt>
                <c:pt idx="6">
                  <c:v>-30966.722910087712</c:v>
                </c:pt>
                <c:pt idx="7">
                  <c:v>-30307.483910087722</c:v>
                </c:pt>
                <c:pt idx="8">
                  <c:v>-29649.137910087717</c:v>
                </c:pt>
                <c:pt idx="9">
                  <c:v>-29913.546410087718</c:v>
                </c:pt>
                <c:pt idx="10">
                  <c:v>-29646.137910087717</c:v>
                </c:pt>
                <c:pt idx="11">
                  <c:v>-29913.546410087718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-31240.058910087719</c:v>
                </c:pt>
                <c:pt idx="2">
                  <c:v>-62461.226820175434</c:v>
                </c:pt>
                <c:pt idx="3">
                  <c:v>-91904.763230263154</c:v>
                </c:pt>
                <c:pt idx="4">
                  <c:v>-124270.91114035087</c:v>
                </c:pt>
                <c:pt idx="5">
                  <c:v>-158734.93862186716</c:v>
                </c:pt>
                <c:pt idx="6">
                  <c:v>-189701.66153195486</c:v>
                </c:pt>
                <c:pt idx="7">
                  <c:v>-220009.14544204259</c:v>
                </c:pt>
                <c:pt idx="8">
                  <c:v>-249658.2833521303</c:v>
                </c:pt>
                <c:pt idx="9">
                  <c:v>-279571.829762218</c:v>
                </c:pt>
                <c:pt idx="10">
                  <c:v>-309217.96767230571</c:v>
                </c:pt>
                <c:pt idx="11">
                  <c:v>-339131.51408239343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2957.5</c:v>
                </c:pt>
                <c:pt idx="2">
                  <c:v>2957.5</c:v>
                </c:pt>
                <c:pt idx="3">
                  <c:v>2957.5</c:v>
                </c:pt>
                <c:pt idx="4">
                  <c:v>2957.5</c:v>
                </c:pt>
                <c:pt idx="5">
                  <c:v>2957.5</c:v>
                </c:pt>
                <c:pt idx="6">
                  <c:v>2957.5</c:v>
                </c:pt>
                <c:pt idx="7">
                  <c:v>2957.5</c:v>
                </c:pt>
                <c:pt idx="8">
                  <c:v>2957.5</c:v>
                </c:pt>
                <c:pt idx="9">
                  <c:v>2957.5</c:v>
                </c:pt>
                <c:pt idx="10">
                  <c:v>2957.5</c:v>
                </c:pt>
                <c:pt idx="11">
                  <c:v>2957.5</c:v>
                </c:pt>
                <c:pt idx="12">
                  <c:v>2957.5</c:v>
                </c:pt>
                <c:pt idx="13">
                  <c:v>2957.5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2511.4210000000003</c:v>
                </c:pt>
                <c:pt idx="2">
                  <c:v>782.5</c:v>
                </c:pt>
                <c:pt idx="3">
                  <c:v>864.89850000000001</c:v>
                </c:pt>
                <c:pt idx="4">
                  <c:v>3317.5</c:v>
                </c:pt>
                <c:pt idx="5">
                  <c:v>864.89850000000001</c:v>
                </c:pt>
                <c:pt idx="6">
                  <c:v>1768.075</c:v>
                </c:pt>
                <c:pt idx="7">
                  <c:v>1728.846</c:v>
                </c:pt>
                <c:pt idx="8">
                  <c:v>1070.5</c:v>
                </c:pt>
                <c:pt idx="9">
                  <c:v>864.89850000000001</c:v>
                </c:pt>
                <c:pt idx="10">
                  <c:v>1067.5</c:v>
                </c:pt>
                <c:pt idx="11">
                  <c:v>864.89850000000001</c:v>
                </c:pt>
                <c:pt idx="12">
                  <c:v>1565.075</c:v>
                </c:pt>
                <c:pt idx="13">
                  <c:v>1761.421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573.78499999999997</c:v>
                </c:pt>
                <c:pt idx="2">
                  <c:v>573.78499999999997</c:v>
                </c:pt>
                <c:pt idx="3">
                  <c:v>573.78499999999997</c:v>
                </c:pt>
                <c:pt idx="4">
                  <c:v>573.78499999999997</c:v>
                </c:pt>
                <c:pt idx="5">
                  <c:v>573.78499999999997</c:v>
                </c:pt>
                <c:pt idx="6">
                  <c:v>573.78499999999997</c:v>
                </c:pt>
                <c:pt idx="7">
                  <c:v>573.78499999999997</c:v>
                </c:pt>
                <c:pt idx="8">
                  <c:v>573.78499999999997</c:v>
                </c:pt>
                <c:pt idx="9">
                  <c:v>573.78499999999997</c:v>
                </c:pt>
                <c:pt idx="10">
                  <c:v>573.78499999999997</c:v>
                </c:pt>
                <c:pt idx="11">
                  <c:v>573.78499999999997</c:v>
                </c:pt>
                <c:pt idx="12">
                  <c:v>573.78499999999997</c:v>
                </c:pt>
                <c:pt idx="13">
                  <c:v>573.78499999999997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1221.0606666666667</c:v>
                </c:pt>
                <c:pt idx="2">
                  <c:v>1221.0606666666667</c:v>
                </c:pt>
                <c:pt idx="3">
                  <c:v>1221.0606666666667</c:v>
                </c:pt>
                <c:pt idx="4">
                  <c:v>1221.0606666666667</c:v>
                </c:pt>
                <c:pt idx="5">
                  <c:v>1221.0606666666667</c:v>
                </c:pt>
                <c:pt idx="6">
                  <c:v>1221.0606666666667</c:v>
                </c:pt>
                <c:pt idx="7">
                  <c:v>1221.0606666666667</c:v>
                </c:pt>
                <c:pt idx="8">
                  <c:v>1221.0606666666667</c:v>
                </c:pt>
                <c:pt idx="9">
                  <c:v>1221.0606666666667</c:v>
                </c:pt>
                <c:pt idx="10">
                  <c:v>1221.0606666666667</c:v>
                </c:pt>
                <c:pt idx="11">
                  <c:v>1221.0606666666667</c:v>
                </c:pt>
                <c:pt idx="12">
                  <c:v>1221.0606666666667</c:v>
                </c:pt>
                <c:pt idx="13">
                  <c:v>1221.0606666666667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9217.8567434210527</c:v>
                </c:pt>
                <c:pt idx="2">
                  <c:v>9217.8567434210527</c:v>
                </c:pt>
                <c:pt idx="3">
                  <c:v>9217.8567434210527</c:v>
                </c:pt>
                <c:pt idx="4">
                  <c:v>9217.8567434210527</c:v>
                </c:pt>
                <c:pt idx="5">
                  <c:v>14238.347814849625</c:v>
                </c:pt>
                <c:pt idx="6">
                  <c:v>9217.8567434210527</c:v>
                </c:pt>
                <c:pt idx="7">
                  <c:v>9217.8567434210527</c:v>
                </c:pt>
                <c:pt idx="8">
                  <c:v>9217.8567434210527</c:v>
                </c:pt>
                <c:pt idx="9">
                  <c:v>9217.8567434210527</c:v>
                </c:pt>
                <c:pt idx="10">
                  <c:v>9217.8567434210527</c:v>
                </c:pt>
                <c:pt idx="11">
                  <c:v>9217.8567434210527</c:v>
                </c:pt>
                <c:pt idx="12">
                  <c:v>21769.084421992484</c:v>
                </c:pt>
                <c:pt idx="13">
                  <c:v>9217.8567434210527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28072.5</c:v>
                </c:pt>
                <c:pt idx="2">
                  <c:v>28372.5</c:v>
                </c:pt>
                <c:pt idx="3">
                  <c:v>27922.5</c:v>
                </c:pt>
                <c:pt idx="4">
                  <c:v>27922.5</c:v>
                </c:pt>
                <c:pt idx="5">
                  <c:v>27922.5</c:v>
                </c:pt>
                <c:pt idx="6">
                  <c:v>28072.5</c:v>
                </c:pt>
                <c:pt idx="7">
                  <c:v>27922.5</c:v>
                </c:pt>
                <c:pt idx="8">
                  <c:v>27922.5</c:v>
                </c:pt>
                <c:pt idx="9">
                  <c:v>27922.5</c:v>
                </c:pt>
                <c:pt idx="10">
                  <c:v>27922.5</c:v>
                </c:pt>
                <c:pt idx="11">
                  <c:v>27922.5</c:v>
                </c:pt>
                <c:pt idx="12">
                  <c:v>28072.5</c:v>
                </c:pt>
                <c:pt idx="13">
                  <c:v>32922.5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58" zoomScaleNormal="70" workbookViewId="0">
      <pane xSplit="2" ySplit="7" topLeftCell="C13" activePane="bottomRight" state="frozen"/>
      <selection pane="topRight" activeCell="C1" sqref="C1"/>
      <selection pane="bottomLeft" activeCell="A7" sqref="A7"/>
      <selection pane="bottomRight" activeCell="D5" sqref="D5:O5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300" t="s">
        <v>382</v>
      </c>
      <c r="B1" s="300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934445.16000000015</v>
      </c>
      <c r="C5" s="177">
        <f>'F08 INGRESOS'!M15</f>
        <v>0</v>
      </c>
      <c r="D5" s="177">
        <f>'F08 INGRESOS'!N15</f>
        <v>73151.009999999995</v>
      </c>
      <c r="E5" s="177">
        <f>'F08 INGRESOS'!O15</f>
        <v>66071.88</v>
      </c>
      <c r="F5" s="177">
        <f>'F08 INGRESOS'!P15</f>
        <v>73151.009999999995</v>
      </c>
      <c r="G5" s="177">
        <f>'F08 INGRESOS'!Q15</f>
        <v>70791.299999999988</v>
      </c>
      <c r="H5" s="177">
        <f>'F08 INGRESOS'!R15</f>
        <v>73151.009999999995</v>
      </c>
      <c r="I5" s="177">
        <f>'F08 INGRESOS'!S15</f>
        <v>70791.299999999988</v>
      </c>
      <c r="J5" s="177">
        <f>'F08 INGRESOS'!T15</f>
        <v>73151.009999999995</v>
      </c>
      <c r="K5" s="177">
        <f>'F08 INGRESOS'!U15</f>
        <v>73151.009999999995</v>
      </c>
      <c r="L5" s="177">
        <f>'F08 INGRESOS'!V15</f>
        <v>70791.299999999988</v>
      </c>
      <c r="M5" s="177">
        <f>'F08 INGRESOS'!W15</f>
        <v>73151.009999999995</v>
      </c>
      <c r="N5" s="177">
        <f>'F08 INGRESOS'!X15</f>
        <v>70791.299999999988</v>
      </c>
      <c r="O5" s="177">
        <f>'F08 INGRESOS'!Y15</f>
        <v>73151.009999999995</v>
      </c>
      <c r="P5" s="177">
        <f>'F08 INGRESOS'!Z15</f>
        <v>73151.009999999995</v>
      </c>
      <c r="Q5" s="167">
        <f>COUNTA(E4:P4)</f>
        <v>12</v>
      </c>
      <c r="S5" s="264">
        <f>'F08 INGRESOS'!M17</f>
        <v>934445.16000000015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0</v>
      </c>
      <c r="C8" s="180">
        <f>'F00 INVERSIÓN'!L11</f>
        <v>0</v>
      </c>
      <c r="D8" s="180">
        <f>'F00 INVERSIÓN'!M11</f>
        <v>0</v>
      </c>
      <c r="E8" s="180">
        <f>'F00 INVERSIÓN'!N11</f>
        <v>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0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0</v>
      </c>
      <c r="R13" s="173"/>
      <c r="S13" s="263">
        <f>'F00 INVERSIÓN'!L42</f>
        <v>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10400</v>
      </c>
      <c r="C14" s="187">
        <f>'F02 INMUEBLES Y S'!M7</f>
        <v>0</v>
      </c>
      <c r="D14" s="187">
        <f>'F02 INMUEBLES Y S'!N7</f>
        <v>800</v>
      </c>
      <c r="E14" s="187">
        <f>'F02 INMUEBLES Y S'!O7</f>
        <v>800</v>
      </c>
      <c r="F14" s="187">
        <f>'F02 INMUEBLES Y S'!P7</f>
        <v>800</v>
      </c>
      <c r="G14" s="187">
        <f>'F02 INMUEBLES Y S'!Q7</f>
        <v>800</v>
      </c>
      <c r="H14" s="187">
        <f>'F02 INMUEBLES Y S'!R7</f>
        <v>800</v>
      </c>
      <c r="I14" s="187">
        <f>'F02 INMUEBLES Y S'!S7</f>
        <v>800</v>
      </c>
      <c r="J14" s="187">
        <f>'F02 INMUEBLES Y S'!T7</f>
        <v>800</v>
      </c>
      <c r="K14" s="187">
        <f>'F02 INMUEBLES Y S'!U7</f>
        <v>800</v>
      </c>
      <c r="L14" s="187">
        <f>'F02 INMUEBLES Y S'!V7</f>
        <v>800</v>
      </c>
      <c r="M14" s="187">
        <f>'F02 INMUEBLES Y S'!W7</f>
        <v>800</v>
      </c>
      <c r="N14" s="187">
        <f>'F02 INMUEBLES Y S'!X7</f>
        <v>800</v>
      </c>
      <c r="O14" s="187">
        <f>'F02 INMUEBLES Y S'!Y7</f>
        <v>800</v>
      </c>
      <c r="P14" s="187">
        <f>'F02 INMUEBLES Y S'!Z7</f>
        <v>800</v>
      </c>
      <c r="Q14" s="266">
        <f t="shared" si="2"/>
        <v>1.7234508547762473E-2</v>
      </c>
    </row>
    <row r="15" spans="1:20" ht="26" hidden="1" customHeight="1" outlineLevel="1" x14ac:dyDescent="0.35">
      <c r="A15" s="181" t="s">
        <v>106</v>
      </c>
      <c r="B15" s="182">
        <f t="shared" si="3"/>
        <v>4225</v>
      </c>
      <c r="C15" s="182">
        <f>'F02 INMUEBLES Y S'!M8</f>
        <v>0</v>
      </c>
      <c r="D15" s="182">
        <f>'F02 INMUEBLES Y S'!N8</f>
        <v>325</v>
      </c>
      <c r="E15" s="182">
        <f>'F02 INMUEBLES Y S'!O8</f>
        <v>325</v>
      </c>
      <c r="F15" s="182">
        <f>'F02 INMUEBLES Y S'!P8</f>
        <v>325</v>
      </c>
      <c r="G15" s="182">
        <f>'F02 INMUEBLES Y S'!Q8</f>
        <v>325</v>
      </c>
      <c r="H15" s="182">
        <f>'F02 INMUEBLES Y S'!R8</f>
        <v>325</v>
      </c>
      <c r="I15" s="182">
        <f>'F02 INMUEBLES Y S'!S8</f>
        <v>325</v>
      </c>
      <c r="J15" s="182">
        <f>'F02 INMUEBLES Y S'!T8</f>
        <v>325</v>
      </c>
      <c r="K15" s="182">
        <f>'F02 INMUEBLES Y S'!U8</f>
        <v>325</v>
      </c>
      <c r="L15" s="182">
        <f>'F02 INMUEBLES Y S'!V8</f>
        <v>325</v>
      </c>
      <c r="M15" s="182">
        <f>'F02 INMUEBLES Y S'!W8</f>
        <v>325</v>
      </c>
      <c r="N15" s="182">
        <f>'F02 INMUEBLES Y S'!X8</f>
        <v>325</v>
      </c>
      <c r="O15" s="182">
        <f>'F02 INMUEBLES Y S'!Y8</f>
        <v>325</v>
      </c>
      <c r="P15" s="182">
        <f>'F02 INMUEBLES Y S'!Z8</f>
        <v>325</v>
      </c>
      <c r="Q15" s="266">
        <f t="shared" si="2"/>
        <v>7.0015190975285056E-3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487.5</v>
      </c>
      <c r="C20" s="187">
        <f>'F02 INMUEBLES Y S'!M13</f>
        <v>0</v>
      </c>
      <c r="D20" s="187">
        <f>'F02 INMUEBLES Y S'!N13</f>
        <v>37.5</v>
      </c>
      <c r="E20" s="187">
        <f>'F02 INMUEBLES Y S'!O13</f>
        <v>37.5</v>
      </c>
      <c r="F20" s="187">
        <f>'F02 INMUEBLES Y S'!P13</f>
        <v>37.5</v>
      </c>
      <c r="G20" s="187">
        <f>'F02 INMUEBLES Y S'!Q13</f>
        <v>37.5</v>
      </c>
      <c r="H20" s="187">
        <f>'F02 INMUEBLES Y S'!R13</f>
        <v>37.5</v>
      </c>
      <c r="I20" s="187">
        <f>'F02 INMUEBLES Y S'!S13</f>
        <v>37.5</v>
      </c>
      <c r="J20" s="187">
        <f>'F02 INMUEBLES Y S'!T13</f>
        <v>37.5</v>
      </c>
      <c r="K20" s="187">
        <f>'F02 INMUEBLES Y S'!U13</f>
        <v>37.5</v>
      </c>
      <c r="L20" s="187">
        <f>'F02 INMUEBLES Y S'!V13</f>
        <v>37.5</v>
      </c>
      <c r="M20" s="187">
        <f>'F02 INMUEBLES Y S'!W13</f>
        <v>37.5</v>
      </c>
      <c r="N20" s="187">
        <f>'F02 INMUEBLES Y S'!X13</f>
        <v>37.5</v>
      </c>
      <c r="O20" s="187">
        <f>'F02 INMUEBLES Y S'!Y13</f>
        <v>37.5</v>
      </c>
      <c r="P20" s="187">
        <f>'F02 INMUEBLES Y S'!Z13</f>
        <v>37.5</v>
      </c>
      <c r="Q20" s="266">
        <f t="shared" si="2"/>
        <v>8.0786758817636599E-4</v>
      </c>
    </row>
    <row r="21" spans="1:21" ht="26" hidden="1" customHeight="1" outlineLevel="1" x14ac:dyDescent="0.35">
      <c r="A21" s="181" t="s">
        <v>112</v>
      </c>
      <c r="B21" s="182">
        <f t="shared" si="3"/>
        <v>11310</v>
      </c>
      <c r="C21" s="182">
        <f>'F02 INMUEBLES Y S'!M14</f>
        <v>0</v>
      </c>
      <c r="D21" s="182">
        <f>'F02 INMUEBLES Y S'!N14</f>
        <v>870</v>
      </c>
      <c r="E21" s="182">
        <f>'F02 INMUEBLES Y S'!O14</f>
        <v>870</v>
      </c>
      <c r="F21" s="182">
        <f>'F02 INMUEBLES Y S'!P14</f>
        <v>870</v>
      </c>
      <c r="G21" s="182">
        <f>'F02 INMUEBLES Y S'!Q14</f>
        <v>870</v>
      </c>
      <c r="H21" s="182">
        <f>'F02 INMUEBLES Y S'!R14</f>
        <v>870</v>
      </c>
      <c r="I21" s="182">
        <f>'F02 INMUEBLES Y S'!S14</f>
        <v>870</v>
      </c>
      <c r="J21" s="182">
        <f>'F02 INMUEBLES Y S'!T14</f>
        <v>870</v>
      </c>
      <c r="K21" s="182">
        <f>'F02 INMUEBLES Y S'!U14</f>
        <v>870</v>
      </c>
      <c r="L21" s="182">
        <f>'F02 INMUEBLES Y S'!V14</f>
        <v>870</v>
      </c>
      <c r="M21" s="182">
        <f>'F02 INMUEBLES Y S'!W14</f>
        <v>870</v>
      </c>
      <c r="N21" s="182">
        <f>'F02 INMUEBLES Y S'!X14</f>
        <v>870</v>
      </c>
      <c r="O21" s="182">
        <f>'F02 INMUEBLES Y S'!Y14</f>
        <v>870</v>
      </c>
      <c r="P21" s="182">
        <f>'F02 INMUEBLES Y S'!Z14</f>
        <v>870</v>
      </c>
      <c r="Q21" s="266">
        <f t="shared" si="2"/>
        <v>1.8742528045691691E-2</v>
      </c>
    </row>
    <row r="22" spans="1:21" ht="26" hidden="1" customHeight="1" outlineLevel="1" x14ac:dyDescent="0.35">
      <c r="A22" s="179" t="s">
        <v>113</v>
      </c>
      <c r="B22" s="187">
        <f t="shared" si="3"/>
        <v>12025</v>
      </c>
      <c r="C22" s="187">
        <f>'F02 INMUEBLES Y S'!M15</f>
        <v>0</v>
      </c>
      <c r="D22" s="187">
        <f>'F02 INMUEBLES Y S'!N15</f>
        <v>925</v>
      </c>
      <c r="E22" s="187">
        <f>'F02 INMUEBLES Y S'!O15</f>
        <v>925</v>
      </c>
      <c r="F22" s="187">
        <f>'F02 INMUEBLES Y S'!P15</f>
        <v>925</v>
      </c>
      <c r="G22" s="187">
        <f>'F02 INMUEBLES Y S'!Q15</f>
        <v>925</v>
      </c>
      <c r="H22" s="187">
        <f>'F02 INMUEBLES Y S'!R15</f>
        <v>925</v>
      </c>
      <c r="I22" s="187">
        <f>'F02 INMUEBLES Y S'!S15</f>
        <v>925</v>
      </c>
      <c r="J22" s="187">
        <f>'F02 INMUEBLES Y S'!T15</f>
        <v>925</v>
      </c>
      <c r="K22" s="187">
        <f>'F02 INMUEBLES Y S'!U15</f>
        <v>925</v>
      </c>
      <c r="L22" s="187">
        <f>'F02 INMUEBLES Y S'!V15</f>
        <v>925</v>
      </c>
      <c r="M22" s="187">
        <f>'F02 INMUEBLES Y S'!W15</f>
        <v>925</v>
      </c>
      <c r="N22" s="187">
        <f>'F02 INMUEBLES Y S'!X15</f>
        <v>925</v>
      </c>
      <c r="O22" s="187">
        <f>'F02 INMUEBLES Y S'!Y15</f>
        <v>925</v>
      </c>
      <c r="P22" s="187">
        <f>'F02 INMUEBLES Y S'!Z15</f>
        <v>925</v>
      </c>
      <c r="Q22" s="266">
        <f t="shared" si="2"/>
        <v>1.9927400508350363E-2</v>
      </c>
    </row>
    <row r="23" spans="1:21" s="186" customFormat="1" ht="26" customHeight="1" collapsed="1" x14ac:dyDescent="0.35">
      <c r="A23" s="188" t="s">
        <v>82</v>
      </c>
      <c r="B23" s="189">
        <f>SUM(B14:B22)</f>
        <v>38447.5</v>
      </c>
      <c r="C23" s="190">
        <f t="shared" ref="C23:P23" si="4">SUM(C14:C22)</f>
        <v>0</v>
      </c>
      <c r="D23" s="190">
        <f t="shared" si="4"/>
        <v>2957.5</v>
      </c>
      <c r="E23" s="190">
        <f t="shared" si="4"/>
        <v>2957.5</v>
      </c>
      <c r="F23" s="190">
        <f t="shared" si="4"/>
        <v>2957.5</v>
      </c>
      <c r="G23" s="190">
        <f t="shared" si="4"/>
        <v>2957.5</v>
      </c>
      <c r="H23" s="190">
        <f t="shared" si="4"/>
        <v>2957.5</v>
      </c>
      <c r="I23" s="190">
        <f t="shared" si="4"/>
        <v>2957.5</v>
      </c>
      <c r="J23" s="190">
        <f t="shared" si="4"/>
        <v>2957.5</v>
      </c>
      <c r="K23" s="190">
        <f t="shared" si="4"/>
        <v>2957.5</v>
      </c>
      <c r="L23" s="190">
        <f t="shared" si="4"/>
        <v>2957.5</v>
      </c>
      <c r="M23" s="190">
        <f t="shared" si="4"/>
        <v>2957.5</v>
      </c>
      <c r="N23" s="190">
        <f t="shared" si="4"/>
        <v>2957.5</v>
      </c>
      <c r="O23" s="190">
        <f t="shared" si="4"/>
        <v>2957.5</v>
      </c>
      <c r="P23" s="190">
        <f t="shared" si="4"/>
        <v>2957.5</v>
      </c>
      <c r="Q23" s="266">
        <f t="shared" si="2"/>
        <v>6.3713823787509394E-2</v>
      </c>
      <c r="R23" s="173"/>
      <c r="S23" s="263">
        <f>'F02 INMUEBLES Y S'!M21</f>
        <v>38447.5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2925</v>
      </c>
      <c r="C24" s="180">
        <f>'F01 EPP'!M19</f>
        <v>0</v>
      </c>
      <c r="D24" s="180">
        <f>'F01 EPP'!N19</f>
        <v>225</v>
      </c>
      <c r="E24" s="180">
        <f>'F01 EPP'!O19</f>
        <v>225</v>
      </c>
      <c r="F24" s="180">
        <f>'F01 EPP'!P19</f>
        <v>225</v>
      </c>
      <c r="G24" s="180">
        <f>'F01 EPP'!Q19</f>
        <v>225</v>
      </c>
      <c r="H24" s="180">
        <f>'F01 EPP'!R19</f>
        <v>225</v>
      </c>
      <c r="I24" s="180">
        <f>'F01 EPP'!S19</f>
        <v>225</v>
      </c>
      <c r="J24" s="180">
        <f>'F01 EPP'!T19</f>
        <v>225</v>
      </c>
      <c r="K24" s="180">
        <f>'F01 EPP'!U19</f>
        <v>225</v>
      </c>
      <c r="L24" s="180">
        <f>'F01 EPP'!V19</f>
        <v>225</v>
      </c>
      <c r="M24" s="180">
        <f>'F01 EPP'!W19</f>
        <v>225</v>
      </c>
      <c r="N24" s="180">
        <f>'F01 EPP'!X19</f>
        <v>225</v>
      </c>
      <c r="O24" s="180">
        <f>'F01 EPP'!Y19</f>
        <v>225</v>
      </c>
      <c r="P24" s="180">
        <f>'F01 EPP'!Z19</f>
        <v>225</v>
      </c>
      <c r="Q24" s="266">
        <f t="shared" si="2"/>
        <v>4.847205529058196E-3</v>
      </c>
    </row>
    <row r="25" spans="1:21" ht="26" customHeight="1" collapsed="1" x14ac:dyDescent="0.35">
      <c r="A25" s="188" t="s">
        <v>83</v>
      </c>
      <c r="B25" s="189">
        <f>B24</f>
        <v>2925</v>
      </c>
      <c r="C25" s="190">
        <f t="shared" ref="C25:P25" si="5">C24</f>
        <v>0</v>
      </c>
      <c r="D25" s="190">
        <f t="shared" si="5"/>
        <v>225</v>
      </c>
      <c r="E25" s="190">
        <f t="shared" si="5"/>
        <v>225</v>
      </c>
      <c r="F25" s="190">
        <f t="shared" si="5"/>
        <v>225</v>
      </c>
      <c r="G25" s="190">
        <f t="shared" si="5"/>
        <v>225</v>
      </c>
      <c r="H25" s="190">
        <f t="shared" si="5"/>
        <v>225</v>
      </c>
      <c r="I25" s="190">
        <f t="shared" si="5"/>
        <v>225</v>
      </c>
      <c r="J25" s="190">
        <f t="shared" si="5"/>
        <v>225</v>
      </c>
      <c r="K25" s="190">
        <f t="shared" si="5"/>
        <v>225</v>
      </c>
      <c r="L25" s="190">
        <f t="shared" si="5"/>
        <v>225</v>
      </c>
      <c r="M25" s="190">
        <f t="shared" si="5"/>
        <v>225</v>
      </c>
      <c r="N25" s="190">
        <f t="shared" si="5"/>
        <v>225</v>
      </c>
      <c r="O25" s="190">
        <f t="shared" si="5"/>
        <v>225</v>
      </c>
      <c r="P25" s="190">
        <f t="shared" si="5"/>
        <v>225</v>
      </c>
      <c r="Q25" s="266">
        <f t="shared" si="2"/>
        <v>4.847205529058196E-3</v>
      </c>
      <c r="S25" s="263">
        <f>'F01 EPP'!M21</f>
        <v>2925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1.7773086939880053E-3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1.7773086939880053E-3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1.2432866750677425E-3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1.2432866750677425E-3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5.3857839211757729E-4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3.2314703527054639E-4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8.6172542738812373E-4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2.1543135684703092E-3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1736.8425</v>
      </c>
      <c r="C42" s="182">
        <f>'F06 (MAT,SERV &amp; EQUIPO)'!L8</f>
        <v>0</v>
      </c>
      <c r="D42" s="182">
        <f>'F06 (MAT,SERV &amp; EQUIPO)'!M8</f>
        <v>578.94749999999999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578.94749999999999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578.94749999999999</v>
      </c>
      <c r="Q42" s="266">
        <f t="shared" si="2"/>
        <v>2.8782333569583795E-3</v>
      </c>
    </row>
    <row r="43" spans="1:20" ht="26" hidden="1" customHeight="1" outlineLevel="1" x14ac:dyDescent="0.35">
      <c r="A43" s="179" t="s">
        <v>126</v>
      </c>
      <c r="B43" s="187">
        <f t="shared" si="10"/>
        <v>1425</v>
      </c>
      <c r="C43" s="187">
        <f>'F06 (MAT,SERV &amp; EQUIPO)'!L9</f>
        <v>0</v>
      </c>
      <c r="D43" s="187">
        <f>'F06 (MAT,SERV &amp; EQUIPO)'!M9</f>
        <v>285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285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285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285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285</v>
      </c>
      <c r="Q43" s="266">
        <f t="shared" si="2"/>
        <v>2.3614591039001469E-3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0</v>
      </c>
      <c r="C45" s="187">
        <f>'F06 (MAT,SERV &amp; EQUIPO)'!L11</f>
        <v>0</v>
      </c>
      <c r="D45" s="187">
        <f>'F06 (MAT,SERV &amp; EQUIPO)'!M11</f>
        <v>0</v>
      </c>
      <c r="E45" s="187">
        <f>'F06 (MAT,SERV &amp; EQUIPO)'!N11</f>
        <v>0</v>
      </c>
      <c r="F45" s="187">
        <f>'F06 (MAT,SERV &amp; EQUIPO)'!O11</f>
        <v>0</v>
      </c>
      <c r="G45" s="187">
        <f>'F06 (MAT,SERV &amp; EQUIPO)'!P11</f>
        <v>0</v>
      </c>
      <c r="H45" s="187">
        <f>'F06 (MAT,SERV &amp; EQUIPO)'!Q11</f>
        <v>0</v>
      </c>
      <c r="I45" s="187">
        <f>'F06 (MAT,SERV &amp; EQUIPO)'!R11</f>
        <v>0</v>
      </c>
      <c r="J45" s="187">
        <f>'F06 (MAT,SERV &amp; EQUIPO)'!S11</f>
        <v>0</v>
      </c>
      <c r="K45" s="187">
        <f>'F06 (MAT,SERV &amp; EQUIPO)'!T11</f>
        <v>0</v>
      </c>
      <c r="L45" s="187">
        <f>'F06 (MAT,SERV &amp; EQUIPO)'!U11</f>
        <v>0</v>
      </c>
      <c r="M45" s="187">
        <f>'F06 (MAT,SERV &amp; EQUIPO)'!V11</f>
        <v>0</v>
      </c>
      <c r="N45" s="187">
        <f>'F06 (MAT,SERV &amp; EQUIPO)'!W11</f>
        <v>0</v>
      </c>
      <c r="O45" s="187">
        <f>'F06 (MAT,SERV &amp; EQUIPO)'!X11</f>
        <v>0</v>
      </c>
      <c r="P45" s="187">
        <f>'F06 (MAT,SERV &amp; EQUIPO)'!Y11</f>
        <v>0</v>
      </c>
      <c r="Q45" s="266">
        <f t="shared" ref="Q45:Q76" si="11">B45/$B$166</f>
        <v>0</v>
      </c>
    </row>
    <row r="46" spans="1:20" ht="26" hidden="1" customHeight="1" outlineLevel="1" x14ac:dyDescent="0.35">
      <c r="A46" s="181" t="s">
        <v>129</v>
      </c>
      <c r="B46" s="182">
        <f t="shared" si="10"/>
        <v>390</v>
      </c>
      <c r="C46" s="182">
        <f>'F06 (MAT,SERV &amp; EQUIPO)'!L12</f>
        <v>0</v>
      </c>
      <c r="D46" s="182">
        <f>'F06 (MAT,SERV &amp; EQUIPO)'!M12</f>
        <v>30</v>
      </c>
      <c r="E46" s="182">
        <f>'F06 (MAT,SERV &amp; EQUIPO)'!N12</f>
        <v>30</v>
      </c>
      <c r="F46" s="182">
        <f>'F06 (MAT,SERV &amp; EQUIPO)'!O12</f>
        <v>30</v>
      </c>
      <c r="G46" s="182">
        <f>'F06 (MAT,SERV &amp; EQUIPO)'!P12</f>
        <v>30</v>
      </c>
      <c r="H46" s="182">
        <f>'F06 (MAT,SERV &amp; EQUIPO)'!Q12</f>
        <v>30</v>
      </c>
      <c r="I46" s="182">
        <f>'F06 (MAT,SERV &amp; EQUIPO)'!R12</f>
        <v>30</v>
      </c>
      <c r="J46" s="182">
        <f>'F06 (MAT,SERV &amp; EQUIPO)'!S12</f>
        <v>30</v>
      </c>
      <c r="K46" s="182">
        <f>'F06 (MAT,SERV &amp; EQUIPO)'!T12</f>
        <v>30</v>
      </c>
      <c r="L46" s="182">
        <f>'F06 (MAT,SERV &amp; EQUIPO)'!U12</f>
        <v>30</v>
      </c>
      <c r="M46" s="182">
        <f>'F06 (MAT,SERV &amp; EQUIPO)'!V12</f>
        <v>30</v>
      </c>
      <c r="N46" s="182">
        <f>'F06 (MAT,SERV &amp; EQUIPO)'!W12</f>
        <v>30</v>
      </c>
      <c r="O46" s="182">
        <f>'F06 (MAT,SERV &amp; EQUIPO)'!X12</f>
        <v>30</v>
      </c>
      <c r="P46" s="182">
        <f>'F06 (MAT,SERV &amp; EQUIPO)'!Y12</f>
        <v>30</v>
      </c>
      <c r="Q46" s="266">
        <f t="shared" si="11"/>
        <v>6.4629407054109277E-4</v>
      </c>
    </row>
    <row r="47" spans="1:20" ht="26" hidden="1" customHeight="1" outlineLevel="1" x14ac:dyDescent="0.35">
      <c r="A47" s="179" t="s">
        <v>130</v>
      </c>
      <c r="B47" s="187">
        <f t="shared" si="10"/>
        <v>576.78949999999998</v>
      </c>
      <c r="C47" s="187">
        <f>'F06 (MAT,SERV &amp; EQUIPO)'!L13</f>
        <v>0</v>
      </c>
      <c r="D47" s="187">
        <f>'F06 (MAT,SERV &amp; EQUIPO)'!M13</f>
        <v>82.398499999999999</v>
      </c>
      <c r="E47" s="187">
        <f>'F06 (MAT,SERV &amp; EQUIPO)'!N13</f>
        <v>0</v>
      </c>
      <c r="F47" s="187">
        <f>'F06 (MAT,SERV &amp; EQUIPO)'!O13</f>
        <v>82.398499999999999</v>
      </c>
      <c r="G47" s="187">
        <f>'F06 (MAT,SERV &amp; EQUIPO)'!P13</f>
        <v>0</v>
      </c>
      <c r="H47" s="187">
        <f>'F06 (MAT,SERV &amp; EQUIPO)'!Q13</f>
        <v>82.398499999999999</v>
      </c>
      <c r="I47" s="187">
        <f>'F06 (MAT,SERV &amp; EQUIPO)'!R13</f>
        <v>0</v>
      </c>
      <c r="J47" s="187">
        <f>'F06 (MAT,SERV &amp; EQUIPO)'!S13</f>
        <v>82.398499999999999</v>
      </c>
      <c r="K47" s="187">
        <f>'F06 (MAT,SERV &amp; EQUIPO)'!T13</f>
        <v>0</v>
      </c>
      <c r="L47" s="187">
        <f>'F06 (MAT,SERV &amp; EQUIPO)'!U13</f>
        <v>82.398499999999999</v>
      </c>
      <c r="M47" s="187">
        <f>'F06 (MAT,SERV &amp; EQUIPO)'!V13</f>
        <v>0</v>
      </c>
      <c r="N47" s="187">
        <f>'F06 (MAT,SERV &amp; EQUIPO)'!W13</f>
        <v>82.398499999999999</v>
      </c>
      <c r="O47" s="187">
        <f>'F06 (MAT,SERV &amp; EQUIPO)'!X13</f>
        <v>0</v>
      </c>
      <c r="P47" s="187">
        <f>'F06 (MAT,SERV &amp; EQUIPO)'!Y13</f>
        <v>82.398499999999999</v>
      </c>
      <c r="Q47" s="266">
        <f t="shared" si="11"/>
        <v>9.5583495846246578E-4</v>
      </c>
    </row>
    <row r="48" spans="1:20" ht="26" hidden="1" customHeight="1" outlineLevel="1" x14ac:dyDescent="0.35">
      <c r="A48" s="181" t="s">
        <v>131</v>
      </c>
      <c r="B48" s="182">
        <f t="shared" si="10"/>
        <v>32.5</v>
      </c>
      <c r="C48" s="182">
        <f>'F06 (MAT,SERV &amp; EQUIPO)'!L14</f>
        <v>0</v>
      </c>
      <c r="D48" s="182">
        <f>'F06 (MAT,SERV &amp; EQUIPO)'!M14</f>
        <v>2.5</v>
      </c>
      <c r="E48" s="182">
        <f>'F06 (MAT,SERV &amp; EQUIPO)'!N14</f>
        <v>2.5</v>
      </c>
      <c r="F48" s="182">
        <f>'F06 (MAT,SERV &amp; EQUIPO)'!O14</f>
        <v>2.5</v>
      </c>
      <c r="G48" s="182">
        <f>'F06 (MAT,SERV &amp; EQUIPO)'!P14</f>
        <v>2.5</v>
      </c>
      <c r="H48" s="182">
        <f>'F06 (MAT,SERV &amp; EQUIPO)'!Q14</f>
        <v>2.5</v>
      </c>
      <c r="I48" s="182">
        <f>'F06 (MAT,SERV &amp; EQUIPO)'!R14</f>
        <v>2.5</v>
      </c>
      <c r="J48" s="182">
        <f>'F06 (MAT,SERV &amp; EQUIPO)'!S14</f>
        <v>2.5</v>
      </c>
      <c r="K48" s="182">
        <f>'F06 (MAT,SERV &amp; EQUIPO)'!T14</f>
        <v>2.5</v>
      </c>
      <c r="L48" s="182">
        <f>'F06 (MAT,SERV &amp; EQUIPO)'!U14</f>
        <v>2.5</v>
      </c>
      <c r="M48" s="182">
        <f>'F06 (MAT,SERV &amp; EQUIPO)'!V14</f>
        <v>2.5</v>
      </c>
      <c r="N48" s="182">
        <f>'F06 (MAT,SERV &amp; EQUIPO)'!W14</f>
        <v>2.5</v>
      </c>
      <c r="O48" s="182">
        <f>'F06 (MAT,SERV &amp; EQUIPO)'!X14</f>
        <v>2.5</v>
      </c>
      <c r="P48" s="182">
        <f>'F06 (MAT,SERV &amp; EQUIPO)'!Y14</f>
        <v>2.5</v>
      </c>
      <c r="Q48" s="266">
        <f t="shared" si="11"/>
        <v>5.3857839211757733E-5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130.30000000000001</v>
      </c>
      <c r="C50" s="182">
        <f>'F06 (MAT,SERV &amp; EQUIPO)'!L16</f>
        <v>0</v>
      </c>
      <c r="D50" s="182">
        <f>'F06 (MAT,SERV &amp; EQUIPO)'!M16</f>
        <v>32.575000000000003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32.575000000000003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32.575000000000003</v>
      </c>
      <c r="P50" s="182">
        <f>'F06 (MAT,SERV &amp; EQUIPO)'!Y16</f>
        <v>32.575000000000003</v>
      </c>
      <c r="Q50" s="266">
        <f t="shared" si="11"/>
        <v>2.1592850613206255E-4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3.36404349538056E-4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2.1543135684703093E-4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2250</v>
      </c>
      <c r="C55" s="187">
        <f>'F06 (MAT,SERV &amp; EQUIPO)'!L21</f>
        <v>0</v>
      </c>
      <c r="D55" s="187">
        <f>'F06 (MAT,SERV &amp; EQUIPO)'!M21</f>
        <v>750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750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750</v>
      </c>
      <c r="P55" s="187">
        <f>'F06 (MAT,SERV &amp; EQUIPO)'!Y21</f>
        <v>0</v>
      </c>
      <c r="Q55" s="266">
        <f t="shared" si="11"/>
        <v>3.7286196377370739E-3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3900</v>
      </c>
      <c r="C57" s="187">
        <f>'F06 (MAT,SERV &amp; EQUIPO)'!L23</f>
        <v>0</v>
      </c>
      <c r="D57" s="187">
        <f>'F06 (MAT,SERV &amp; EQUIPO)'!M23</f>
        <v>300</v>
      </c>
      <c r="E57" s="187">
        <f>'F06 (MAT,SERV &amp; EQUIPO)'!N23</f>
        <v>300</v>
      </c>
      <c r="F57" s="187">
        <f>'F06 (MAT,SERV &amp; EQUIPO)'!O23</f>
        <v>300</v>
      </c>
      <c r="G57" s="187">
        <f>'F06 (MAT,SERV &amp; EQUIPO)'!P23</f>
        <v>300</v>
      </c>
      <c r="H57" s="187">
        <f>'F06 (MAT,SERV &amp; EQUIPO)'!Q23</f>
        <v>300</v>
      </c>
      <c r="I57" s="187">
        <f>'F06 (MAT,SERV &amp; EQUIPO)'!R23</f>
        <v>300</v>
      </c>
      <c r="J57" s="187">
        <f>'F06 (MAT,SERV &amp; EQUIPO)'!S23</f>
        <v>300</v>
      </c>
      <c r="K57" s="187">
        <f>'F06 (MAT,SERV &amp; EQUIPO)'!T23</f>
        <v>300</v>
      </c>
      <c r="L57" s="187">
        <f>'F06 (MAT,SERV &amp; EQUIPO)'!U23</f>
        <v>300</v>
      </c>
      <c r="M57" s="187">
        <f>'F06 (MAT,SERV &amp; EQUIPO)'!V23</f>
        <v>300</v>
      </c>
      <c r="N57" s="187">
        <f>'F06 (MAT,SERV &amp; EQUIPO)'!W23</f>
        <v>300</v>
      </c>
      <c r="O57" s="187">
        <f>'F06 (MAT,SERV &amp; EQUIPO)'!X23</f>
        <v>300</v>
      </c>
      <c r="P57" s="187">
        <f>'F06 (MAT,SERV &amp; EQUIPO)'!Y23</f>
        <v>300</v>
      </c>
      <c r="Q57" s="266">
        <f t="shared" si="11"/>
        <v>6.4629407054109279E-3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5.3857839211757736E-3</v>
      </c>
    </row>
    <row r="59" spans="1:17" ht="26" hidden="1" customHeight="1" outlineLevel="1" x14ac:dyDescent="0.35">
      <c r="A59" s="179" t="s">
        <v>142</v>
      </c>
      <c r="B59" s="187">
        <f t="shared" si="10"/>
        <v>0</v>
      </c>
      <c r="C59" s="187">
        <f>'F06 (MAT,SERV &amp; EQUIPO)'!L25</f>
        <v>0</v>
      </c>
      <c r="D59" s="187">
        <f>'F06 (MAT,SERV &amp; EQUIPO)'!M25</f>
        <v>0</v>
      </c>
      <c r="E59" s="187">
        <f>'F06 (MAT,SERV &amp; EQUIPO)'!N25</f>
        <v>0</v>
      </c>
      <c r="F59" s="187">
        <f>'F06 (MAT,SERV &amp; EQUIPO)'!O25</f>
        <v>0</v>
      </c>
      <c r="G59" s="187">
        <f>'F06 (MAT,SERV &amp; EQUIPO)'!P25</f>
        <v>0</v>
      </c>
      <c r="H59" s="187">
        <f>'F06 (MAT,SERV &amp; EQUIPO)'!Q25</f>
        <v>0</v>
      </c>
      <c r="I59" s="187">
        <f>'F06 (MAT,SERV &amp; EQUIPO)'!R25</f>
        <v>0</v>
      </c>
      <c r="J59" s="187">
        <f>'F06 (MAT,SERV &amp; EQUIPO)'!S25</f>
        <v>0</v>
      </c>
      <c r="K59" s="187">
        <f>'F06 (MAT,SERV &amp; EQUIPO)'!T25</f>
        <v>0</v>
      </c>
      <c r="L59" s="187">
        <f>'F06 (MAT,SERV &amp; EQUIPO)'!U25</f>
        <v>0</v>
      </c>
      <c r="M59" s="187">
        <f>'F06 (MAT,SERV &amp; EQUIPO)'!V25</f>
        <v>0</v>
      </c>
      <c r="N59" s="187">
        <f>'F06 (MAT,SERV &amp; EQUIPO)'!W25</f>
        <v>0</v>
      </c>
      <c r="O59" s="187">
        <f>'F06 (MAT,SERV &amp; EQUIPO)'!X25</f>
        <v>0</v>
      </c>
      <c r="P59" s="187">
        <f>'F06 (MAT,SERV &amp; EQUIPO)'!Y25</f>
        <v>0</v>
      </c>
      <c r="Q59" s="266">
        <f t="shared" si="11"/>
        <v>0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0</v>
      </c>
      <c r="C61" s="187">
        <f>'F06 (MAT,SERV &amp; EQUIPO)'!L27</f>
        <v>0</v>
      </c>
      <c r="D61" s="187">
        <f>'F06 (MAT,SERV &amp; EQUIPO)'!M27</f>
        <v>0</v>
      </c>
      <c r="E61" s="187">
        <f>'F06 (MAT,SERV &amp; EQUIPO)'!N27</f>
        <v>0</v>
      </c>
      <c r="F61" s="187">
        <f>'F06 (MAT,SERV &amp; EQUIPO)'!O27</f>
        <v>0</v>
      </c>
      <c r="G61" s="187">
        <f>'F06 (MAT,SERV &amp; EQUIPO)'!P27</f>
        <v>0</v>
      </c>
      <c r="H61" s="187">
        <f>'F06 (MAT,SERV &amp; EQUIPO)'!Q27</f>
        <v>0</v>
      </c>
      <c r="I61" s="187">
        <f>'F06 (MAT,SERV &amp; EQUIPO)'!R27</f>
        <v>0</v>
      </c>
      <c r="J61" s="187">
        <f>'F06 (MAT,SERV &amp; EQUIPO)'!S27</f>
        <v>0</v>
      </c>
      <c r="K61" s="187">
        <f>'F06 (MAT,SERV &amp; EQUIPO)'!T27</f>
        <v>0</v>
      </c>
      <c r="L61" s="187">
        <f>'F06 (MAT,SERV &amp; EQUIPO)'!U27</f>
        <v>0</v>
      </c>
      <c r="M61" s="187">
        <f>'F06 (MAT,SERV &amp; EQUIPO)'!V27</f>
        <v>0</v>
      </c>
      <c r="N61" s="187">
        <f>'F06 (MAT,SERV &amp; EQUIPO)'!W27</f>
        <v>0</v>
      </c>
      <c r="O61" s="187">
        <f>'F06 (MAT,SERV &amp; EQUIPO)'!X27</f>
        <v>0</v>
      </c>
      <c r="P61" s="187">
        <f>'F06 (MAT,SERV &amp; EQUIPO)'!Y27</f>
        <v>0</v>
      </c>
      <c r="Q61" s="266">
        <f t="shared" si="11"/>
        <v>0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</v>
      </c>
      <c r="C63" s="187">
        <f>'F06 (MAT,SERV &amp; EQUIPO)'!L29</f>
        <v>0</v>
      </c>
      <c r="D63" s="187">
        <f>'F06 (MAT,SERV &amp; EQUIPO)'!M29</f>
        <v>90</v>
      </c>
      <c r="E63" s="187">
        <f>'F06 (MAT,SERV &amp; EQUIPO)'!N29</f>
        <v>90</v>
      </c>
      <c r="F63" s="187">
        <f>'F06 (MAT,SERV &amp; EQUIPO)'!O29</f>
        <v>90</v>
      </c>
      <c r="G63" s="187">
        <f>'F06 (MAT,SERV &amp; EQUIPO)'!P29</f>
        <v>90</v>
      </c>
      <c r="H63" s="187">
        <f>'F06 (MAT,SERV &amp; EQUIPO)'!Q29</f>
        <v>90</v>
      </c>
      <c r="I63" s="187">
        <f>'F06 (MAT,SERV &amp; EQUIPO)'!R29</f>
        <v>90</v>
      </c>
      <c r="J63" s="187">
        <f>'F06 (MAT,SERV &amp; EQUIPO)'!S29</f>
        <v>90</v>
      </c>
      <c r="K63" s="187">
        <f>'F06 (MAT,SERV &amp; EQUIPO)'!T29</f>
        <v>90</v>
      </c>
      <c r="L63" s="187">
        <f>'F06 (MAT,SERV &amp; EQUIPO)'!U29</f>
        <v>90</v>
      </c>
      <c r="M63" s="187">
        <f>'F06 (MAT,SERV &amp; EQUIPO)'!V29</f>
        <v>90</v>
      </c>
      <c r="N63" s="187">
        <f>'F06 (MAT,SERV &amp; EQUIPO)'!W29</f>
        <v>90</v>
      </c>
      <c r="O63" s="187">
        <f>'F06 (MAT,SERV &amp; EQUIPO)'!X29</f>
        <v>90</v>
      </c>
      <c r="P63" s="187">
        <f>'F06 (MAT,SERV &amp; EQUIPO)'!Y29</f>
        <v>90</v>
      </c>
      <c r="Q63" s="266">
        <f t="shared" si="11"/>
        <v>1.9388822116232784E-3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3.7286196377370739E-3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288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288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4.7726331363034545E-4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0</v>
      </c>
      <c r="C70" s="182">
        <f>'F06 (MAT,SERV &amp; EQUIPO)'!L36</f>
        <v>0</v>
      </c>
      <c r="D70" s="182">
        <f>'F06 (MAT,SERV &amp; EQUIPO)'!M36</f>
        <v>0</v>
      </c>
      <c r="E70" s="182">
        <f>'F06 (MAT,SERV &amp; EQUIPO)'!N36</f>
        <v>0</v>
      </c>
      <c r="F70" s="182">
        <f>'F06 (MAT,SERV &amp; EQUIPO)'!O36</f>
        <v>0</v>
      </c>
      <c r="G70" s="182">
        <f>'F06 (MAT,SERV &amp; EQUIPO)'!P36</f>
        <v>0</v>
      </c>
      <c r="H70" s="182">
        <f>'F06 (MAT,SERV &amp; EQUIPO)'!Q36</f>
        <v>0</v>
      </c>
      <c r="I70" s="182">
        <f>'F06 (MAT,SERV &amp; EQUIPO)'!R36</f>
        <v>0</v>
      </c>
      <c r="J70" s="182">
        <f>'F06 (MAT,SERV &amp; EQUIPO)'!S36</f>
        <v>0</v>
      </c>
      <c r="K70" s="182">
        <f>'F06 (MAT,SERV &amp; EQUIPO)'!T36</f>
        <v>0</v>
      </c>
      <c r="L70" s="182">
        <f>'F06 (MAT,SERV &amp; EQUIPO)'!U36</f>
        <v>0</v>
      </c>
      <c r="M70" s="182">
        <f>'F06 (MAT,SERV &amp; EQUIPO)'!V36</f>
        <v>0</v>
      </c>
      <c r="N70" s="182">
        <f>'F06 (MAT,SERV &amp; EQUIPO)'!W36</f>
        <v>0</v>
      </c>
      <c r="O70" s="182">
        <f>'F06 (MAT,SERV &amp; EQUIPO)'!X36</f>
        <v>0</v>
      </c>
      <c r="P70" s="182">
        <f>'F06 (MAT,SERV &amp; EQUIPO)'!Y36</f>
        <v>0</v>
      </c>
      <c r="Q70" s="266">
        <f t="shared" si="11"/>
        <v>0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19032.432000000001</v>
      </c>
      <c r="C76" s="190">
        <f t="shared" ref="C76:P76" si="12">SUM(C41:C75)</f>
        <v>0</v>
      </c>
      <c r="D76" s="190">
        <f t="shared" si="12"/>
        <v>2511.4210000000003</v>
      </c>
      <c r="E76" s="190">
        <f t="shared" si="12"/>
        <v>782.5</v>
      </c>
      <c r="F76" s="190">
        <f t="shared" si="12"/>
        <v>864.89850000000001</v>
      </c>
      <c r="G76" s="190">
        <f t="shared" si="12"/>
        <v>3317.5</v>
      </c>
      <c r="H76" s="190">
        <f t="shared" si="12"/>
        <v>864.89850000000001</v>
      </c>
      <c r="I76" s="190">
        <f t="shared" si="12"/>
        <v>1768.075</v>
      </c>
      <c r="J76" s="190">
        <f t="shared" si="12"/>
        <v>1728.846</v>
      </c>
      <c r="K76" s="190">
        <f t="shared" si="12"/>
        <v>1070.5</v>
      </c>
      <c r="L76" s="190">
        <f t="shared" si="12"/>
        <v>864.89850000000001</v>
      </c>
      <c r="M76" s="190">
        <f t="shared" si="12"/>
        <v>1067.5</v>
      </c>
      <c r="N76" s="190">
        <f t="shared" si="12"/>
        <v>864.89850000000001</v>
      </c>
      <c r="O76" s="190">
        <f t="shared" si="12"/>
        <v>1565.075</v>
      </c>
      <c r="P76" s="190">
        <f t="shared" si="12"/>
        <v>1761.421</v>
      </c>
      <c r="Q76" s="266">
        <f t="shared" si="11"/>
        <v>3.1539866537375776E-2</v>
      </c>
      <c r="R76" s="173"/>
      <c r="S76" s="263">
        <f>'F06 (MAT,SERV &amp; EQUIPO)'!L45</f>
        <v>19032.431999999997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7.5400974896460825E-4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7.5400974896460825E-4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137403.8564144737</v>
      </c>
      <c r="C79" s="180">
        <f>NOMINA!V19</f>
        <v>0</v>
      </c>
      <c r="D79" s="180">
        <f>NOMINA!W19</f>
        <v>9217.8567434210527</v>
      </c>
      <c r="E79" s="180">
        <f>NOMINA!X19</f>
        <v>9217.8567434210527</v>
      </c>
      <c r="F79" s="180">
        <f>NOMINA!Y19</f>
        <v>9217.8567434210527</v>
      </c>
      <c r="G79" s="180">
        <f>NOMINA!Z19</f>
        <v>9217.8567434210527</v>
      </c>
      <c r="H79" s="180">
        <f>NOMINA!AA19</f>
        <v>14238.347814849625</v>
      </c>
      <c r="I79" s="180">
        <f>NOMINA!AB19</f>
        <v>9217.8567434210527</v>
      </c>
      <c r="J79" s="180">
        <f>NOMINA!AC19</f>
        <v>9217.8567434210527</v>
      </c>
      <c r="K79" s="180">
        <f>NOMINA!AD19</f>
        <v>9217.8567434210527</v>
      </c>
      <c r="L79" s="180">
        <f>NOMINA!AE19</f>
        <v>9217.8567434210527</v>
      </c>
      <c r="M79" s="180">
        <f>NOMINA!AF19</f>
        <v>9217.8567434210527</v>
      </c>
      <c r="N79" s="180">
        <f>NOMINA!AG19</f>
        <v>9217.8567434210527</v>
      </c>
      <c r="O79" s="180">
        <f>NOMINA!AH19</f>
        <v>21769.084421992484</v>
      </c>
      <c r="P79" s="180">
        <f>NOMINA!AI19</f>
        <v>9217.8567434210527</v>
      </c>
      <c r="Q79" s="266">
        <f t="shared" si="14"/>
        <v>0.22770076325680527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137403.8564144737</v>
      </c>
      <c r="C80" s="190">
        <f>C79</f>
        <v>0</v>
      </c>
      <c r="D80" s="190">
        <f t="shared" si="15"/>
        <v>9217.8567434210527</v>
      </c>
      <c r="E80" s="190">
        <f t="shared" si="15"/>
        <v>9217.8567434210527</v>
      </c>
      <c r="F80" s="190">
        <f t="shared" si="15"/>
        <v>9217.8567434210527</v>
      </c>
      <c r="G80" s="190">
        <f t="shared" si="15"/>
        <v>9217.8567434210527</v>
      </c>
      <c r="H80" s="190">
        <f t="shared" si="15"/>
        <v>14238.347814849625</v>
      </c>
      <c r="I80" s="190">
        <f t="shared" si="15"/>
        <v>9217.8567434210527</v>
      </c>
      <c r="J80" s="190">
        <f t="shared" si="15"/>
        <v>9217.8567434210527</v>
      </c>
      <c r="K80" s="190">
        <f t="shared" si="15"/>
        <v>9217.8567434210527</v>
      </c>
      <c r="L80" s="190">
        <f t="shared" si="15"/>
        <v>9217.8567434210527</v>
      </c>
      <c r="M80" s="190">
        <f t="shared" si="15"/>
        <v>9217.8567434210527</v>
      </c>
      <c r="N80" s="190">
        <f t="shared" si="15"/>
        <v>9217.8567434210527</v>
      </c>
      <c r="O80" s="190">
        <f t="shared" si="15"/>
        <v>21769.084421992484</v>
      </c>
      <c r="P80" s="190">
        <f t="shared" si="15"/>
        <v>9217.8567434210527</v>
      </c>
      <c r="Q80" s="266">
        <f t="shared" si="14"/>
        <v>0.22770076325680527</v>
      </c>
      <c r="R80" s="173"/>
      <c r="S80" s="263">
        <f>NOMINA!V21</f>
        <v>137403.8564144737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452.20500000000015</v>
      </c>
      <c r="C81" s="180">
        <f>'F03 COM Y EQ COM'!L11</f>
        <v>0</v>
      </c>
      <c r="D81" s="180">
        <f>'F03 COM Y EQ COM'!M11</f>
        <v>34.785000000000004</v>
      </c>
      <c r="E81" s="180">
        <f>'F03 COM Y EQ COM'!N11</f>
        <v>34.785000000000004</v>
      </c>
      <c r="F81" s="180">
        <f>'F03 COM Y EQ COM'!O11</f>
        <v>34.785000000000004</v>
      </c>
      <c r="G81" s="180">
        <f>'F03 COM Y EQ COM'!P11</f>
        <v>34.785000000000004</v>
      </c>
      <c r="H81" s="180">
        <f>'F03 COM Y EQ COM'!Q11</f>
        <v>34.785000000000004</v>
      </c>
      <c r="I81" s="180">
        <f>'F03 COM Y EQ COM'!R11</f>
        <v>34.785000000000004</v>
      </c>
      <c r="J81" s="180">
        <f>'F03 COM Y EQ COM'!S11</f>
        <v>34.785000000000004</v>
      </c>
      <c r="K81" s="180">
        <f>'F03 COM Y EQ COM'!T11</f>
        <v>34.785000000000004</v>
      </c>
      <c r="L81" s="180">
        <f>'F03 COM Y EQ COM'!U11</f>
        <v>34.785000000000004</v>
      </c>
      <c r="M81" s="180">
        <f>'F03 COM Y EQ COM'!V11</f>
        <v>34.785000000000004</v>
      </c>
      <c r="N81" s="180">
        <f>'F03 COM Y EQ COM'!W11</f>
        <v>34.785000000000004</v>
      </c>
      <c r="O81" s="180">
        <f>'F03 COM Y EQ COM'!X11</f>
        <v>34.785000000000004</v>
      </c>
      <c r="P81" s="180">
        <f>'F03 COM Y EQ COM'!Y11</f>
        <v>34.785000000000004</v>
      </c>
      <c r="Q81" s="266">
        <f t="shared" si="14"/>
        <v>7.4937797479239737E-4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1.615735176352732E-3</v>
      </c>
    </row>
    <row r="83" spans="1:20" ht="26" hidden="1" customHeight="1" outlineLevel="1" x14ac:dyDescent="0.35">
      <c r="A83" s="179" t="s">
        <v>162</v>
      </c>
      <c r="B83" s="187">
        <f t="shared" si="13"/>
        <v>6032</v>
      </c>
      <c r="C83" s="180">
        <f>'F03 COM Y EQ COM'!L29</f>
        <v>0</v>
      </c>
      <c r="D83" s="180">
        <f>'F03 COM Y EQ COM'!M29</f>
        <v>464</v>
      </c>
      <c r="E83" s="180">
        <f>'F03 COM Y EQ COM'!N29</f>
        <v>464</v>
      </c>
      <c r="F83" s="180">
        <f>'F03 COM Y EQ COM'!O29</f>
        <v>464</v>
      </c>
      <c r="G83" s="180">
        <f>'F03 COM Y EQ COM'!P29</f>
        <v>464</v>
      </c>
      <c r="H83" s="180">
        <f>'F03 COM Y EQ COM'!Q29</f>
        <v>464</v>
      </c>
      <c r="I83" s="180">
        <f>'F03 COM Y EQ COM'!R29</f>
        <v>464</v>
      </c>
      <c r="J83" s="180">
        <f>'F03 COM Y EQ COM'!S29</f>
        <v>464</v>
      </c>
      <c r="K83" s="180">
        <f>'F03 COM Y EQ COM'!T29</f>
        <v>464</v>
      </c>
      <c r="L83" s="180">
        <f>'F03 COM Y EQ COM'!U29</f>
        <v>464</v>
      </c>
      <c r="M83" s="180">
        <f>'F03 COM Y EQ COM'!V29</f>
        <v>464</v>
      </c>
      <c r="N83" s="180">
        <f>'F03 COM Y EQ COM'!W29</f>
        <v>464</v>
      </c>
      <c r="O83" s="180">
        <f>'F03 COM Y EQ COM'!X29</f>
        <v>464</v>
      </c>
      <c r="P83" s="180">
        <f>'F03 COM Y EQ COM'!Y29</f>
        <v>464</v>
      </c>
      <c r="Q83" s="266">
        <f t="shared" si="14"/>
        <v>9.9960149577022362E-3</v>
      </c>
    </row>
    <row r="84" spans="1:20" s="186" customFormat="1" ht="26" customHeight="1" collapsed="1" x14ac:dyDescent="0.35">
      <c r="A84" s="188" t="s">
        <v>89</v>
      </c>
      <c r="B84" s="189">
        <f>SUM(B81:B83)</f>
        <v>7459.2049999999999</v>
      </c>
      <c r="C84" s="190">
        <f>SUM(C81:C83)</f>
        <v>0</v>
      </c>
      <c r="D84" s="190">
        <f t="shared" ref="D84:P84" si="16">SUM(D81:D83)</f>
        <v>573.78499999999997</v>
      </c>
      <c r="E84" s="190">
        <f t="shared" si="16"/>
        <v>573.78499999999997</v>
      </c>
      <c r="F84" s="190">
        <f t="shared" si="16"/>
        <v>573.78499999999997</v>
      </c>
      <c r="G84" s="190">
        <f t="shared" si="16"/>
        <v>573.78499999999997</v>
      </c>
      <c r="H84" s="190">
        <f t="shared" si="16"/>
        <v>573.78499999999997</v>
      </c>
      <c r="I84" s="190">
        <f t="shared" si="16"/>
        <v>573.78499999999997</v>
      </c>
      <c r="J84" s="190">
        <f t="shared" si="16"/>
        <v>573.78499999999997</v>
      </c>
      <c r="K84" s="190">
        <f t="shared" si="16"/>
        <v>573.78499999999997</v>
      </c>
      <c r="L84" s="190">
        <f t="shared" si="16"/>
        <v>573.78499999999997</v>
      </c>
      <c r="M84" s="190">
        <f t="shared" si="16"/>
        <v>573.78499999999997</v>
      </c>
      <c r="N84" s="190">
        <f t="shared" si="16"/>
        <v>573.78499999999997</v>
      </c>
      <c r="O84" s="190">
        <f t="shared" si="16"/>
        <v>573.78499999999997</v>
      </c>
      <c r="P84" s="190">
        <f t="shared" si="16"/>
        <v>573.78499999999997</v>
      </c>
      <c r="Q84" s="266">
        <f t="shared" si="14"/>
        <v>1.2361128108847364E-2</v>
      </c>
      <c r="R84" s="173"/>
      <c r="S84" s="263">
        <f>'F03 COM Y EQ COM'!L37</f>
        <v>7459.204999999999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2.6928919605878868E-3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5.3857839211757729E-4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2.6928919605878868E-3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7.4572392754741475E-4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278850</v>
      </c>
      <c r="C119" s="187">
        <f>'F07 OPERAC. (MAT,SERV &amp; EQUIPO)'!L86</f>
        <v>0</v>
      </c>
      <c r="D119" s="187">
        <f>'F07 OPERAC. (MAT,SERV &amp; EQUIPO)'!M86</f>
        <v>21450</v>
      </c>
      <c r="E119" s="187">
        <f>'F07 OPERAC. (MAT,SERV &amp; EQUIPO)'!N86</f>
        <v>21450</v>
      </c>
      <c r="F119" s="187">
        <f>'F07 OPERAC. (MAT,SERV &amp; EQUIPO)'!O86</f>
        <v>21450</v>
      </c>
      <c r="G119" s="187">
        <f>'F07 OPERAC. (MAT,SERV &amp; EQUIPO)'!P86</f>
        <v>21450</v>
      </c>
      <c r="H119" s="187">
        <f>'F07 OPERAC. (MAT,SERV &amp; EQUIPO)'!Q86</f>
        <v>21450</v>
      </c>
      <c r="I119" s="187">
        <f>'F07 OPERAC. (MAT,SERV &amp; EQUIPO)'!R86</f>
        <v>21450</v>
      </c>
      <c r="J119" s="187">
        <f>'F07 OPERAC. (MAT,SERV &amp; EQUIPO)'!S86</f>
        <v>21450</v>
      </c>
      <c r="K119" s="187">
        <f>'F07 OPERAC. (MAT,SERV &amp; EQUIPO)'!T86</f>
        <v>21450</v>
      </c>
      <c r="L119" s="187">
        <f>'F07 OPERAC. (MAT,SERV &amp; EQUIPO)'!U86</f>
        <v>21450</v>
      </c>
      <c r="M119" s="187">
        <f>'F07 OPERAC. (MAT,SERV &amp; EQUIPO)'!V86</f>
        <v>21450</v>
      </c>
      <c r="N119" s="187">
        <f>'F07 OPERAC. (MAT,SERV &amp; EQUIPO)'!W86</f>
        <v>21450</v>
      </c>
      <c r="O119" s="187">
        <f>'F07 OPERAC. (MAT,SERV &amp; EQUIPO)'!X86</f>
        <v>21450</v>
      </c>
      <c r="P119" s="187">
        <f>'F07 OPERAC. (MAT,SERV &amp; EQUIPO)'!Y86</f>
        <v>21450</v>
      </c>
      <c r="Q119" s="266">
        <f t="shared" si="18"/>
        <v>0.46210026043688135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7.4572392754741475E-4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5.3857839211757736E-3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2.6928919605878865E-4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4.3086271369406187E-4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0.10771567842351547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1.9388822116232784E-2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8.2858214171934973E-3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3.2314703527054639E-4</v>
      </c>
    </row>
    <row r="148" spans="1:20" s="186" customFormat="1" ht="26" customHeight="1" collapsed="1" x14ac:dyDescent="0.35">
      <c r="A148" s="188" t="s">
        <v>4</v>
      </c>
      <c r="B148" s="189">
        <f>SUM(B85:B147)</f>
        <v>368892.5</v>
      </c>
      <c r="C148" s="190">
        <f t="shared" ref="C148:P148" si="20">SUM(C85:C147)</f>
        <v>0</v>
      </c>
      <c r="D148" s="190">
        <f t="shared" si="20"/>
        <v>28072.5</v>
      </c>
      <c r="E148" s="190">
        <f t="shared" si="20"/>
        <v>28372.5</v>
      </c>
      <c r="F148" s="190">
        <f t="shared" si="20"/>
        <v>27922.5</v>
      </c>
      <c r="G148" s="190">
        <f t="shared" si="20"/>
        <v>27922.5</v>
      </c>
      <c r="H148" s="190">
        <f t="shared" si="20"/>
        <v>27922.5</v>
      </c>
      <c r="I148" s="190">
        <f t="shared" si="20"/>
        <v>28072.5</v>
      </c>
      <c r="J148" s="190">
        <f t="shared" si="20"/>
        <v>27922.5</v>
      </c>
      <c r="K148" s="190">
        <f t="shared" si="20"/>
        <v>27922.5</v>
      </c>
      <c r="L148" s="190">
        <f t="shared" si="20"/>
        <v>27922.5</v>
      </c>
      <c r="M148" s="190">
        <f t="shared" si="20"/>
        <v>27922.5</v>
      </c>
      <c r="N148" s="190">
        <f t="shared" si="20"/>
        <v>27922.5</v>
      </c>
      <c r="O148" s="190">
        <f t="shared" si="20"/>
        <v>28072.5</v>
      </c>
      <c r="P148" s="190">
        <f t="shared" si="20"/>
        <v>32922.5</v>
      </c>
      <c r="Q148" s="266">
        <f t="shared" si="19"/>
        <v>0.61131547542841047</v>
      </c>
      <c r="R148" s="173"/>
      <c r="S148" s="263">
        <f>'F07 OPERAC. (MAT,SERV &amp; EQUIPO)'!L118</f>
        <v>368892.5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5.3857839211757736E-3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5.3857839211757736E-3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2.4351067989847293E-3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2.4351067989847293E-3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39</v>
      </c>
      <c r="C153" s="180">
        <f>'F01 UNIFORMES'!M12</f>
        <v>0</v>
      </c>
      <c r="D153" s="180">
        <f>'F01 UNIFORMES'!N12</f>
        <v>3</v>
      </c>
      <c r="E153" s="180">
        <f>'F01 UNIFORMES'!O12</f>
        <v>3</v>
      </c>
      <c r="F153" s="180">
        <f>'F01 UNIFORMES'!P12</f>
        <v>3</v>
      </c>
      <c r="G153" s="180">
        <f>'F01 UNIFORMES'!Q12</f>
        <v>3</v>
      </c>
      <c r="H153" s="180">
        <f>'F01 UNIFORMES'!R12</f>
        <v>3</v>
      </c>
      <c r="I153" s="180">
        <f>'F01 UNIFORMES'!S12</f>
        <v>3</v>
      </c>
      <c r="J153" s="180">
        <f>'F01 UNIFORMES'!T12</f>
        <v>3</v>
      </c>
      <c r="K153" s="180">
        <f>'F01 UNIFORMES'!U12</f>
        <v>3</v>
      </c>
      <c r="L153" s="180">
        <f>'F01 UNIFORMES'!V12</f>
        <v>3</v>
      </c>
      <c r="M153" s="180">
        <f>'F01 UNIFORMES'!W12</f>
        <v>3</v>
      </c>
      <c r="N153" s="180">
        <f>'F01 UNIFORMES'!X12</f>
        <v>3</v>
      </c>
      <c r="O153" s="180">
        <f>'F01 UNIFORMES'!Y12</f>
        <v>3</v>
      </c>
      <c r="P153" s="180">
        <f>'F01 UNIFORMES'!Z12</f>
        <v>3</v>
      </c>
      <c r="Q153" s="266">
        <f t="shared" si="19"/>
        <v>6.4629407054109285E-5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39</v>
      </c>
      <c r="C154" s="190">
        <f t="shared" si="21"/>
        <v>0</v>
      </c>
      <c r="D154" s="190">
        <f t="shared" si="21"/>
        <v>3</v>
      </c>
      <c r="E154" s="190">
        <f t="shared" si="21"/>
        <v>3</v>
      </c>
      <c r="F154" s="190">
        <f t="shared" si="21"/>
        <v>3</v>
      </c>
      <c r="G154" s="190">
        <f t="shared" si="21"/>
        <v>3</v>
      </c>
      <c r="H154" s="190">
        <f t="shared" si="21"/>
        <v>3</v>
      </c>
      <c r="I154" s="190">
        <f t="shared" si="21"/>
        <v>3</v>
      </c>
      <c r="J154" s="190">
        <f t="shared" si="21"/>
        <v>3</v>
      </c>
      <c r="K154" s="190">
        <f t="shared" si="21"/>
        <v>3</v>
      </c>
      <c r="L154" s="190">
        <f t="shared" si="21"/>
        <v>3</v>
      </c>
      <c r="M154" s="190">
        <f t="shared" si="21"/>
        <v>3</v>
      </c>
      <c r="N154" s="190">
        <f t="shared" si="21"/>
        <v>3</v>
      </c>
      <c r="O154" s="190">
        <f t="shared" si="21"/>
        <v>3</v>
      </c>
      <c r="P154" s="190">
        <f t="shared" si="21"/>
        <v>3</v>
      </c>
      <c r="Q154" s="266">
        <f t="shared" si="19"/>
        <v>6.4629407054109285E-5</v>
      </c>
      <c r="R154" s="173"/>
      <c r="S154" s="263">
        <f>'F01 UNIFORMES'!M14</f>
        <v>39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7865.7886666666645</v>
      </c>
      <c r="C155" s="187">
        <f>'F04 VEHÍCULOS Y COMB. '!R11</f>
        <v>0</v>
      </c>
      <c r="D155" s="187">
        <f>'F04 VEHÍCULOS Y COMB. '!S11</f>
        <v>605.06066666666663</v>
      </c>
      <c r="E155" s="187">
        <f>'F04 VEHÍCULOS Y COMB. '!T11</f>
        <v>605.06066666666663</v>
      </c>
      <c r="F155" s="187">
        <f>'F04 VEHÍCULOS Y COMB. '!U11</f>
        <v>605.06066666666663</v>
      </c>
      <c r="G155" s="187">
        <f>'F04 VEHÍCULOS Y COMB. '!V11</f>
        <v>605.06066666666663</v>
      </c>
      <c r="H155" s="187">
        <f>'F04 VEHÍCULOS Y COMB. '!W11</f>
        <v>605.06066666666663</v>
      </c>
      <c r="I155" s="187">
        <f>'F04 VEHÍCULOS Y COMB. '!X11</f>
        <v>605.06066666666663</v>
      </c>
      <c r="J155" s="187">
        <f>'F04 VEHÍCULOS Y COMB. '!Y11</f>
        <v>605.06066666666663</v>
      </c>
      <c r="K155" s="187">
        <f>'F04 VEHÍCULOS Y COMB. '!Z11</f>
        <v>605.06066666666663</v>
      </c>
      <c r="L155" s="187">
        <f>'F04 VEHÍCULOS Y COMB. '!AA11</f>
        <v>605.06066666666663</v>
      </c>
      <c r="M155" s="187">
        <f>'F04 VEHÍCULOS Y COMB. '!AB11</f>
        <v>605.06066666666663</v>
      </c>
      <c r="N155" s="187">
        <f>'F04 VEHÍCULOS Y COMB. '!AC11</f>
        <v>605.06066666666663</v>
      </c>
      <c r="O155" s="187">
        <f>'F04 VEHÍCULOS Y COMB. '!AD11</f>
        <v>605.06066666666663</v>
      </c>
      <c r="P155" s="187">
        <f>'F04 VEHÍCULOS Y COMB. '!AE11</f>
        <v>605.06066666666663</v>
      </c>
      <c r="Q155" s="266">
        <f t="shared" si="19"/>
        <v>1.3034904039476906E-2</v>
      </c>
    </row>
    <row r="156" spans="1:20" ht="26" hidden="1" customHeight="1" outlineLevel="1" x14ac:dyDescent="0.35">
      <c r="A156" s="181" t="s">
        <v>226</v>
      </c>
      <c r="B156" s="182">
        <f>SUM(C156:P156)</f>
        <v>8008</v>
      </c>
      <c r="C156" s="182">
        <f>'F04 VEHÍCULOS Y COMB. '!R25</f>
        <v>0</v>
      </c>
      <c r="D156" s="182">
        <f>'F04 VEHÍCULOS Y COMB. '!S25</f>
        <v>616</v>
      </c>
      <c r="E156" s="182">
        <f>'F04 VEHÍCULOS Y COMB. '!T25</f>
        <v>616</v>
      </c>
      <c r="F156" s="182">
        <f>'F04 VEHÍCULOS Y COMB. '!U25</f>
        <v>616</v>
      </c>
      <c r="G156" s="182">
        <f>'F04 VEHÍCULOS Y COMB. '!V25</f>
        <v>616</v>
      </c>
      <c r="H156" s="182">
        <f>'F04 VEHÍCULOS Y COMB. '!W25</f>
        <v>616</v>
      </c>
      <c r="I156" s="182">
        <f>'F04 VEHÍCULOS Y COMB. '!X25</f>
        <v>616</v>
      </c>
      <c r="J156" s="182">
        <f>'F04 VEHÍCULOS Y COMB. '!Y25</f>
        <v>616</v>
      </c>
      <c r="K156" s="182">
        <f>'F04 VEHÍCULOS Y COMB. '!Z25</f>
        <v>616</v>
      </c>
      <c r="L156" s="182">
        <f>'F04 VEHÍCULOS Y COMB. '!AA25</f>
        <v>616</v>
      </c>
      <c r="M156" s="182">
        <f>'F04 VEHÍCULOS Y COMB. '!AB25</f>
        <v>616</v>
      </c>
      <c r="N156" s="182">
        <f>'F04 VEHÍCULOS Y COMB. '!AC25</f>
        <v>616</v>
      </c>
      <c r="O156" s="182">
        <f>'F04 VEHÍCULOS Y COMB. '!AD25</f>
        <v>616</v>
      </c>
      <c r="P156" s="182">
        <f>'F04 VEHÍCULOS Y COMB. '!AE25</f>
        <v>616</v>
      </c>
      <c r="Q156" s="266">
        <f t="shared" si="19"/>
        <v>1.3270571581777106E-2</v>
      </c>
    </row>
    <row r="157" spans="1:20" s="186" customFormat="1" ht="26" customHeight="1" collapsed="1" x14ac:dyDescent="0.35">
      <c r="A157" s="188" t="s">
        <v>5</v>
      </c>
      <c r="B157" s="189">
        <f>SUM(B155:B156)</f>
        <v>15873.788666666664</v>
      </c>
      <c r="C157" s="190">
        <f t="shared" ref="C157:P157" si="22">SUM(C155:C156)</f>
        <v>0</v>
      </c>
      <c r="D157" s="190">
        <f t="shared" si="22"/>
        <v>1221.0606666666667</v>
      </c>
      <c r="E157" s="190">
        <f t="shared" si="22"/>
        <v>1221.0606666666667</v>
      </c>
      <c r="F157" s="190">
        <f t="shared" si="22"/>
        <v>1221.0606666666667</v>
      </c>
      <c r="G157" s="190">
        <f t="shared" si="22"/>
        <v>1221.0606666666667</v>
      </c>
      <c r="H157" s="190">
        <f t="shared" si="22"/>
        <v>1221.0606666666667</v>
      </c>
      <c r="I157" s="190">
        <f t="shared" si="22"/>
        <v>1221.0606666666667</v>
      </c>
      <c r="J157" s="190">
        <f t="shared" si="22"/>
        <v>1221.0606666666667</v>
      </c>
      <c r="K157" s="190">
        <f t="shared" si="22"/>
        <v>1221.0606666666667</v>
      </c>
      <c r="L157" s="190">
        <f t="shared" si="22"/>
        <v>1221.0606666666667</v>
      </c>
      <c r="M157" s="190">
        <f t="shared" si="22"/>
        <v>1221.0606666666667</v>
      </c>
      <c r="N157" s="190">
        <f t="shared" si="22"/>
        <v>1221.0606666666667</v>
      </c>
      <c r="O157" s="190">
        <f t="shared" si="22"/>
        <v>1221.0606666666667</v>
      </c>
      <c r="P157" s="190">
        <f t="shared" si="22"/>
        <v>1221.0606666666667</v>
      </c>
      <c r="Q157" s="266">
        <f t="shared" si="19"/>
        <v>2.6305475621254012E-2</v>
      </c>
      <c r="R157" s="173"/>
      <c r="S157" s="263">
        <f>'F04 VEHÍCULOS Y COMB. '!R32</f>
        <v>15873.788666666664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1.0771567842351546E-3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1.0771567842351546E-3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3.231470352705464E-3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2.1543135684703092E-3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2.1543135684703092E-3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9.6944110581163919E-3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603440.4735811404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45810.368910087716</v>
      </c>
      <c r="E166" s="193">
        <f t="shared" ref="E166:P166" si="25">E13+E23+E25+E28+E30+E32+E37+E40+E76+E78+E80+E84+E148+E150+E152+E154+E157+E165</f>
        <v>44381.447910087714</v>
      </c>
      <c r="F166" s="193">
        <f t="shared" si="25"/>
        <v>44013.846410087717</v>
      </c>
      <c r="G166" s="193">
        <f t="shared" si="25"/>
        <v>46466.447910087714</v>
      </c>
      <c r="H166" s="193">
        <f t="shared" si="25"/>
        <v>49034.33748151629</v>
      </c>
      <c r="I166" s="193">
        <f t="shared" si="25"/>
        <v>45067.022910087719</v>
      </c>
      <c r="J166" s="193">
        <f t="shared" si="25"/>
        <v>44877.793910087719</v>
      </c>
      <c r="K166" s="193">
        <f t="shared" si="25"/>
        <v>44219.447910087714</v>
      </c>
      <c r="L166" s="193">
        <f t="shared" si="25"/>
        <v>44013.846410087717</v>
      </c>
      <c r="M166" s="193">
        <f t="shared" si="25"/>
        <v>44216.447910087714</v>
      </c>
      <c r="N166" s="193">
        <f t="shared" si="25"/>
        <v>44013.846410087717</v>
      </c>
      <c r="O166" s="193">
        <f t="shared" si="25"/>
        <v>57415.250588659146</v>
      </c>
      <c r="P166" s="193">
        <f t="shared" si="25"/>
        <v>49910.368910087716</v>
      </c>
      <c r="Q166" s="265">
        <f>SUM(Q165,Q157,Q154,Q152,Q150,Q148,Q84,Q80,Q78,Q76,Q40,Q37,Q32,Q30,Q28,Q25,Q23,Q13)</f>
        <v>1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603440.4735811404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45810.368910087716</v>
      </c>
      <c r="E167" s="193">
        <f t="shared" ref="E167:P167" si="26">SUM(E165,E157,E154,E152,E150,E148,E84,E80,E78,E76,E40,E37,E32,E30,E28,E25,E23)</f>
        <v>44381.447910087714</v>
      </c>
      <c r="F167" s="193">
        <f t="shared" si="26"/>
        <v>44013.846410087717</v>
      </c>
      <c r="G167" s="193">
        <f t="shared" si="26"/>
        <v>46466.447910087714</v>
      </c>
      <c r="H167" s="193">
        <f t="shared" si="26"/>
        <v>49034.337481516297</v>
      </c>
      <c r="I167" s="193">
        <f t="shared" si="26"/>
        <v>45067.022910087711</v>
      </c>
      <c r="J167" s="193">
        <f t="shared" si="26"/>
        <v>44877.793910087712</v>
      </c>
      <c r="K167" s="193">
        <f t="shared" si="26"/>
        <v>44219.447910087714</v>
      </c>
      <c r="L167" s="193">
        <f t="shared" si="26"/>
        <v>44013.846410087717</v>
      </c>
      <c r="M167" s="193">
        <f t="shared" si="26"/>
        <v>44216.447910087714</v>
      </c>
      <c r="N167" s="193">
        <f t="shared" si="26"/>
        <v>44013.846410087717</v>
      </c>
      <c r="O167" s="193">
        <f t="shared" si="26"/>
        <v>57415.250588659146</v>
      </c>
      <c r="P167" s="193">
        <f t="shared" si="26"/>
        <v>49910.368910087716</v>
      </c>
      <c r="Q167" s="266">
        <f t="shared" ref="Q167:Q168" si="27">B167/$B$166</f>
        <v>1</v>
      </c>
    </row>
    <row r="168" spans="1:20" s="186" customFormat="1" ht="26" customHeight="1" x14ac:dyDescent="0.35">
      <c r="A168" s="194" t="s">
        <v>232</v>
      </c>
      <c r="B168" s="195">
        <f>B5-B166</f>
        <v>331004.68641885975</v>
      </c>
      <c r="C168" s="195">
        <f>C167</f>
        <v>0</v>
      </c>
      <c r="D168" s="195">
        <f>C168+D167</f>
        <v>45810.368910087716</v>
      </c>
      <c r="E168" s="195">
        <f t="shared" ref="E168:P168" si="28">D168+E167</f>
        <v>90191.816820175431</v>
      </c>
      <c r="F168" s="195">
        <f t="shared" si="28"/>
        <v>134205.66323026316</v>
      </c>
      <c r="G168" s="195">
        <f t="shared" si="28"/>
        <v>180672.11114035087</v>
      </c>
      <c r="H168" s="195">
        <f t="shared" si="28"/>
        <v>229706.44862186717</v>
      </c>
      <c r="I168" s="195">
        <f t="shared" si="28"/>
        <v>274773.47153195488</v>
      </c>
      <c r="J168" s="195">
        <f t="shared" si="28"/>
        <v>319651.26544204261</v>
      </c>
      <c r="K168" s="195">
        <f t="shared" si="28"/>
        <v>363870.71335213032</v>
      </c>
      <c r="L168" s="195">
        <f t="shared" si="28"/>
        <v>407884.55976221804</v>
      </c>
      <c r="M168" s="195">
        <f t="shared" si="28"/>
        <v>452101.00767230574</v>
      </c>
      <c r="N168" s="195">
        <f t="shared" si="28"/>
        <v>496114.85408239346</v>
      </c>
      <c r="O168" s="195">
        <f t="shared" si="28"/>
        <v>553530.10467105266</v>
      </c>
      <c r="P168" s="195">
        <f t="shared" si="28"/>
        <v>603440.4735811404</v>
      </c>
      <c r="Q168" s="266">
        <f t="shared" si="27"/>
        <v>0.54852914398416119</v>
      </c>
      <c r="R168" s="173"/>
      <c r="S168" s="173"/>
      <c r="T168" s="173"/>
    </row>
    <row r="169" spans="1:20" ht="26" customHeight="1" x14ac:dyDescent="0.35">
      <c r="B169" s="196">
        <f>B168/B5</f>
        <v>0.35422590922174579</v>
      </c>
      <c r="C169" s="197"/>
    </row>
    <row r="170" spans="1:20" ht="26" customHeight="1" x14ac:dyDescent="0.35">
      <c r="A170" s="166" t="s">
        <v>354</v>
      </c>
      <c r="B170" s="167">
        <v>1</v>
      </c>
      <c r="C170" s="197"/>
    </row>
    <row r="171" spans="1:20" ht="26" customHeight="1" x14ac:dyDescent="0.35">
      <c r="A171" s="166" t="s">
        <v>355</v>
      </c>
      <c r="B171" s="167">
        <v>1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18688903.200000003</v>
      </c>
      <c r="C175" s="177">
        <f>C5*$B$202</f>
        <v>0</v>
      </c>
      <c r="D175" s="177">
        <f t="shared" ref="D175:P175" si="31">D5*$B$202</f>
        <v>1463020.2</v>
      </c>
      <c r="E175" s="177">
        <f t="shared" si="31"/>
        <v>1321437.6000000001</v>
      </c>
      <c r="F175" s="177">
        <f t="shared" si="31"/>
        <v>1463020.2</v>
      </c>
      <c r="G175" s="177">
        <f t="shared" si="31"/>
        <v>1415825.9999999998</v>
      </c>
      <c r="H175" s="177">
        <f t="shared" si="31"/>
        <v>1463020.2</v>
      </c>
      <c r="I175" s="177">
        <f t="shared" si="31"/>
        <v>1415825.9999999998</v>
      </c>
      <c r="J175" s="177">
        <f t="shared" si="31"/>
        <v>1463020.2</v>
      </c>
      <c r="K175" s="177">
        <f t="shared" si="31"/>
        <v>1463020.2</v>
      </c>
      <c r="L175" s="177">
        <f t="shared" si="31"/>
        <v>1415825.9999999998</v>
      </c>
      <c r="M175" s="177">
        <f t="shared" si="31"/>
        <v>1463020.2</v>
      </c>
      <c r="N175" s="177">
        <f t="shared" si="31"/>
        <v>1415825.9999999998</v>
      </c>
      <c r="O175" s="177">
        <f t="shared" si="31"/>
        <v>1463020.2</v>
      </c>
      <c r="P175" s="177">
        <f t="shared" si="31"/>
        <v>1463020.2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768950</v>
      </c>
      <c r="C180" s="190">
        <f>C23*$B$202</f>
        <v>0</v>
      </c>
      <c r="D180" s="190">
        <f t="shared" ref="D180:P180" si="33">D23*$B$202</f>
        <v>59150</v>
      </c>
      <c r="E180" s="190">
        <f t="shared" si="33"/>
        <v>59150</v>
      </c>
      <c r="F180" s="190">
        <f t="shared" si="33"/>
        <v>59150</v>
      </c>
      <c r="G180" s="190">
        <f t="shared" si="33"/>
        <v>59150</v>
      </c>
      <c r="H180" s="190">
        <f t="shared" si="33"/>
        <v>59150</v>
      </c>
      <c r="I180" s="190">
        <f t="shared" si="33"/>
        <v>59150</v>
      </c>
      <c r="J180" s="190">
        <f t="shared" si="33"/>
        <v>59150</v>
      </c>
      <c r="K180" s="190">
        <f t="shared" si="33"/>
        <v>59150</v>
      </c>
      <c r="L180" s="190">
        <f t="shared" si="33"/>
        <v>59150</v>
      </c>
      <c r="M180" s="190">
        <f t="shared" si="33"/>
        <v>59150</v>
      </c>
      <c r="N180" s="190">
        <f t="shared" si="33"/>
        <v>59150</v>
      </c>
      <c r="O180" s="190">
        <f t="shared" si="33"/>
        <v>59150</v>
      </c>
      <c r="P180" s="190">
        <f t="shared" si="33"/>
        <v>59150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58500</v>
      </c>
      <c r="C181" s="190">
        <f t="shared" ref="C181:C196" si="34">C24*$B$202</f>
        <v>0</v>
      </c>
      <c r="D181" s="190">
        <f t="shared" ref="D181:P181" si="35">D24*$B$202</f>
        <v>4500</v>
      </c>
      <c r="E181" s="190">
        <f t="shared" si="35"/>
        <v>4500</v>
      </c>
      <c r="F181" s="190">
        <f t="shared" si="35"/>
        <v>4500</v>
      </c>
      <c r="G181" s="190">
        <f t="shared" si="35"/>
        <v>4500</v>
      </c>
      <c r="H181" s="190">
        <f t="shared" si="35"/>
        <v>4500</v>
      </c>
      <c r="I181" s="190">
        <f t="shared" si="35"/>
        <v>4500</v>
      </c>
      <c r="J181" s="190">
        <f t="shared" si="35"/>
        <v>4500</v>
      </c>
      <c r="K181" s="190">
        <f t="shared" si="35"/>
        <v>4500</v>
      </c>
      <c r="L181" s="190">
        <f t="shared" si="35"/>
        <v>4500</v>
      </c>
      <c r="M181" s="190">
        <f t="shared" si="35"/>
        <v>4500</v>
      </c>
      <c r="N181" s="190">
        <f t="shared" si="35"/>
        <v>4500</v>
      </c>
      <c r="O181" s="190">
        <f t="shared" si="35"/>
        <v>4500</v>
      </c>
      <c r="P181" s="190">
        <f t="shared" si="35"/>
        <v>4500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380648.64</v>
      </c>
      <c r="C187" s="190">
        <f t="shared" si="34"/>
        <v>0</v>
      </c>
      <c r="D187" s="190">
        <f>D76*$B$202</f>
        <v>50228.420000000006</v>
      </c>
      <c r="E187" s="190">
        <f t="shared" ref="E187:P187" si="41">E76*$B$202</f>
        <v>15650</v>
      </c>
      <c r="F187" s="190">
        <f t="shared" si="41"/>
        <v>17297.97</v>
      </c>
      <c r="G187" s="190">
        <f t="shared" si="41"/>
        <v>66350</v>
      </c>
      <c r="H187" s="190">
        <f t="shared" si="41"/>
        <v>17297.97</v>
      </c>
      <c r="I187" s="190">
        <f t="shared" si="41"/>
        <v>35361.5</v>
      </c>
      <c r="J187" s="190">
        <f t="shared" si="41"/>
        <v>34576.92</v>
      </c>
      <c r="K187" s="190">
        <f t="shared" si="41"/>
        <v>21410</v>
      </c>
      <c r="L187" s="190">
        <f t="shared" si="41"/>
        <v>17297.97</v>
      </c>
      <c r="M187" s="190">
        <f t="shared" si="41"/>
        <v>21350</v>
      </c>
      <c r="N187" s="190">
        <f t="shared" si="41"/>
        <v>17297.97</v>
      </c>
      <c r="O187" s="190">
        <f t="shared" si="41"/>
        <v>31301.5</v>
      </c>
      <c r="P187" s="190">
        <f t="shared" si="41"/>
        <v>35228.42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2748077.1282894742</v>
      </c>
      <c r="C189" s="190">
        <f t="shared" si="34"/>
        <v>0</v>
      </c>
      <c r="D189" s="190">
        <f>D80*$B$202</f>
        <v>184357.13486842107</v>
      </c>
      <c r="E189" s="190">
        <f t="shared" ref="E189:P189" si="43">E80*$B$202</f>
        <v>184357.13486842107</v>
      </c>
      <c r="F189" s="190">
        <f t="shared" si="43"/>
        <v>184357.13486842107</v>
      </c>
      <c r="G189" s="190">
        <f t="shared" si="43"/>
        <v>184357.13486842107</v>
      </c>
      <c r="H189" s="190">
        <f t="shared" si="43"/>
        <v>284766.95629699249</v>
      </c>
      <c r="I189" s="190">
        <f t="shared" si="43"/>
        <v>184357.13486842107</v>
      </c>
      <c r="J189" s="190">
        <f t="shared" si="43"/>
        <v>184357.13486842107</v>
      </c>
      <c r="K189" s="190">
        <f t="shared" si="43"/>
        <v>184357.13486842107</v>
      </c>
      <c r="L189" s="190">
        <f t="shared" si="43"/>
        <v>184357.13486842107</v>
      </c>
      <c r="M189" s="190">
        <f t="shared" si="43"/>
        <v>184357.13486842107</v>
      </c>
      <c r="N189" s="190">
        <f t="shared" si="43"/>
        <v>184357.13486842107</v>
      </c>
      <c r="O189" s="190">
        <f t="shared" si="43"/>
        <v>435381.68843984965</v>
      </c>
      <c r="P189" s="190">
        <f t="shared" si="43"/>
        <v>184357.13486842107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149184.1</v>
      </c>
      <c r="C190" s="190">
        <f t="shared" si="34"/>
        <v>0</v>
      </c>
      <c r="D190" s="190">
        <f>D84*$B$202</f>
        <v>11475.699999999999</v>
      </c>
      <c r="E190" s="190">
        <f t="shared" ref="E190:P190" si="44">E84*$B$202</f>
        <v>11475.699999999999</v>
      </c>
      <c r="F190" s="190">
        <f t="shared" si="44"/>
        <v>11475.699999999999</v>
      </c>
      <c r="G190" s="190">
        <f t="shared" si="44"/>
        <v>11475.699999999999</v>
      </c>
      <c r="H190" s="190">
        <f t="shared" si="44"/>
        <v>11475.699999999999</v>
      </c>
      <c r="I190" s="190">
        <f t="shared" si="44"/>
        <v>11475.699999999999</v>
      </c>
      <c r="J190" s="190">
        <f t="shared" si="44"/>
        <v>11475.699999999999</v>
      </c>
      <c r="K190" s="190">
        <f t="shared" si="44"/>
        <v>11475.699999999999</v>
      </c>
      <c r="L190" s="190">
        <f t="shared" si="44"/>
        <v>11475.699999999999</v>
      </c>
      <c r="M190" s="190">
        <f t="shared" si="44"/>
        <v>11475.699999999999</v>
      </c>
      <c r="N190" s="190">
        <f t="shared" si="44"/>
        <v>11475.699999999999</v>
      </c>
      <c r="O190" s="190">
        <f t="shared" si="44"/>
        <v>11475.699999999999</v>
      </c>
      <c r="P190" s="190">
        <f t="shared" si="44"/>
        <v>11475.699999999999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7377850</v>
      </c>
      <c r="C191" s="190">
        <f t="shared" si="34"/>
        <v>0</v>
      </c>
      <c r="D191" s="190">
        <f>D148*$B$202</f>
        <v>561450</v>
      </c>
      <c r="E191" s="190">
        <f t="shared" ref="E191:P191" si="45">E148*$B$202</f>
        <v>567450</v>
      </c>
      <c r="F191" s="190">
        <f t="shared" si="45"/>
        <v>558450</v>
      </c>
      <c r="G191" s="190">
        <f t="shared" si="45"/>
        <v>558450</v>
      </c>
      <c r="H191" s="190">
        <f t="shared" si="45"/>
        <v>558450</v>
      </c>
      <c r="I191" s="190">
        <f t="shared" si="45"/>
        <v>561450</v>
      </c>
      <c r="J191" s="190">
        <f t="shared" si="45"/>
        <v>558450</v>
      </c>
      <c r="K191" s="190">
        <f t="shared" si="45"/>
        <v>558450</v>
      </c>
      <c r="L191" s="190">
        <f t="shared" si="45"/>
        <v>558450</v>
      </c>
      <c r="M191" s="190">
        <f t="shared" si="45"/>
        <v>558450</v>
      </c>
      <c r="N191" s="190">
        <f t="shared" si="45"/>
        <v>558450</v>
      </c>
      <c r="O191" s="190">
        <f t="shared" si="45"/>
        <v>561450</v>
      </c>
      <c r="P191" s="190">
        <f t="shared" si="45"/>
        <v>658450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780</v>
      </c>
      <c r="C194" s="190">
        <f t="shared" si="34"/>
        <v>0</v>
      </c>
      <c r="D194" s="190">
        <f>D154*$B$202</f>
        <v>60</v>
      </c>
      <c r="E194" s="190">
        <f t="shared" ref="E194:P194" si="48">E154*$B$202</f>
        <v>60</v>
      </c>
      <c r="F194" s="190">
        <f t="shared" si="48"/>
        <v>60</v>
      </c>
      <c r="G194" s="190">
        <f t="shared" si="48"/>
        <v>60</v>
      </c>
      <c r="H194" s="190">
        <f t="shared" si="48"/>
        <v>60</v>
      </c>
      <c r="I194" s="190">
        <f t="shared" si="48"/>
        <v>60</v>
      </c>
      <c r="J194" s="190">
        <f t="shared" si="48"/>
        <v>60</v>
      </c>
      <c r="K194" s="190">
        <f t="shared" si="48"/>
        <v>60</v>
      </c>
      <c r="L194" s="190">
        <f t="shared" si="48"/>
        <v>60</v>
      </c>
      <c r="M194" s="190">
        <f t="shared" si="48"/>
        <v>60</v>
      </c>
      <c r="N194" s="190">
        <f t="shared" si="48"/>
        <v>60</v>
      </c>
      <c r="O194" s="190">
        <f t="shared" si="48"/>
        <v>60</v>
      </c>
      <c r="P194" s="190">
        <f t="shared" si="48"/>
        <v>60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317475.77333333326</v>
      </c>
      <c r="C195" s="190">
        <f t="shared" si="34"/>
        <v>0</v>
      </c>
      <c r="D195" s="190">
        <f>D157*$B$202</f>
        <v>24421.213333333333</v>
      </c>
      <c r="E195" s="190">
        <f t="shared" ref="E195:P195" si="49">E157*$B$202</f>
        <v>24421.213333333333</v>
      </c>
      <c r="F195" s="190">
        <f t="shared" si="49"/>
        <v>24421.213333333333</v>
      </c>
      <c r="G195" s="190">
        <f t="shared" si="49"/>
        <v>24421.213333333333</v>
      </c>
      <c r="H195" s="190">
        <f t="shared" si="49"/>
        <v>24421.213333333333</v>
      </c>
      <c r="I195" s="190">
        <f t="shared" si="49"/>
        <v>24421.213333333333</v>
      </c>
      <c r="J195" s="190">
        <f t="shared" si="49"/>
        <v>24421.213333333333</v>
      </c>
      <c r="K195" s="190">
        <f t="shared" si="49"/>
        <v>24421.213333333333</v>
      </c>
      <c r="L195" s="190">
        <f t="shared" si="49"/>
        <v>24421.213333333333</v>
      </c>
      <c r="M195" s="190">
        <f t="shared" si="49"/>
        <v>24421.213333333333</v>
      </c>
      <c r="N195" s="190">
        <f t="shared" si="49"/>
        <v>24421.213333333333</v>
      </c>
      <c r="O195" s="190">
        <f t="shared" si="49"/>
        <v>24421.213333333333</v>
      </c>
      <c r="P195" s="190">
        <f t="shared" si="49"/>
        <v>24421.213333333333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12068809.471622808</v>
      </c>
      <c r="C197" s="193">
        <f>C166*$B$202</f>
        <v>0</v>
      </c>
      <c r="D197" s="193">
        <f t="shared" ref="D197:P197" si="51">D166*$B$202</f>
        <v>916207.3782017543</v>
      </c>
      <c r="E197" s="193">
        <f t="shared" si="51"/>
        <v>887628.95820175426</v>
      </c>
      <c r="F197" s="193">
        <f t="shared" si="51"/>
        <v>880276.92820175434</v>
      </c>
      <c r="G197" s="193">
        <f t="shared" si="51"/>
        <v>929328.95820175426</v>
      </c>
      <c r="H197" s="193">
        <f t="shared" si="51"/>
        <v>980686.74963032582</v>
      </c>
      <c r="I197" s="193">
        <f t="shared" si="51"/>
        <v>901340.45820175437</v>
      </c>
      <c r="J197" s="193">
        <f t="shared" si="51"/>
        <v>897555.87820175441</v>
      </c>
      <c r="K197" s="193">
        <f t="shared" si="51"/>
        <v>884388.95820175426</v>
      </c>
      <c r="L197" s="193">
        <f t="shared" si="51"/>
        <v>880276.92820175434</v>
      </c>
      <c r="M197" s="193">
        <f t="shared" si="51"/>
        <v>884328.95820175426</v>
      </c>
      <c r="N197" s="193">
        <f t="shared" si="51"/>
        <v>880276.92820175434</v>
      </c>
      <c r="O197" s="193">
        <f t="shared" si="51"/>
        <v>1148305.011773183</v>
      </c>
      <c r="P197" s="193">
        <f t="shared" si="51"/>
        <v>998207.3782017543</v>
      </c>
    </row>
    <row r="198" spans="1:17" s="186" customFormat="1" ht="26" customHeight="1" x14ac:dyDescent="0.35">
      <c r="A198" s="194" t="s">
        <v>232</v>
      </c>
      <c r="B198" s="195">
        <f>B175-B197</f>
        <v>6620093.7283771951</v>
      </c>
      <c r="C198" s="195">
        <f>C197</f>
        <v>0</v>
      </c>
      <c r="D198" s="195">
        <f t="shared" ref="D198:P198" si="52">C198+D197</f>
        <v>916207.3782017543</v>
      </c>
      <c r="E198" s="195">
        <f t="shared" si="52"/>
        <v>1803836.3364035087</v>
      </c>
      <c r="F198" s="195">
        <f t="shared" si="52"/>
        <v>2684113.2646052632</v>
      </c>
      <c r="G198" s="195">
        <f t="shared" si="52"/>
        <v>3613442.2228070176</v>
      </c>
      <c r="H198" s="195">
        <f t="shared" si="52"/>
        <v>4594128.9724373436</v>
      </c>
      <c r="I198" s="195">
        <f t="shared" si="52"/>
        <v>5495469.4306390975</v>
      </c>
      <c r="J198" s="195">
        <f t="shared" si="52"/>
        <v>6393025.3088408522</v>
      </c>
      <c r="K198" s="195">
        <f t="shared" si="52"/>
        <v>7277414.2670426061</v>
      </c>
      <c r="L198" s="195">
        <f t="shared" si="52"/>
        <v>8157691.1952443607</v>
      </c>
      <c r="M198" s="195">
        <f t="shared" si="52"/>
        <v>9042020.1534461156</v>
      </c>
      <c r="N198" s="195">
        <f t="shared" si="52"/>
        <v>9922297.0816478692</v>
      </c>
      <c r="O198" s="195">
        <f t="shared" si="52"/>
        <v>11070602.093421053</v>
      </c>
      <c r="P198" s="195">
        <f t="shared" si="52"/>
        <v>12068809.471622808</v>
      </c>
      <c r="Q198" s="173"/>
    </row>
    <row r="199" spans="1:17" ht="26" customHeight="1" x14ac:dyDescent="0.35">
      <c r="B199" s="196">
        <f>1-(B197/B175)</f>
        <v>0.35422590922174579</v>
      </c>
    </row>
    <row r="201" spans="1:17" ht="26" customHeight="1" x14ac:dyDescent="0.35">
      <c r="A201" s="301" t="s">
        <v>386</v>
      </c>
      <c r="B201" s="302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2957.5</v>
      </c>
      <c r="E33" s="91">
        <f>SERVICIO!E23</f>
        <v>2957.5</v>
      </c>
      <c r="F33" s="91">
        <f>SERVICIO!F23</f>
        <v>2957.5</v>
      </c>
      <c r="G33" s="91">
        <f>SERVICIO!G23</f>
        <v>2957.5</v>
      </c>
      <c r="H33" s="91">
        <f>SERVICIO!H23</f>
        <v>2957.5</v>
      </c>
      <c r="I33" s="91">
        <f>SERVICIO!I23</f>
        <v>2957.5</v>
      </c>
      <c r="J33" s="91">
        <f>SERVICIO!J23</f>
        <v>2957.5</v>
      </c>
      <c r="K33" s="91">
        <f>SERVICIO!K23</f>
        <v>2957.5</v>
      </c>
      <c r="L33" s="91">
        <f>SERVICIO!L23</f>
        <v>2957.5</v>
      </c>
      <c r="M33" s="91">
        <f>SERVICIO!M23</f>
        <v>2957.5</v>
      </c>
      <c r="N33" s="91">
        <f>SERVICIO!N23</f>
        <v>2957.5</v>
      </c>
      <c r="O33" s="91">
        <f>SERVICIO!O23</f>
        <v>2957.5</v>
      </c>
      <c r="P33" s="91">
        <f>SERVICIO!P23</f>
        <v>2957.5</v>
      </c>
      <c r="Q33" s="91" t="e">
        <f>SERVICIO!#REF!</f>
        <v>#REF!</v>
      </c>
      <c r="R33" s="91">
        <f>SERVICIO!B23</f>
        <v>38447.5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225</v>
      </c>
      <c r="E34" s="91">
        <f>SERVICIO!E25</f>
        <v>225</v>
      </c>
      <c r="F34" s="91">
        <f>SERVICIO!F25</f>
        <v>225</v>
      </c>
      <c r="G34" s="91">
        <f>SERVICIO!G25</f>
        <v>225</v>
      </c>
      <c r="H34" s="91">
        <f>SERVICIO!H25</f>
        <v>225</v>
      </c>
      <c r="I34" s="91">
        <f>SERVICIO!I25</f>
        <v>225</v>
      </c>
      <c r="J34" s="91">
        <f>SERVICIO!J25</f>
        <v>225</v>
      </c>
      <c r="K34" s="91">
        <f>SERVICIO!K25</f>
        <v>225</v>
      </c>
      <c r="L34" s="91">
        <f>SERVICIO!L25</f>
        <v>225</v>
      </c>
      <c r="M34" s="91">
        <f>SERVICIO!M25</f>
        <v>225</v>
      </c>
      <c r="N34" s="91">
        <f>SERVICIO!N25</f>
        <v>225</v>
      </c>
      <c r="O34" s="91">
        <f>SERVICIO!O25</f>
        <v>225</v>
      </c>
      <c r="P34" s="91">
        <f>SERVICIO!P25</f>
        <v>225</v>
      </c>
      <c r="Q34" s="91" t="e">
        <f>SERVICIO!#REF!</f>
        <v>#REF!</v>
      </c>
      <c r="R34" s="91">
        <f>SERVICIO!B25</f>
        <v>2925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2511.4210000000003</v>
      </c>
      <c r="E40" s="92">
        <f>SERVICIO!E76</f>
        <v>782.5</v>
      </c>
      <c r="F40" s="92">
        <f>SERVICIO!F76</f>
        <v>864.89850000000001</v>
      </c>
      <c r="G40" s="92">
        <f>SERVICIO!G76</f>
        <v>3317.5</v>
      </c>
      <c r="H40" s="92">
        <f>SERVICIO!H76</f>
        <v>864.89850000000001</v>
      </c>
      <c r="I40" s="92">
        <f>SERVICIO!I76</f>
        <v>1768.075</v>
      </c>
      <c r="J40" s="92">
        <f>SERVICIO!J76</f>
        <v>1728.846</v>
      </c>
      <c r="K40" s="92">
        <f>SERVICIO!K76</f>
        <v>1070.5</v>
      </c>
      <c r="L40" s="92">
        <f>SERVICIO!L76</f>
        <v>864.89850000000001</v>
      </c>
      <c r="M40" s="92">
        <f>SERVICIO!M76</f>
        <v>1067.5</v>
      </c>
      <c r="N40" s="92">
        <f>SERVICIO!N76</f>
        <v>864.89850000000001</v>
      </c>
      <c r="O40" s="92">
        <f>SERVICIO!O76</f>
        <v>1565.075</v>
      </c>
      <c r="P40" s="92">
        <f>SERVICIO!P76</f>
        <v>1761.421</v>
      </c>
      <c r="Q40" s="92" t="e">
        <f>SERVICIO!#REF!</f>
        <v>#REF!</v>
      </c>
      <c r="R40" s="92">
        <f>SERVICIO!B76</f>
        <v>19032.432000000001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9217.8567434210527</v>
      </c>
      <c r="E42" s="92">
        <f>SERVICIO!E80</f>
        <v>9217.8567434210527</v>
      </c>
      <c r="F42" s="92">
        <f>SERVICIO!F80</f>
        <v>9217.8567434210527</v>
      </c>
      <c r="G42" s="92">
        <f>SERVICIO!G80</f>
        <v>9217.8567434210527</v>
      </c>
      <c r="H42" s="92">
        <f>SERVICIO!H80</f>
        <v>14238.347814849625</v>
      </c>
      <c r="I42" s="92">
        <f>SERVICIO!I80</f>
        <v>9217.8567434210527</v>
      </c>
      <c r="J42" s="92">
        <f>SERVICIO!J80</f>
        <v>9217.8567434210527</v>
      </c>
      <c r="K42" s="92">
        <f>SERVICIO!K80</f>
        <v>9217.8567434210527</v>
      </c>
      <c r="L42" s="92">
        <f>SERVICIO!L80</f>
        <v>9217.8567434210527</v>
      </c>
      <c r="M42" s="92">
        <f>SERVICIO!M80</f>
        <v>9217.8567434210527</v>
      </c>
      <c r="N42" s="92">
        <f>SERVICIO!N80</f>
        <v>9217.8567434210527</v>
      </c>
      <c r="O42" s="92">
        <f>SERVICIO!O80</f>
        <v>21769.084421992484</v>
      </c>
      <c r="P42" s="92">
        <f>SERVICIO!P80</f>
        <v>9217.8567434210527</v>
      </c>
      <c r="Q42" s="92" t="e">
        <f>SERVICIO!#REF!</f>
        <v>#REF!</v>
      </c>
      <c r="R42" s="92">
        <f>SERVICIO!B80</f>
        <v>137403.8564144737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573.78499999999997</v>
      </c>
      <c r="E43" s="92">
        <f>SERVICIO!E84</f>
        <v>573.78499999999997</v>
      </c>
      <c r="F43" s="92">
        <f>SERVICIO!F84</f>
        <v>573.78499999999997</v>
      </c>
      <c r="G43" s="92">
        <f>SERVICIO!G84</f>
        <v>573.78499999999997</v>
      </c>
      <c r="H43" s="92">
        <f>SERVICIO!H84</f>
        <v>573.78499999999997</v>
      </c>
      <c r="I43" s="92">
        <f>SERVICIO!I84</f>
        <v>573.78499999999997</v>
      </c>
      <c r="J43" s="92">
        <f>SERVICIO!J84</f>
        <v>573.78499999999997</v>
      </c>
      <c r="K43" s="92">
        <f>SERVICIO!K84</f>
        <v>573.78499999999997</v>
      </c>
      <c r="L43" s="92">
        <f>SERVICIO!L84</f>
        <v>573.78499999999997</v>
      </c>
      <c r="M43" s="92">
        <f>SERVICIO!M84</f>
        <v>573.78499999999997</v>
      </c>
      <c r="N43" s="92">
        <f>SERVICIO!N84</f>
        <v>573.78499999999997</v>
      </c>
      <c r="O43" s="92">
        <f>SERVICIO!O84</f>
        <v>573.78499999999997</v>
      </c>
      <c r="P43" s="92">
        <f>SERVICIO!P84</f>
        <v>573.78499999999997</v>
      </c>
      <c r="Q43" s="92" t="e">
        <f>SERVICIO!#REF!</f>
        <v>#REF!</v>
      </c>
      <c r="R43" s="92">
        <f>SERVICIO!B84</f>
        <v>7459.2049999999999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28072.5</v>
      </c>
      <c r="E44" s="92">
        <f>SERVICIO!E148</f>
        <v>28372.5</v>
      </c>
      <c r="F44" s="92">
        <f>SERVICIO!F148</f>
        <v>27922.5</v>
      </c>
      <c r="G44" s="92">
        <f>SERVICIO!G148</f>
        <v>27922.5</v>
      </c>
      <c r="H44" s="92">
        <f>SERVICIO!H148</f>
        <v>27922.5</v>
      </c>
      <c r="I44" s="92">
        <f>SERVICIO!I148</f>
        <v>28072.5</v>
      </c>
      <c r="J44" s="92">
        <f>SERVICIO!J148</f>
        <v>27922.5</v>
      </c>
      <c r="K44" s="92">
        <f>SERVICIO!K148</f>
        <v>27922.5</v>
      </c>
      <c r="L44" s="92">
        <f>SERVICIO!L148</f>
        <v>27922.5</v>
      </c>
      <c r="M44" s="92">
        <f>SERVICIO!M148</f>
        <v>27922.5</v>
      </c>
      <c r="N44" s="92">
        <f>SERVICIO!N148</f>
        <v>27922.5</v>
      </c>
      <c r="O44" s="92">
        <f>SERVICIO!O148</f>
        <v>28072.5</v>
      </c>
      <c r="P44" s="92">
        <f>SERVICIO!P148</f>
        <v>32922.5</v>
      </c>
      <c r="Q44" s="92" t="e">
        <f>SERVICIO!#REF!</f>
        <v>#REF!</v>
      </c>
      <c r="R44" s="92">
        <f>SERVICIO!B148</f>
        <v>368892.5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3</v>
      </c>
      <c r="E47" s="92">
        <f>SERVICIO!E154</f>
        <v>3</v>
      </c>
      <c r="F47" s="92">
        <f>SERVICIO!F154</f>
        <v>3</v>
      </c>
      <c r="G47" s="92">
        <f>SERVICIO!G154</f>
        <v>3</v>
      </c>
      <c r="H47" s="92">
        <f>SERVICIO!H154</f>
        <v>3</v>
      </c>
      <c r="I47" s="92">
        <f>SERVICIO!I154</f>
        <v>3</v>
      </c>
      <c r="J47" s="92">
        <f>SERVICIO!J154</f>
        <v>3</v>
      </c>
      <c r="K47" s="92">
        <f>SERVICIO!K154</f>
        <v>3</v>
      </c>
      <c r="L47" s="92">
        <f>SERVICIO!L154</f>
        <v>3</v>
      </c>
      <c r="M47" s="92">
        <f>SERVICIO!M154</f>
        <v>3</v>
      </c>
      <c r="N47" s="92">
        <f>SERVICIO!N154</f>
        <v>3</v>
      </c>
      <c r="O47" s="92">
        <f>SERVICIO!O154</f>
        <v>3</v>
      </c>
      <c r="P47" s="92">
        <f>SERVICIO!P154</f>
        <v>3</v>
      </c>
      <c r="Q47" s="92" t="e">
        <f>SERVICIO!#REF!</f>
        <v>#REF!</v>
      </c>
      <c r="R47" s="92">
        <f>SERVICIO!B154</f>
        <v>39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1221.0606666666667</v>
      </c>
      <c r="E48" s="92">
        <f>SERVICIO!E157</f>
        <v>1221.0606666666667</v>
      </c>
      <c r="F48" s="92">
        <f>SERVICIO!F157</f>
        <v>1221.0606666666667</v>
      </c>
      <c r="G48" s="92">
        <f>SERVICIO!G157</f>
        <v>1221.0606666666667</v>
      </c>
      <c r="H48" s="92">
        <f>SERVICIO!H157</f>
        <v>1221.0606666666667</v>
      </c>
      <c r="I48" s="92">
        <f>SERVICIO!I157</f>
        <v>1221.0606666666667</v>
      </c>
      <c r="J48" s="92">
        <f>SERVICIO!J157</f>
        <v>1221.0606666666667</v>
      </c>
      <c r="K48" s="92">
        <f>SERVICIO!K157</f>
        <v>1221.0606666666667</v>
      </c>
      <c r="L48" s="92">
        <f>SERVICIO!L157</f>
        <v>1221.0606666666667</v>
      </c>
      <c r="M48" s="92">
        <f>SERVICIO!M157</f>
        <v>1221.0606666666667</v>
      </c>
      <c r="N48" s="92">
        <f>SERVICIO!N157</f>
        <v>1221.0606666666667</v>
      </c>
      <c r="O48" s="92">
        <f>SERVICIO!O157</f>
        <v>1221.0606666666667</v>
      </c>
      <c r="P48" s="92">
        <f>SERVICIO!P157</f>
        <v>1221.0606666666667</v>
      </c>
      <c r="Q48" s="92" t="e">
        <f>SERVICIO!#REF!</f>
        <v>#REF!</v>
      </c>
      <c r="R48" s="92">
        <f>SERVICIO!B157</f>
        <v>15873.788666666664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603440.4735811404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186123.96</v>
      </c>
      <c r="S3" s="116"/>
      <c r="T3" s="152">
        <f>R3*1.16</f>
        <v>215903.79359999998</v>
      </c>
      <c r="U3" s="116"/>
      <c r="V3" s="152">
        <f>+R3/$E$37</f>
        <v>9306.1980000000003</v>
      </c>
      <c r="W3" s="116"/>
      <c r="X3" s="152">
        <f>V3*1.16</f>
        <v>10795.189679999999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3" t="s">
        <v>301</v>
      </c>
      <c r="T4" s="303" t="s">
        <v>302</v>
      </c>
      <c r="V4" s="303" t="s">
        <v>31</v>
      </c>
      <c r="X4" s="303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3"/>
      <c r="T5" s="303"/>
      <c r="V5" s="303"/>
      <c r="X5" s="303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0</v>
      </c>
      <c r="E6" s="115">
        <f>'F08 INGRESOS'!O7</f>
        <v>0</v>
      </c>
      <c r="F6" s="115">
        <f>'F08 INGRESOS'!P7</f>
        <v>0</v>
      </c>
      <c r="G6" s="115">
        <f>'F08 INGRESOS'!Q7</f>
        <v>0</v>
      </c>
      <c r="H6" s="115">
        <f>'F08 INGRESOS'!R7</f>
        <v>0</v>
      </c>
      <c r="I6" s="115">
        <f>'F08 INGRESOS'!S7</f>
        <v>0</v>
      </c>
      <c r="J6" s="115">
        <f>'F08 INGRESOS'!T7</f>
        <v>0</v>
      </c>
      <c r="K6" s="115">
        <f>'F08 INGRESOS'!U7</f>
        <v>0</v>
      </c>
      <c r="L6" s="115">
        <f>'F08 INGRESOS'!V7</f>
        <v>0</v>
      </c>
      <c r="M6" s="115">
        <f>'F08 INGRESOS'!W7</f>
        <v>0</v>
      </c>
      <c r="N6" s="115">
        <f>'F08 INGRESOS'!X7</f>
        <v>0</v>
      </c>
      <c r="O6" s="115">
        <f>'F08 INGRESOS'!Y7</f>
        <v>0</v>
      </c>
      <c r="P6" s="115">
        <f>'F08 INGRESOS'!Z7</f>
        <v>0</v>
      </c>
      <c r="Q6" s="113"/>
      <c r="R6" s="116">
        <f>SUM(C6:P6)</f>
        <v>0</v>
      </c>
      <c r="S6" s="116"/>
      <c r="T6" s="116">
        <f>R6*1.16</f>
        <v>0</v>
      </c>
      <c r="U6" s="116"/>
      <c r="V6" s="116">
        <f>+R6/$E$37</f>
        <v>0</v>
      </c>
      <c r="W6" s="116"/>
      <c r="X6" s="116">
        <f>V6*1.16</f>
        <v>0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14570.31</v>
      </c>
      <c r="E7" s="115">
        <f>'F08 INGRESOS'!O8</f>
        <v>13160.279999999999</v>
      </c>
      <c r="F7" s="115">
        <f>'F08 INGRESOS'!P8</f>
        <v>14570.31</v>
      </c>
      <c r="G7" s="115">
        <f>'F08 INGRESOS'!Q8</f>
        <v>14100.3</v>
      </c>
      <c r="H7" s="115">
        <f>'F08 INGRESOS'!R8</f>
        <v>14570.31</v>
      </c>
      <c r="I7" s="115">
        <f>'F08 INGRESOS'!S8</f>
        <v>14100.3</v>
      </c>
      <c r="J7" s="115">
        <f>'F08 INGRESOS'!T8</f>
        <v>14570.31</v>
      </c>
      <c r="K7" s="115">
        <f>'F08 INGRESOS'!U8</f>
        <v>14570.31</v>
      </c>
      <c r="L7" s="115">
        <f>'F08 INGRESOS'!V8</f>
        <v>14100.3</v>
      </c>
      <c r="M7" s="115">
        <f>'F08 INGRESOS'!W8</f>
        <v>14570.31</v>
      </c>
      <c r="N7" s="115">
        <f>'F08 INGRESOS'!X8</f>
        <v>14100.3</v>
      </c>
      <c r="O7" s="115">
        <f>'F08 INGRESOS'!Y8</f>
        <v>14570.31</v>
      </c>
      <c r="P7" s="115">
        <f>'F08 INGRESOS'!Z8</f>
        <v>14570.31</v>
      </c>
      <c r="Q7" s="113"/>
      <c r="R7" s="116">
        <f>SUM(C7:P7)</f>
        <v>186123.96</v>
      </c>
      <c r="S7" s="116"/>
      <c r="T7" s="116">
        <f>R7*1.16</f>
        <v>215903.79359999998</v>
      </c>
      <c r="U7" s="116"/>
      <c r="V7" s="116">
        <f>+R7/$E$37</f>
        <v>9306.1980000000003</v>
      </c>
      <c r="W7" s="116"/>
      <c r="X7" s="116">
        <f>V7*1.16</f>
        <v>10795.189679999999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INGRESOS'!N12</f>
        <v>0</v>
      </c>
      <c r="E8" s="115">
        <f>'F08 INGRESOS'!O12</f>
        <v>0</v>
      </c>
      <c r="F8" s="115">
        <f>'F08 INGRESOS'!P12</f>
        <v>0</v>
      </c>
      <c r="G8" s="115">
        <f>'F08 INGRESOS'!Q12</f>
        <v>0</v>
      </c>
      <c r="H8" s="115">
        <f>'F08 INGRESOS'!R12</f>
        <v>0</v>
      </c>
      <c r="I8" s="115">
        <f>'F08 INGRESOS'!S12</f>
        <v>0</v>
      </c>
      <c r="J8" s="115">
        <f>'F08 INGRESOS'!T12</f>
        <v>0</v>
      </c>
      <c r="K8" s="115">
        <f>'F08 INGRESOS'!U12</f>
        <v>0</v>
      </c>
      <c r="L8" s="115">
        <f>'F08 INGRESOS'!V12</f>
        <v>0</v>
      </c>
      <c r="M8" s="115">
        <f>'F08 INGRESOS'!W12</f>
        <v>0</v>
      </c>
      <c r="N8" s="115">
        <f>'F08 INGRESOS'!X12</f>
        <v>0</v>
      </c>
      <c r="O8" s="115">
        <f>'F08 INGRESOS'!Y12</f>
        <v>0</v>
      </c>
      <c r="P8" s="115">
        <f>'F08 INGRESOS'!Z12</f>
        <v>0</v>
      </c>
      <c r="Q8" s="113"/>
      <c r="R8" s="116">
        <f>SUM(C8:P8)</f>
        <v>0</v>
      </c>
      <c r="S8" s="116"/>
      <c r="T8" s="116">
        <f>R8*1.16</f>
        <v>0</v>
      </c>
      <c r="U8" s="116"/>
      <c r="V8" s="116">
        <f>+R8/$E$37</f>
        <v>0</v>
      </c>
      <c r="W8" s="116"/>
      <c r="X8" s="116">
        <f>V8*1.16</f>
        <v>0</v>
      </c>
    </row>
    <row r="9" spans="1:24" ht="51" customHeight="1" x14ac:dyDescent="0.35">
      <c r="A9" s="141">
        <f>PREMISAS!C15</f>
        <v>0</v>
      </c>
      <c r="C9" s="115">
        <f>'F08 INGRESOS'!M13</f>
        <v>0</v>
      </c>
      <c r="D9" s="115">
        <f>'F08 INGRESOS'!N13</f>
        <v>0</v>
      </c>
      <c r="E9" s="115">
        <f>'F08 INGRESOS'!O13</f>
        <v>0</v>
      </c>
      <c r="F9" s="115">
        <f>'F08 INGRESOS'!P13</f>
        <v>0</v>
      </c>
      <c r="G9" s="115">
        <f>'F08 INGRESOS'!Q13</f>
        <v>0</v>
      </c>
      <c r="H9" s="115">
        <f>'F08 INGRESOS'!R13</f>
        <v>0</v>
      </c>
      <c r="I9" s="115">
        <f>'F08 INGRESOS'!S13</f>
        <v>0</v>
      </c>
      <c r="J9" s="115">
        <f>'F08 INGRESOS'!T13</f>
        <v>0</v>
      </c>
      <c r="K9" s="115">
        <f>'F08 INGRESOS'!U13</f>
        <v>0</v>
      </c>
      <c r="L9" s="115">
        <f>'F08 INGRESOS'!V13</f>
        <v>0</v>
      </c>
      <c r="M9" s="115">
        <f>'F08 INGRESOS'!W13</f>
        <v>0</v>
      </c>
      <c r="N9" s="115">
        <f>'F08 INGRESOS'!X13</f>
        <v>0</v>
      </c>
      <c r="O9" s="115">
        <f>'F08 INGRESOS'!Y13</f>
        <v>0</v>
      </c>
      <c r="P9" s="115">
        <f>'F08 INGRESOS'!Z13</f>
        <v>0</v>
      </c>
      <c r="Q9" s="113"/>
      <c r="R9" s="116">
        <f>SUM(C9:P9)</f>
        <v>0</v>
      </c>
      <c r="S9" s="116"/>
      <c r="T9" s="116">
        <f>R9*1.16</f>
        <v>0</v>
      </c>
      <c r="U9" s="116"/>
      <c r="V9" s="116">
        <f>+R9/$E$37</f>
        <v>0</v>
      </c>
      <c r="W9" s="116"/>
      <c r="X9" s="116">
        <f>V9*1.16</f>
        <v>0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14570.31</v>
      </c>
      <c r="E11" s="157">
        <f t="shared" si="0"/>
        <v>13160.279999999999</v>
      </c>
      <c r="F11" s="157">
        <f t="shared" si="0"/>
        <v>14570.31</v>
      </c>
      <c r="G11" s="157">
        <f t="shared" si="0"/>
        <v>14100.3</v>
      </c>
      <c r="H11" s="157">
        <f t="shared" si="0"/>
        <v>14570.31</v>
      </c>
      <c r="I11" s="157">
        <f t="shared" si="0"/>
        <v>14100.3</v>
      </c>
      <c r="J11" s="157">
        <f t="shared" si="0"/>
        <v>14570.31</v>
      </c>
      <c r="K11" s="157">
        <f t="shared" si="0"/>
        <v>14570.31</v>
      </c>
      <c r="L11" s="157">
        <f t="shared" si="0"/>
        <v>14100.3</v>
      </c>
      <c r="M11" s="157">
        <f t="shared" si="0"/>
        <v>14570.31</v>
      </c>
      <c r="N11" s="157">
        <f t="shared" si="0"/>
        <v>14100.3</v>
      </c>
      <c r="O11" s="157">
        <f t="shared" si="0"/>
        <v>14570.31</v>
      </c>
      <c r="P11" s="158">
        <f t="shared" si="0"/>
        <v>14570.31</v>
      </c>
      <c r="Q11" s="113"/>
      <c r="R11" s="118">
        <f>SUM(C11:P11)</f>
        <v>186123.96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16901.559599999997</v>
      </c>
      <c r="E13" s="157">
        <f>+E11*1.16</f>
        <v>15265.924799999997</v>
      </c>
      <c r="F13" s="157">
        <f t="shared" ref="F13:P13" si="2">+F11*1.16</f>
        <v>16901.559599999997</v>
      </c>
      <c r="G13" s="157">
        <f t="shared" si="2"/>
        <v>16356.347999999998</v>
      </c>
      <c r="H13" s="157">
        <f t="shared" si="2"/>
        <v>16901.559599999997</v>
      </c>
      <c r="I13" s="157">
        <f t="shared" si="2"/>
        <v>16356.347999999998</v>
      </c>
      <c r="J13" s="157">
        <f t="shared" si="2"/>
        <v>16901.559599999997</v>
      </c>
      <c r="K13" s="157">
        <f t="shared" si="2"/>
        <v>16901.559599999997</v>
      </c>
      <c r="L13" s="157">
        <f t="shared" si="2"/>
        <v>16356.347999999998</v>
      </c>
      <c r="M13" s="157">
        <f t="shared" si="2"/>
        <v>16901.559599999997</v>
      </c>
      <c r="N13" s="157">
        <f t="shared" si="2"/>
        <v>16356.347999999998</v>
      </c>
      <c r="O13" s="157">
        <f t="shared" si="2"/>
        <v>16901.559599999997</v>
      </c>
      <c r="P13" s="158">
        <f t="shared" si="2"/>
        <v>16901.559599999997</v>
      </c>
      <c r="Q13" s="113"/>
      <c r="R13" s="118">
        <f>SUM(C13:P13)</f>
        <v>215903.7936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45810.368910087716</v>
      </c>
      <c r="E16" s="123">
        <f>EGRESOS!F37</f>
        <v>44381.447910087714</v>
      </c>
      <c r="F16" s="123">
        <f>EGRESOS!G37</f>
        <v>44013.846410087717</v>
      </c>
      <c r="G16" s="123">
        <f>EGRESOS!H37</f>
        <v>46466.447910087714</v>
      </c>
      <c r="H16" s="123">
        <f>EGRESOS!I37</f>
        <v>49034.33748151629</v>
      </c>
      <c r="I16" s="123">
        <f>EGRESOS!J37</f>
        <v>45067.022910087711</v>
      </c>
      <c r="J16" s="123">
        <f>EGRESOS!K37</f>
        <v>44877.793910087719</v>
      </c>
      <c r="K16" s="123">
        <f>EGRESOS!L37</f>
        <v>44219.447910087714</v>
      </c>
      <c r="L16" s="123">
        <f>EGRESOS!M37</f>
        <v>44013.846410087717</v>
      </c>
      <c r="M16" s="123">
        <f>EGRESOS!N37</f>
        <v>44216.447910087714</v>
      </c>
      <c r="N16" s="123">
        <f>EGRESOS!O37</f>
        <v>44013.846410087717</v>
      </c>
      <c r="O16" s="123">
        <f>EGRESOS!P37</f>
        <v>57415.250588659146</v>
      </c>
      <c r="P16" s="123">
        <f>EGRESOS!Q37</f>
        <v>49910.368910087716</v>
      </c>
      <c r="Q16" s="113"/>
      <c r="R16" s="116">
        <f>SUM(C16:P16)</f>
        <v>603440.4735811404</v>
      </c>
      <c r="S16" s="116"/>
      <c r="T16" s="116"/>
      <c r="U16" s="116"/>
      <c r="V16" s="116">
        <f>+R16/$E$37</f>
        <v>30172.02367905702</v>
      </c>
      <c r="W16" s="116"/>
      <c r="X16" s="116">
        <f>+V16*1.16</f>
        <v>34999.547467706143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0</v>
      </c>
      <c r="S18" s="116"/>
      <c r="T18" s="116"/>
      <c r="U18" s="116"/>
      <c r="V18" s="116">
        <f>+R18/$E$37</f>
        <v>0</v>
      </c>
      <c r="W18" s="116"/>
      <c r="X18" s="116">
        <f>+V18*1.16</f>
        <v>0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45810.368910087716</v>
      </c>
      <c r="E20" s="129">
        <f t="shared" si="3"/>
        <v>44381.447910087714</v>
      </c>
      <c r="F20" s="129">
        <f t="shared" si="3"/>
        <v>44013.846410087717</v>
      </c>
      <c r="G20" s="129">
        <f t="shared" si="3"/>
        <v>46466.447910087714</v>
      </c>
      <c r="H20" s="129">
        <f t="shared" si="3"/>
        <v>49034.33748151629</v>
      </c>
      <c r="I20" s="129">
        <f t="shared" si="3"/>
        <v>45067.022910087711</v>
      </c>
      <c r="J20" s="129">
        <f t="shared" si="3"/>
        <v>44877.793910087719</v>
      </c>
      <c r="K20" s="129">
        <f t="shared" si="3"/>
        <v>44219.447910087714</v>
      </c>
      <c r="L20" s="129">
        <f t="shared" si="3"/>
        <v>44013.846410087717</v>
      </c>
      <c r="M20" s="129">
        <f t="shared" si="3"/>
        <v>44216.447910087714</v>
      </c>
      <c r="N20" s="129">
        <f t="shared" si="3"/>
        <v>44013.846410087717</v>
      </c>
      <c r="O20" s="129">
        <f t="shared" si="3"/>
        <v>57415.250588659146</v>
      </c>
      <c r="P20" s="129">
        <f t="shared" si="3"/>
        <v>49910.368910087716</v>
      </c>
      <c r="Q20" s="113"/>
      <c r="R20" s="116">
        <f>SUM(C20:P20)</f>
        <v>603440.4735811404</v>
      </c>
      <c r="S20" s="116"/>
      <c r="T20" s="116">
        <f>+R20*1.16</f>
        <v>699990.94935412286</v>
      </c>
      <c r="U20" s="116"/>
      <c r="V20" s="116">
        <f>+R20/$E$37</f>
        <v>30172.02367905702</v>
      </c>
      <c r="W20" s="116"/>
      <c r="X20" s="116">
        <f>+V20*1.16</f>
        <v>34999.547467706143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53140.02793570175</v>
      </c>
      <c r="E22" s="131">
        <f t="shared" si="4"/>
        <v>51482.479575701742</v>
      </c>
      <c r="F22" s="131">
        <f t="shared" si="4"/>
        <v>51056.061835701752</v>
      </c>
      <c r="G22" s="131">
        <f t="shared" si="4"/>
        <v>53901.079575701748</v>
      </c>
      <c r="H22" s="131">
        <f t="shared" si="4"/>
        <v>56879.831478558895</v>
      </c>
      <c r="I22" s="131">
        <f t="shared" si="4"/>
        <v>52277.746575701742</v>
      </c>
      <c r="J22" s="131">
        <f t="shared" si="4"/>
        <v>52058.240935701753</v>
      </c>
      <c r="K22" s="131">
        <f t="shared" si="4"/>
        <v>51294.559575701744</v>
      </c>
      <c r="L22" s="131">
        <f t="shared" si="4"/>
        <v>51056.061835701752</v>
      </c>
      <c r="M22" s="131">
        <f t="shared" si="4"/>
        <v>51291.079575701748</v>
      </c>
      <c r="N22" s="131">
        <f t="shared" si="4"/>
        <v>51056.061835701752</v>
      </c>
      <c r="O22" s="131">
        <f t="shared" si="4"/>
        <v>66601.690682844608</v>
      </c>
      <c r="P22" s="131">
        <f t="shared" si="4"/>
        <v>57896.02793570175</v>
      </c>
      <c r="Q22" s="113"/>
      <c r="R22" s="116">
        <f>SUM(C22:P22)</f>
        <v>699990.94935412286</v>
      </c>
      <c r="S22" s="116"/>
      <c r="T22" s="116">
        <f>+R22*1.16</f>
        <v>811989.50125078252</v>
      </c>
      <c r="U22" s="116"/>
      <c r="V22" s="116">
        <f>+R22/$E$37</f>
        <v>34999.547467706143</v>
      </c>
      <c r="W22" s="116"/>
      <c r="X22" s="116">
        <f>+V22*1.16</f>
        <v>40599.475062539124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-31240.058910087719</v>
      </c>
      <c r="E24" s="134">
        <f t="shared" si="5"/>
        <v>-31221.167910087715</v>
      </c>
      <c r="F24" s="134">
        <f t="shared" si="5"/>
        <v>-29443.53641008772</v>
      </c>
      <c r="G24" s="134">
        <f t="shared" si="5"/>
        <v>-32366.147910087715</v>
      </c>
      <c r="H24" s="134">
        <f t="shared" si="5"/>
        <v>-34464.027481516292</v>
      </c>
      <c r="I24" s="134">
        <f t="shared" si="5"/>
        <v>-30966.722910087712</v>
      </c>
      <c r="J24" s="134">
        <f t="shared" si="5"/>
        <v>-30307.483910087722</v>
      </c>
      <c r="K24" s="134">
        <f t="shared" si="5"/>
        <v>-29649.137910087717</v>
      </c>
      <c r="L24" s="134">
        <f t="shared" si="5"/>
        <v>-29913.546410087718</v>
      </c>
      <c r="M24" s="134">
        <f t="shared" si="5"/>
        <v>-29646.137910087717</v>
      </c>
      <c r="N24" s="134">
        <f t="shared" si="5"/>
        <v>-29913.546410087718</v>
      </c>
      <c r="O24" s="134">
        <f t="shared" si="5"/>
        <v>-42844.940588659148</v>
      </c>
      <c r="P24" s="134">
        <f t="shared" si="5"/>
        <v>-35340.058910087719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-36238.468335701749</v>
      </c>
      <c r="E26" s="134">
        <f t="shared" si="6"/>
        <v>-36216.554775701748</v>
      </c>
      <c r="F26" s="134">
        <f t="shared" si="6"/>
        <v>-34154.502235701751</v>
      </c>
      <c r="G26" s="134">
        <f t="shared" si="6"/>
        <v>-37544.73157570175</v>
      </c>
      <c r="H26" s="134">
        <f t="shared" si="6"/>
        <v>-39978.271878558895</v>
      </c>
      <c r="I26" s="134">
        <f t="shared" si="6"/>
        <v>-35921.398575701744</v>
      </c>
      <c r="J26" s="134">
        <f t="shared" si="6"/>
        <v>-35156.681335701753</v>
      </c>
      <c r="K26" s="134">
        <f t="shared" si="6"/>
        <v>-34392.99997570175</v>
      </c>
      <c r="L26" s="134">
        <f t="shared" si="6"/>
        <v>-34699.713835701754</v>
      </c>
      <c r="M26" s="134">
        <f t="shared" si="6"/>
        <v>-34389.519975701747</v>
      </c>
      <c r="N26" s="134">
        <f t="shared" si="6"/>
        <v>-34699.713835701754</v>
      </c>
      <c r="O26" s="134">
        <f t="shared" ref="O26:P26" si="7">+O24*1.16</f>
        <v>-49700.131082844608</v>
      </c>
      <c r="P26" s="134">
        <f t="shared" si="7"/>
        <v>-40994.468335701749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-31240.058910087719</v>
      </c>
      <c r="E28" s="135">
        <f t="shared" ref="E28:P28" si="8">+E24+D28</f>
        <v>-62461.226820175434</v>
      </c>
      <c r="F28" s="135">
        <f t="shared" si="8"/>
        <v>-91904.763230263154</v>
      </c>
      <c r="G28" s="135">
        <f t="shared" si="8"/>
        <v>-124270.91114035087</v>
      </c>
      <c r="H28" s="135">
        <f t="shared" si="8"/>
        <v>-158734.93862186716</v>
      </c>
      <c r="I28" s="135">
        <f t="shared" si="8"/>
        <v>-189701.66153195486</v>
      </c>
      <c r="J28" s="135">
        <f t="shared" si="8"/>
        <v>-220009.14544204259</v>
      </c>
      <c r="K28" s="135">
        <f t="shared" si="8"/>
        <v>-249658.2833521303</v>
      </c>
      <c r="L28" s="135">
        <f t="shared" si="8"/>
        <v>-279571.829762218</v>
      </c>
      <c r="M28" s="135">
        <f t="shared" si="8"/>
        <v>-309217.96767230571</v>
      </c>
      <c r="N28" s="135">
        <f t="shared" si="8"/>
        <v>-339131.51408239343</v>
      </c>
      <c r="O28" s="135">
        <f t="shared" si="8"/>
        <v>-381976.45467105258</v>
      </c>
      <c r="P28" s="135">
        <f t="shared" si="8"/>
        <v>-417316.51358114032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-36238.468335701749</v>
      </c>
      <c r="E30" s="135">
        <f t="shared" si="9"/>
        <v>-72455.023111403498</v>
      </c>
      <c r="F30" s="135">
        <f t="shared" si="9"/>
        <v>-106609.52534710526</v>
      </c>
      <c r="G30" s="135">
        <f t="shared" si="9"/>
        <v>-144154.25692280699</v>
      </c>
      <c r="H30" s="135">
        <f t="shared" si="9"/>
        <v>-184132.5288013659</v>
      </c>
      <c r="I30" s="135">
        <f t="shared" si="9"/>
        <v>-220053.92737706762</v>
      </c>
      <c r="J30" s="135">
        <f t="shared" si="9"/>
        <v>-255210.60871276938</v>
      </c>
      <c r="K30" s="135">
        <f t="shared" si="9"/>
        <v>-289603.60868847114</v>
      </c>
      <c r="L30" s="135">
        <f t="shared" si="9"/>
        <v>-324303.32252417284</v>
      </c>
      <c r="M30" s="135">
        <f t="shared" si="9"/>
        <v>-358692.84249987459</v>
      </c>
      <c r="N30" s="135">
        <f t="shared" si="9"/>
        <v>-393392.55633557634</v>
      </c>
      <c r="O30" s="135">
        <f t="shared" si="9"/>
        <v>-443092.68741842097</v>
      </c>
      <c r="P30" s="135">
        <f t="shared" si="9"/>
        <v>-484087.15575412271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43102.890970081455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0</v>
      </c>
      <c r="Q33" s="113"/>
    </row>
    <row r="34" spans="3:17" ht="23" customHeight="1" thickBot="1" x14ac:dyDescent="0.4">
      <c r="C34" s="163" t="s">
        <v>343</v>
      </c>
      <c r="D34" s="164">
        <f>SUM(C16:P16)</f>
        <v>603440.4735811404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4" t="s">
        <v>33</v>
      </c>
      <c r="D36" s="304"/>
      <c r="E36" s="304"/>
      <c r="G36" s="137" t="s">
        <v>329</v>
      </c>
      <c r="H36" s="137"/>
      <c r="I36" s="137"/>
      <c r="J36" s="137"/>
    </row>
    <row r="37" spans="3:17" ht="23" customHeight="1" x14ac:dyDescent="0.35">
      <c r="C37" s="305" t="s">
        <v>34</v>
      </c>
      <c r="D37" s="305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0.18612396</v>
      </c>
    </row>
    <row r="38" spans="3:17" ht="23" customHeight="1" x14ac:dyDescent="0.35">
      <c r="C38" s="305"/>
      <c r="D38" s="305"/>
      <c r="E38" s="146"/>
      <c r="F38" s="137" t="s">
        <v>56</v>
      </c>
      <c r="G38" s="147"/>
      <c r="H38" s="147"/>
      <c r="I38" s="145" t="s">
        <v>36</v>
      </c>
      <c r="J38" s="146">
        <f>SUM(R20)/1000000</f>
        <v>0.60344047358114039</v>
      </c>
    </row>
    <row r="39" spans="3:17" ht="18" customHeight="1" x14ac:dyDescent="0.35">
      <c r="C39" s="305"/>
      <c r="D39" s="305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5" t="s">
        <v>77</v>
      </c>
      <c r="D40" s="305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5" t="s">
        <v>74</v>
      </c>
      <c r="D41" s="305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5" t="s">
        <v>78</v>
      </c>
      <c r="D42" s="305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5" t="s">
        <v>76</v>
      </c>
      <c r="D43" s="305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5" t="s">
        <v>49</v>
      </c>
      <c r="D44" s="305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5"/>
      <c r="D45" s="305"/>
      <c r="E45" s="146"/>
      <c r="F45" s="137"/>
      <c r="G45" s="137"/>
      <c r="H45" s="137"/>
      <c r="I45" s="145"/>
      <c r="J45" s="148"/>
    </row>
    <row r="46" spans="3:17" ht="18" customHeight="1" x14ac:dyDescent="0.35">
      <c r="C46" s="305" t="s">
        <v>71</v>
      </c>
      <c r="D46" s="305"/>
      <c r="E46" s="146"/>
      <c r="F46" s="137" t="s">
        <v>56</v>
      </c>
      <c r="G46" s="137" t="s">
        <v>37</v>
      </c>
      <c r="H46" s="146">
        <f>(R11-R20)/1000000</f>
        <v>-0.41731651358114041</v>
      </c>
      <c r="I46" s="145" t="s">
        <v>38</v>
      </c>
      <c r="J46" s="146">
        <f>H46/E50</f>
        <v>-0.27821100905409363</v>
      </c>
    </row>
    <row r="47" spans="3:17" ht="18" customHeight="1" x14ac:dyDescent="0.35">
      <c r="C47" s="305" t="s">
        <v>55</v>
      </c>
      <c r="D47" s="305"/>
      <c r="E47" s="138">
        <f>MIN(C30:P30)</f>
        <v>-484087.15575412271</v>
      </c>
      <c r="F47" s="137"/>
      <c r="G47" s="137" t="s">
        <v>39</v>
      </c>
      <c r="H47" s="146">
        <f>(NPV(E48/18,D24:P24))/1000000</f>
        <v>-0.39806002224329529</v>
      </c>
      <c r="I47" s="145" t="s">
        <v>40</v>
      </c>
      <c r="J47" s="146">
        <f>H47/E50</f>
        <v>-0.26537334816219688</v>
      </c>
    </row>
    <row r="48" spans="3:17" ht="18" customHeight="1" x14ac:dyDescent="0.35">
      <c r="C48" s="305" t="s">
        <v>41</v>
      </c>
      <c r="D48" s="305"/>
      <c r="E48" s="149">
        <v>0.12</v>
      </c>
      <c r="F48" s="137"/>
      <c r="G48" s="137" t="s">
        <v>42</v>
      </c>
      <c r="H48" s="146">
        <f>(NPV(E48/18,D18:P18))/1000000</f>
        <v>0</v>
      </c>
      <c r="I48" s="137"/>
      <c r="J48" s="137"/>
    </row>
    <row r="49" spans="3:10" ht="18" customHeight="1" x14ac:dyDescent="0.35">
      <c r="C49" s="305" t="s">
        <v>70</v>
      </c>
      <c r="D49" s="305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5" t="s">
        <v>47</v>
      </c>
      <c r="D50" s="305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5"/>
      <c r="D51" s="305"/>
      <c r="E51" s="145"/>
      <c r="F51" s="137"/>
      <c r="G51" s="137" t="s">
        <v>48</v>
      </c>
      <c r="H51" s="149">
        <f>+H46/J37</f>
        <v>-2.2421428900456468</v>
      </c>
      <c r="I51" s="137"/>
      <c r="J51" s="137"/>
    </row>
    <row r="52" spans="3:10" ht="18" customHeight="1" x14ac:dyDescent="0.35">
      <c r="C52" s="305" t="s">
        <v>327</v>
      </c>
      <c r="D52" s="305"/>
      <c r="E52" s="146">
        <f>((AVERAGE(C16:P16)/1000000))</f>
        <v>4.3102890970081457E-2</v>
      </c>
      <c r="F52" s="137"/>
      <c r="G52" s="137"/>
      <c r="H52" s="145"/>
      <c r="I52" s="137"/>
      <c r="J52" s="137"/>
    </row>
    <row r="53" spans="3:10" ht="18" customHeight="1" x14ac:dyDescent="0.35">
      <c r="C53" s="305" t="s">
        <v>328</v>
      </c>
      <c r="D53" s="305"/>
      <c r="E53" s="146">
        <f>R18/1000000</f>
        <v>0</v>
      </c>
      <c r="F53" s="137"/>
      <c r="G53" s="137" t="s">
        <v>44</v>
      </c>
      <c r="H53" s="151" t="e">
        <f>H47/H48</f>
        <v>#DIV/0!</v>
      </c>
      <c r="I53" s="137"/>
      <c r="J53" s="137"/>
    </row>
  </sheetData>
  <mergeCells count="22">
    <mergeCell ref="C52:D52"/>
    <mergeCell ref="C53:D53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X4:X5"/>
    <mergeCell ref="V4:V5"/>
    <mergeCell ref="C36:E36"/>
    <mergeCell ref="R4:R5"/>
    <mergeCell ref="T4:T5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12" t="s">
        <v>16</v>
      </c>
      <c r="B2" s="312"/>
    </row>
    <row r="3" spans="1:26" ht="23" customHeight="1" x14ac:dyDescent="0.45">
      <c r="A3" s="312"/>
      <c r="B3" s="312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12"/>
      <c r="B4" s="312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12"/>
      <c r="B5" s="312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06" t="s">
        <v>26</v>
      </c>
      <c r="T5" s="306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12"/>
      <c r="B6" s="312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06"/>
      <c r="T6" s="306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08" t="s">
        <v>316</v>
      </c>
      <c r="B8" s="308"/>
      <c r="C8" s="20"/>
      <c r="D8" s="27">
        <f>'F00 INVERSIÓN'!L40</f>
        <v>0</v>
      </c>
      <c r="E8" s="27">
        <f>'F00 INVERSIÓN'!M40</f>
        <v>0</v>
      </c>
      <c r="F8" s="27">
        <f>'F00 INVERSIÓN'!N40</f>
        <v>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0</v>
      </c>
      <c r="S8" s="29"/>
      <c r="T8" s="28">
        <f>R8/$E$42</f>
        <v>0</v>
      </c>
      <c r="U8" s="22"/>
      <c r="V8" s="271">
        <f>'F00 INVERSIÓN'!L42</f>
        <v>0</v>
      </c>
      <c r="W8" s="272">
        <f>SERVICIO!B13</f>
        <v>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08" t="s">
        <v>0</v>
      </c>
      <c r="B10" s="308"/>
      <c r="C10" s="20"/>
      <c r="D10" s="27">
        <f>NOMINA!V19+'F01 EPP'!M19+'F01 UNIFORMES'!M12</f>
        <v>0</v>
      </c>
      <c r="E10" s="27">
        <f>NOMINA!W19+'F01 EPP'!N19+'F01 UNIFORMES'!N12</f>
        <v>9445.8567434210527</v>
      </c>
      <c r="F10" s="27">
        <f>NOMINA!X19+'F01 EPP'!O19+'F01 UNIFORMES'!O12</f>
        <v>9445.8567434210527</v>
      </c>
      <c r="G10" s="27">
        <f>NOMINA!Y19+'F01 EPP'!P19+'F01 UNIFORMES'!P12</f>
        <v>9445.8567434210527</v>
      </c>
      <c r="H10" s="27">
        <f>NOMINA!Z19+'F01 EPP'!Q19+'F01 UNIFORMES'!Q12</f>
        <v>9445.8567434210527</v>
      </c>
      <c r="I10" s="27">
        <f>NOMINA!AA19+'F01 EPP'!R19+'F01 UNIFORMES'!R12</f>
        <v>14466.347814849625</v>
      </c>
      <c r="J10" s="27">
        <f>NOMINA!AB19+'F01 EPP'!S19+'F01 UNIFORMES'!S12</f>
        <v>9445.8567434210527</v>
      </c>
      <c r="K10" s="27">
        <f>NOMINA!AC19+'F01 EPP'!T19+'F01 UNIFORMES'!T12</f>
        <v>9445.8567434210527</v>
      </c>
      <c r="L10" s="27">
        <f>NOMINA!AD19+'F01 EPP'!U19+'F01 UNIFORMES'!U12</f>
        <v>9445.8567434210527</v>
      </c>
      <c r="M10" s="27">
        <f>NOMINA!AE19+'F01 EPP'!V19+'F01 UNIFORMES'!V12</f>
        <v>9445.8567434210527</v>
      </c>
      <c r="N10" s="27">
        <f>NOMINA!AF19+'F01 EPP'!W19+'F01 UNIFORMES'!W12</f>
        <v>9445.8567434210527</v>
      </c>
      <c r="O10" s="27">
        <f>NOMINA!AG19+'F01 EPP'!X19+'F01 UNIFORMES'!X12</f>
        <v>9445.8567434210527</v>
      </c>
      <c r="P10" s="27">
        <f>NOMINA!AH19+'F01 EPP'!Y19+'F01 UNIFORMES'!Y12</f>
        <v>21997.084421992484</v>
      </c>
      <c r="Q10" s="27">
        <f>NOMINA!AI19+'F01 EPP'!Z19+'F01 UNIFORMES'!Z12</f>
        <v>9445.8567434210527</v>
      </c>
      <c r="R10" s="28">
        <f>SUM(D10:Q10)</f>
        <v>140367.8564144737</v>
      </c>
      <c r="S10" s="29"/>
      <c r="T10" s="28">
        <f>R10/$E$42</f>
        <v>7018.392820723685</v>
      </c>
      <c r="U10" s="22"/>
      <c r="V10" s="271">
        <f>+NOMINA!V21+'F01 EPP'!M21+'F01 UNIFORMES'!M14</f>
        <v>140367.8564144737</v>
      </c>
      <c r="W10" s="272">
        <f>SERVICIO!B80+SERVICIO!B25+SERVICIO!B154</f>
        <v>140367.8564144737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08" t="s">
        <v>3</v>
      </c>
      <c r="B12" s="308"/>
      <c r="C12" s="20"/>
      <c r="D12" s="27">
        <f>'F02 INMUEBLES Y S'!M19</f>
        <v>0</v>
      </c>
      <c r="E12" s="27">
        <f>'F02 INMUEBLES Y S'!N19</f>
        <v>2957.5</v>
      </c>
      <c r="F12" s="27">
        <f>'F02 INMUEBLES Y S'!O19</f>
        <v>2957.5</v>
      </c>
      <c r="G12" s="27">
        <f>'F02 INMUEBLES Y S'!P19</f>
        <v>2957.5</v>
      </c>
      <c r="H12" s="27">
        <f>'F02 INMUEBLES Y S'!Q19</f>
        <v>2957.5</v>
      </c>
      <c r="I12" s="27">
        <f>'F02 INMUEBLES Y S'!R19</f>
        <v>2957.5</v>
      </c>
      <c r="J12" s="27">
        <f>'F02 INMUEBLES Y S'!S19</f>
        <v>2957.5</v>
      </c>
      <c r="K12" s="27">
        <f>'F02 INMUEBLES Y S'!T19</f>
        <v>2957.5</v>
      </c>
      <c r="L12" s="27">
        <f>'F02 INMUEBLES Y S'!U19</f>
        <v>2957.5</v>
      </c>
      <c r="M12" s="27">
        <f>'F02 INMUEBLES Y S'!V19</f>
        <v>2957.5</v>
      </c>
      <c r="N12" s="27">
        <f>'F02 INMUEBLES Y S'!W19</f>
        <v>2957.5</v>
      </c>
      <c r="O12" s="27">
        <f>'F02 INMUEBLES Y S'!X19</f>
        <v>2957.5</v>
      </c>
      <c r="P12" s="27">
        <f>'F02 INMUEBLES Y S'!Y19</f>
        <v>2957.5</v>
      </c>
      <c r="Q12" s="27">
        <f>'F02 INMUEBLES Y S'!Z19</f>
        <v>2957.5</v>
      </c>
      <c r="R12" s="28">
        <f>SUM(D12:Q12)</f>
        <v>38447.5</v>
      </c>
      <c r="S12" s="29"/>
      <c r="T12" s="28">
        <f>R12/$E$42</f>
        <v>1922.375</v>
      </c>
      <c r="U12" s="22"/>
      <c r="V12" s="271">
        <f>'F02 INMUEBLES Y S'!M21</f>
        <v>38447.5</v>
      </c>
      <c r="W12" s="272">
        <f>SERVICIO!B23</f>
        <v>38447.5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08" t="s">
        <v>255</v>
      </c>
      <c r="B14" s="308"/>
      <c r="C14" s="20"/>
      <c r="D14" s="27">
        <f>'F03 COM Y EQ COM'!L35</f>
        <v>0</v>
      </c>
      <c r="E14" s="27">
        <f>'F03 COM Y EQ COM'!M35</f>
        <v>573.78499999999997</v>
      </c>
      <c r="F14" s="27">
        <f>'F03 COM Y EQ COM'!N35</f>
        <v>573.78499999999997</v>
      </c>
      <c r="G14" s="27">
        <f>'F03 COM Y EQ COM'!O35</f>
        <v>573.78499999999997</v>
      </c>
      <c r="H14" s="27">
        <f>'F03 COM Y EQ COM'!P35</f>
        <v>573.78499999999997</v>
      </c>
      <c r="I14" s="27">
        <f>'F03 COM Y EQ COM'!Q35</f>
        <v>573.78499999999997</v>
      </c>
      <c r="J14" s="27">
        <f>'F03 COM Y EQ COM'!R35</f>
        <v>573.78499999999997</v>
      </c>
      <c r="K14" s="27">
        <f>'F03 COM Y EQ COM'!S35</f>
        <v>573.78499999999997</v>
      </c>
      <c r="L14" s="27">
        <f>'F03 COM Y EQ COM'!T35</f>
        <v>573.78499999999997</v>
      </c>
      <c r="M14" s="27">
        <f>'F03 COM Y EQ COM'!U35</f>
        <v>573.78499999999997</v>
      </c>
      <c r="N14" s="27">
        <f>'F03 COM Y EQ COM'!V35</f>
        <v>573.78499999999997</v>
      </c>
      <c r="O14" s="27">
        <f>'F03 COM Y EQ COM'!W35</f>
        <v>573.78499999999997</v>
      </c>
      <c r="P14" s="27">
        <f>'F03 COM Y EQ COM'!X35</f>
        <v>573.78499999999997</v>
      </c>
      <c r="Q14" s="27">
        <f>'F03 COM Y EQ COM'!Y35</f>
        <v>573.78499999999997</v>
      </c>
      <c r="R14" s="28">
        <f>SUM(D14:Q14)</f>
        <v>7459.204999999999</v>
      </c>
      <c r="S14" s="29"/>
      <c r="T14" s="28">
        <f>R14/$E$42</f>
        <v>372.96024999999997</v>
      </c>
      <c r="U14" s="22"/>
      <c r="V14" s="271">
        <f>'F03 COM Y EQ COM'!L37</f>
        <v>7459.204999999999</v>
      </c>
      <c r="W14" s="272">
        <f>SERVICIO!B84</f>
        <v>7459.2049999999999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09" t="s">
        <v>5</v>
      </c>
      <c r="B16" s="310"/>
      <c r="C16" s="20"/>
      <c r="D16" s="27">
        <f>'F04 VEHÍCULOS Y COMB. '!R30</f>
        <v>0</v>
      </c>
      <c r="E16" s="27">
        <f>'F04 VEHÍCULOS Y COMB. '!S30</f>
        <v>1221.0606666666667</v>
      </c>
      <c r="F16" s="27">
        <f>'F04 VEHÍCULOS Y COMB. '!T30</f>
        <v>1221.0606666666667</v>
      </c>
      <c r="G16" s="27">
        <f>'F04 VEHÍCULOS Y COMB. '!U30</f>
        <v>1221.0606666666667</v>
      </c>
      <c r="H16" s="27">
        <f>'F04 VEHÍCULOS Y COMB. '!V30</f>
        <v>1221.0606666666667</v>
      </c>
      <c r="I16" s="27">
        <f>'F04 VEHÍCULOS Y COMB. '!W30</f>
        <v>1221.0606666666667</v>
      </c>
      <c r="J16" s="27">
        <f>'F04 VEHÍCULOS Y COMB. '!X30</f>
        <v>1221.0606666666667</v>
      </c>
      <c r="K16" s="27">
        <f>'F04 VEHÍCULOS Y COMB. '!Y30</f>
        <v>1221.0606666666667</v>
      </c>
      <c r="L16" s="27">
        <f>'F04 VEHÍCULOS Y COMB. '!Z30</f>
        <v>1221.0606666666667</v>
      </c>
      <c r="M16" s="27">
        <f>'F04 VEHÍCULOS Y COMB. '!AA30</f>
        <v>1221.0606666666667</v>
      </c>
      <c r="N16" s="27">
        <f>'F04 VEHÍCULOS Y COMB. '!AB30</f>
        <v>1221.0606666666667</v>
      </c>
      <c r="O16" s="27">
        <f>'F04 VEHÍCULOS Y COMB. '!AC30</f>
        <v>1221.0606666666667</v>
      </c>
      <c r="P16" s="27">
        <f>'F04 VEHÍCULOS Y COMB. '!AD30</f>
        <v>1221.0606666666667</v>
      </c>
      <c r="Q16" s="27">
        <f>'F04 VEHÍCULOS Y COMB. '!AE30</f>
        <v>1221.0606666666667</v>
      </c>
      <c r="R16" s="28">
        <f>SUM(D16:Q16)</f>
        <v>15873.788666666664</v>
      </c>
      <c r="S16" s="29"/>
      <c r="T16" s="28">
        <f>R16/$E$42</f>
        <v>793.68943333333323</v>
      </c>
      <c r="U16" s="22"/>
      <c r="V16" s="271">
        <f>'F04 VEHÍCULOS Y COMB. '!R32</f>
        <v>15873.788666666664</v>
      </c>
      <c r="W16" s="272">
        <f>SERVICIO!B157</f>
        <v>15873.788666666664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08" t="s">
        <v>6</v>
      </c>
      <c r="B18" s="308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1" t="s">
        <v>304</v>
      </c>
      <c r="B20" s="311"/>
      <c r="C20" s="20"/>
      <c r="D20" s="27">
        <f>'F06 (MAT,SERV &amp; EQUIPO)'!L43</f>
        <v>0</v>
      </c>
      <c r="E20" s="27">
        <f>'F06 (MAT,SERV &amp; EQUIPO)'!M43</f>
        <v>2511.4210000000003</v>
      </c>
      <c r="F20" s="27">
        <f>'F06 (MAT,SERV &amp; EQUIPO)'!N43</f>
        <v>782.5</v>
      </c>
      <c r="G20" s="27">
        <f>'F06 (MAT,SERV &amp; EQUIPO)'!O43</f>
        <v>864.89850000000001</v>
      </c>
      <c r="H20" s="27">
        <f>'F06 (MAT,SERV &amp; EQUIPO)'!P43</f>
        <v>3317.5</v>
      </c>
      <c r="I20" s="27">
        <f>'F06 (MAT,SERV &amp; EQUIPO)'!Q43</f>
        <v>864.89850000000001</v>
      </c>
      <c r="J20" s="27">
        <f>'F06 (MAT,SERV &amp; EQUIPO)'!R43</f>
        <v>1768.075</v>
      </c>
      <c r="K20" s="27">
        <f>'F06 (MAT,SERV &amp; EQUIPO)'!S43</f>
        <v>1728.846</v>
      </c>
      <c r="L20" s="27">
        <f>'F06 (MAT,SERV &amp; EQUIPO)'!T43</f>
        <v>1070.5</v>
      </c>
      <c r="M20" s="27">
        <f>'F06 (MAT,SERV &amp; EQUIPO)'!U43</f>
        <v>864.89850000000001</v>
      </c>
      <c r="N20" s="27">
        <f>'F06 (MAT,SERV &amp; EQUIPO)'!V43</f>
        <v>1067.5</v>
      </c>
      <c r="O20" s="27">
        <f>'F06 (MAT,SERV &amp; EQUIPO)'!W43</f>
        <v>864.89850000000001</v>
      </c>
      <c r="P20" s="27">
        <f>'F06 (MAT,SERV &amp; EQUIPO)'!X43</f>
        <v>1565.075</v>
      </c>
      <c r="Q20" s="27">
        <f>'F06 (MAT,SERV &amp; EQUIPO)'!Y43</f>
        <v>1761.421</v>
      </c>
      <c r="R20" s="28">
        <f>SUM(D20:Q20)</f>
        <v>19032.431999999997</v>
      </c>
      <c r="S20" s="29"/>
      <c r="T20" s="28">
        <f>R20/$E$42</f>
        <v>951.62159999999983</v>
      </c>
      <c r="U20" s="22"/>
      <c r="V20" s="271">
        <f>'F06 (MAT,SERV &amp; EQUIPO)'!L45</f>
        <v>19032.431999999997</v>
      </c>
      <c r="W20" s="272">
        <f>SERVICIO!B76</f>
        <v>19032.432000000001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08" t="s">
        <v>305</v>
      </c>
      <c r="B22" s="308"/>
      <c r="C22" s="20"/>
      <c r="D22" s="27">
        <f>'F07 OPERAC. (MAT,SERV &amp; EQUIPO)'!L116</f>
        <v>0</v>
      </c>
      <c r="E22" s="27">
        <f>'F07 OPERAC. (MAT,SERV &amp; EQUIPO)'!M116</f>
        <v>28072.5</v>
      </c>
      <c r="F22" s="27">
        <f>'F07 OPERAC. (MAT,SERV &amp; EQUIPO)'!N116</f>
        <v>28372.5</v>
      </c>
      <c r="G22" s="27">
        <f>'F07 OPERAC. (MAT,SERV &amp; EQUIPO)'!O116</f>
        <v>27922.5</v>
      </c>
      <c r="H22" s="27">
        <f>'F07 OPERAC. (MAT,SERV &amp; EQUIPO)'!P116</f>
        <v>27922.5</v>
      </c>
      <c r="I22" s="27">
        <f>'F07 OPERAC. (MAT,SERV &amp; EQUIPO)'!Q116</f>
        <v>27922.5</v>
      </c>
      <c r="J22" s="27">
        <f>'F07 OPERAC. (MAT,SERV &amp; EQUIPO)'!R116</f>
        <v>28072.5</v>
      </c>
      <c r="K22" s="27">
        <f>'F07 OPERAC. (MAT,SERV &amp; EQUIPO)'!S116</f>
        <v>27922.5</v>
      </c>
      <c r="L22" s="27">
        <f>'F07 OPERAC. (MAT,SERV &amp; EQUIPO)'!T116</f>
        <v>27922.5</v>
      </c>
      <c r="M22" s="27">
        <f>'F07 OPERAC. (MAT,SERV &amp; EQUIPO)'!U116</f>
        <v>27922.5</v>
      </c>
      <c r="N22" s="27">
        <f>'F07 OPERAC. (MAT,SERV &amp; EQUIPO)'!V116</f>
        <v>27922.5</v>
      </c>
      <c r="O22" s="27">
        <f>'F07 OPERAC. (MAT,SERV &amp; EQUIPO)'!W116</f>
        <v>27922.5</v>
      </c>
      <c r="P22" s="27">
        <f>'F07 OPERAC. (MAT,SERV &amp; EQUIPO)'!X116</f>
        <v>28072.5</v>
      </c>
      <c r="Q22" s="27">
        <f>'F07 OPERAC. (MAT,SERV &amp; EQUIPO)'!Y116</f>
        <v>32922.5</v>
      </c>
      <c r="R22" s="28">
        <f>SUM(D22:Q22)</f>
        <v>368892.5</v>
      </c>
      <c r="S22" s="35"/>
      <c r="T22" s="28">
        <f>R22/$E$42</f>
        <v>18444.625</v>
      </c>
      <c r="U22" s="22"/>
      <c r="V22" s="271">
        <f>'F07 OPERAC. (MAT,SERV &amp; EQUIPO)'!L118</f>
        <v>368892.5</v>
      </c>
      <c r="W22" s="272">
        <f>SERVICIO!B148</f>
        <v>368892.5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1" t="s">
        <v>15</v>
      </c>
      <c r="B24" s="311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3" t="s">
        <v>14</v>
      </c>
      <c r="B26" s="313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20" t="s">
        <v>13</v>
      </c>
      <c r="B28" s="321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3" t="s">
        <v>254</v>
      </c>
      <c r="B30" s="313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07" t="s">
        <v>32</v>
      </c>
      <c r="B33" s="307"/>
      <c r="C33" s="20"/>
      <c r="D33" s="28">
        <f>SUM(D8:D30)</f>
        <v>0</v>
      </c>
      <c r="E33" s="28">
        <f t="shared" ref="E33:O33" si="0">SUM(E8:E30)</f>
        <v>45810.368910087716</v>
      </c>
      <c r="F33" s="28">
        <f t="shared" si="0"/>
        <v>44381.447910087714</v>
      </c>
      <c r="G33" s="28">
        <f t="shared" si="0"/>
        <v>44013.846410087717</v>
      </c>
      <c r="H33" s="28">
        <f t="shared" si="0"/>
        <v>46466.447910087714</v>
      </c>
      <c r="I33" s="28">
        <f t="shared" si="0"/>
        <v>49034.33748151629</v>
      </c>
      <c r="J33" s="28">
        <f t="shared" si="0"/>
        <v>45067.022910087711</v>
      </c>
      <c r="K33" s="28">
        <f t="shared" si="0"/>
        <v>44877.793910087719</v>
      </c>
      <c r="L33" s="28">
        <f t="shared" si="0"/>
        <v>44219.447910087714</v>
      </c>
      <c r="M33" s="28">
        <f t="shared" si="0"/>
        <v>44013.846410087717</v>
      </c>
      <c r="N33" s="28">
        <f t="shared" si="0"/>
        <v>44216.447910087714</v>
      </c>
      <c r="O33" s="28">
        <f t="shared" si="0"/>
        <v>44013.846410087717</v>
      </c>
      <c r="P33" s="28">
        <f t="shared" ref="P33:Q33" si="1">SUM(P8:P30)</f>
        <v>57415.250588659146</v>
      </c>
      <c r="Q33" s="28">
        <f t="shared" si="1"/>
        <v>49910.368910087716</v>
      </c>
      <c r="R33" s="28">
        <f>SUM(D33:Q33)</f>
        <v>603440.4735811404</v>
      </c>
      <c r="S33" s="38"/>
      <c r="T33" s="28">
        <f>R33/$E$42</f>
        <v>30172.02367905702</v>
      </c>
      <c r="U33" s="22"/>
      <c r="V33" s="274">
        <f>SERVICIO!B166</f>
        <v>603440.4735811404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07" t="s">
        <v>50</v>
      </c>
      <c r="B35" s="307"/>
      <c r="C35" s="20"/>
      <c r="D35" s="28">
        <f>D8</f>
        <v>0</v>
      </c>
      <c r="E35" s="28">
        <f t="shared" ref="E35:O35" si="2">E8</f>
        <v>0</v>
      </c>
      <c r="F35" s="28">
        <f t="shared" si="2"/>
        <v>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0</v>
      </c>
      <c r="S35" s="38"/>
      <c r="T35" s="28">
        <f>R35/$E$42</f>
        <v>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07" t="s">
        <v>51</v>
      </c>
      <c r="B37" s="307"/>
      <c r="C37" s="20"/>
      <c r="D37" s="28">
        <f>+D33-D35</f>
        <v>0</v>
      </c>
      <c r="E37" s="28">
        <f t="shared" ref="E37:O37" si="4">+E33-E35</f>
        <v>45810.368910087716</v>
      </c>
      <c r="F37" s="28">
        <f t="shared" si="4"/>
        <v>44381.447910087714</v>
      </c>
      <c r="G37" s="28">
        <f t="shared" si="4"/>
        <v>44013.846410087717</v>
      </c>
      <c r="H37" s="28">
        <f t="shared" si="4"/>
        <v>46466.447910087714</v>
      </c>
      <c r="I37" s="28">
        <f t="shared" si="4"/>
        <v>49034.33748151629</v>
      </c>
      <c r="J37" s="28">
        <f t="shared" si="4"/>
        <v>45067.022910087711</v>
      </c>
      <c r="K37" s="28">
        <f t="shared" si="4"/>
        <v>44877.793910087719</v>
      </c>
      <c r="L37" s="28">
        <f t="shared" si="4"/>
        <v>44219.447910087714</v>
      </c>
      <c r="M37" s="28">
        <f t="shared" si="4"/>
        <v>44013.846410087717</v>
      </c>
      <c r="N37" s="28">
        <f t="shared" si="4"/>
        <v>44216.447910087714</v>
      </c>
      <c r="O37" s="28">
        <f t="shared" si="4"/>
        <v>44013.846410087717</v>
      </c>
      <c r="P37" s="28">
        <f t="shared" ref="P37:Q37" si="5">+P33-P35</f>
        <v>57415.250588659146</v>
      </c>
      <c r="Q37" s="28">
        <f t="shared" si="5"/>
        <v>49910.368910087716</v>
      </c>
      <c r="R37" s="28">
        <f>SUM(D37:Q37)</f>
        <v>603440.4735811404</v>
      </c>
      <c r="S37" s="38"/>
      <c r="T37" s="28">
        <f>R37/$E$42</f>
        <v>30172.02367905702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07" t="s">
        <v>75</v>
      </c>
      <c r="B39" s="307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14" t="s">
        <v>386</v>
      </c>
      <c r="E41" s="315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16" t="s">
        <v>345</v>
      </c>
      <c r="E48" s="317"/>
    </row>
    <row r="49" spans="4:17" ht="23" customHeight="1" thickBot="1" x14ac:dyDescent="0.5">
      <c r="D49" s="318"/>
      <c r="E49" s="319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D41:E41"/>
    <mergeCell ref="D48:E49"/>
    <mergeCell ref="A24:B24"/>
    <mergeCell ref="A26:B26"/>
    <mergeCell ref="A28:B28"/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55" zoomScaleNormal="90" workbookViewId="0">
      <pane xSplit="9" ySplit="6" topLeftCell="K7" activePane="bottomRight" state="frozen"/>
      <selection pane="topRight" activeCell="I1" sqref="I1"/>
      <selection pane="bottomLeft" activeCell="A6" sqref="A6"/>
      <selection pane="bottomRight" activeCell="E13" sqref="E13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4" t="s">
        <v>386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5" t="s">
        <v>262</v>
      </c>
      <c r="C4" s="325" t="s">
        <v>24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440</v>
      </c>
      <c r="D9" s="225" t="s">
        <v>413</v>
      </c>
      <c r="E9" s="111">
        <v>0</v>
      </c>
      <c r="F9" s="299">
        <v>602.49599999999998</v>
      </c>
      <c r="G9" s="236">
        <f>F9*E9</f>
        <v>0</v>
      </c>
      <c r="H9" s="112">
        <f>F9*$I$23</f>
        <v>12049.92</v>
      </c>
      <c r="I9" s="251">
        <f>E9*H9</f>
        <v>0</v>
      </c>
      <c r="J9" s="95"/>
      <c r="K9" s="209">
        <v>0</v>
      </c>
      <c r="L9" s="219">
        <f>$G$9*L6</f>
        <v>0</v>
      </c>
      <c r="M9" s="219">
        <f t="shared" ref="M9:X9" si="0">$G$9*M6</f>
        <v>0</v>
      </c>
      <c r="N9" s="219">
        <f t="shared" si="0"/>
        <v>0</v>
      </c>
      <c r="O9" s="219">
        <f t="shared" si="0"/>
        <v>0</v>
      </c>
      <c r="P9" s="219">
        <f t="shared" si="0"/>
        <v>0</v>
      </c>
      <c r="Q9" s="219">
        <f t="shared" si="0"/>
        <v>0</v>
      </c>
      <c r="R9" s="219">
        <f t="shared" si="0"/>
        <v>0</v>
      </c>
      <c r="S9" s="219">
        <f t="shared" si="0"/>
        <v>0</v>
      </c>
      <c r="T9" s="219">
        <f t="shared" si="0"/>
        <v>0</v>
      </c>
      <c r="U9" s="219">
        <f t="shared" si="0"/>
        <v>0</v>
      </c>
      <c r="V9" s="219">
        <f t="shared" si="0"/>
        <v>0</v>
      </c>
      <c r="W9" s="219">
        <f t="shared" si="0"/>
        <v>0</v>
      </c>
      <c r="X9" s="219">
        <f t="shared" si="0"/>
        <v>0</v>
      </c>
    </row>
    <row r="10" spans="1:24" ht="34" customHeight="1" x14ac:dyDescent="0.35">
      <c r="A10" s="13"/>
      <c r="B10" s="294">
        <v>2</v>
      </c>
      <c r="C10" s="168" t="s">
        <v>441</v>
      </c>
      <c r="D10" s="225" t="s">
        <v>413</v>
      </c>
      <c r="E10" s="111">
        <v>1</v>
      </c>
      <c r="F10" s="299">
        <v>470.01</v>
      </c>
      <c r="G10" s="236">
        <f t="shared" ref="G10:G14" si="1">F10*E10</f>
        <v>470.01</v>
      </c>
      <c r="H10" s="112">
        <f>F10*$I$23</f>
        <v>9400.2000000000007</v>
      </c>
      <c r="I10" s="251">
        <f t="shared" ref="I10:I14" si="2">E10*H10</f>
        <v>9400.2000000000007</v>
      </c>
      <c r="J10" s="95"/>
      <c r="K10" s="209">
        <v>0</v>
      </c>
      <c r="L10" s="219">
        <f>$G$10*L6</f>
        <v>14570.31</v>
      </c>
      <c r="M10" s="219">
        <f t="shared" ref="M10:X10" si="3">$G$10*M6</f>
        <v>13160.279999999999</v>
      </c>
      <c r="N10" s="219">
        <f t="shared" si="3"/>
        <v>14570.31</v>
      </c>
      <c r="O10" s="219">
        <f t="shared" si="3"/>
        <v>14100.3</v>
      </c>
      <c r="P10" s="219">
        <f t="shared" si="3"/>
        <v>14570.31</v>
      </c>
      <c r="Q10" s="219">
        <f t="shared" si="3"/>
        <v>14100.3</v>
      </c>
      <c r="R10" s="219">
        <f t="shared" si="3"/>
        <v>14570.31</v>
      </c>
      <c r="S10" s="219">
        <f t="shared" si="3"/>
        <v>14570.31</v>
      </c>
      <c r="T10" s="219">
        <f t="shared" si="3"/>
        <v>14100.3</v>
      </c>
      <c r="U10" s="219">
        <f t="shared" si="3"/>
        <v>14570.31</v>
      </c>
      <c r="V10" s="219">
        <f t="shared" si="3"/>
        <v>14100.3</v>
      </c>
      <c r="W10" s="219">
        <f t="shared" si="3"/>
        <v>14570.31</v>
      </c>
      <c r="X10" s="219">
        <f t="shared" si="3"/>
        <v>14570.31</v>
      </c>
    </row>
    <row r="11" spans="1:24" ht="34" customHeight="1" x14ac:dyDescent="0.35">
      <c r="A11" s="13"/>
      <c r="B11" s="294">
        <v>3</v>
      </c>
      <c r="C11" s="168" t="s">
        <v>442</v>
      </c>
      <c r="D11" s="225" t="s">
        <v>413</v>
      </c>
      <c r="E11" s="111">
        <v>1</v>
      </c>
      <c r="F11" s="299">
        <v>1662.32</v>
      </c>
      <c r="G11" s="236">
        <f t="shared" si="1"/>
        <v>1662.32</v>
      </c>
      <c r="H11" s="112">
        <f>F11*$I$23</f>
        <v>33246.400000000001</v>
      </c>
      <c r="I11" s="251">
        <f t="shared" si="2"/>
        <v>33246.400000000001</v>
      </c>
      <c r="J11" s="95"/>
      <c r="K11" s="209">
        <v>0</v>
      </c>
      <c r="L11" s="219">
        <f>$G$11*L6</f>
        <v>51531.92</v>
      </c>
      <c r="M11" s="219">
        <f t="shared" ref="M11:X11" si="4">$G$11*M6</f>
        <v>46544.959999999999</v>
      </c>
      <c r="N11" s="219">
        <f t="shared" si="4"/>
        <v>51531.92</v>
      </c>
      <c r="O11" s="219">
        <f t="shared" si="4"/>
        <v>49869.599999999999</v>
      </c>
      <c r="P11" s="219">
        <f t="shared" si="4"/>
        <v>51531.92</v>
      </c>
      <c r="Q11" s="219">
        <f t="shared" si="4"/>
        <v>49869.599999999999</v>
      </c>
      <c r="R11" s="219">
        <f t="shared" si="4"/>
        <v>51531.92</v>
      </c>
      <c r="S11" s="219">
        <f t="shared" si="4"/>
        <v>51531.92</v>
      </c>
      <c r="T11" s="219">
        <f t="shared" si="4"/>
        <v>49869.599999999999</v>
      </c>
      <c r="U11" s="219">
        <f t="shared" si="4"/>
        <v>51531.92</v>
      </c>
      <c r="V11" s="219">
        <f t="shared" si="4"/>
        <v>49869.599999999999</v>
      </c>
      <c r="W11" s="219">
        <f t="shared" si="4"/>
        <v>51531.92</v>
      </c>
      <c r="X11" s="219">
        <f t="shared" si="4"/>
        <v>51531.92</v>
      </c>
    </row>
    <row r="12" spans="1:24" ht="34" customHeight="1" x14ac:dyDescent="0.35">
      <c r="A12" s="13"/>
      <c r="B12" s="294">
        <v>4</v>
      </c>
      <c r="C12" s="168" t="s">
        <v>439</v>
      </c>
      <c r="D12" s="225" t="s">
        <v>413</v>
      </c>
      <c r="E12" s="111">
        <v>0</v>
      </c>
      <c r="F12" s="299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438</v>
      </c>
      <c r="D13" s="225" t="s">
        <v>413</v>
      </c>
      <c r="E13" s="111">
        <v>1</v>
      </c>
      <c r="F13" s="299">
        <v>227.38</v>
      </c>
      <c r="G13" s="236">
        <f t="shared" si="1"/>
        <v>227.38</v>
      </c>
      <c r="H13" s="112">
        <f>F13*$I$23</f>
        <v>4547.6000000000004</v>
      </c>
      <c r="I13" s="251">
        <f t="shared" si="2"/>
        <v>4547.6000000000004</v>
      </c>
      <c r="J13" s="95"/>
      <c r="K13" s="209">
        <v>0</v>
      </c>
      <c r="L13" s="219">
        <f>$G$13*L6</f>
        <v>7048.78</v>
      </c>
      <c r="M13" s="219">
        <f t="shared" ref="M13:X13" si="6">$G$13*M6</f>
        <v>6366.6399999999994</v>
      </c>
      <c r="N13" s="219">
        <f t="shared" si="6"/>
        <v>7048.78</v>
      </c>
      <c r="O13" s="219">
        <f t="shared" si="6"/>
        <v>6821.4</v>
      </c>
      <c r="P13" s="219">
        <f t="shared" si="6"/>
        <v>7048.78</v>
      </c>
      <c r="Q13" s="219">
        <f t="shared" si="6"/>
        <v>6821.4</v>
      </c>
      <c r="R13" s="219">
        <f t="shared" si="6"/>
        <v>7048.78</v>
      </c>
      <c r="S13" s="219">
        <f t="shared" si="6"/>
        <v>7048.78</v>
      </c>
      <c r="T13" s="219">
        <f t="shared" si="6"/>
        <v>6821.4</v>
      </c>
      <c r="U13" s="219">
        <f t="shared" si="6"/>
        <v>7048.78</v>
      </c>
      <c r="V13" s="219">
        <f t="shared" si="6"/>
        <v>6821.4</v>
      </c>
      <c r="W13" s="219">
        <f t="shared" si="6"/>
        <v>7048.78</v>
      </c>
      <c r="X13" s="219">
        <f t="shared" si="6"/>
        <v>7048.78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6" t="s">
        <v>402</v>
      </c>
      <c r="I17" s="327"/>
      <c r="J17" s="95"/>
      <c r="K17" s="210">
        <f t="shared" ref="K17:X17" si="9">SUM(K9:K15)</f>
        <v>0</v>
      </c>
      <c r="L17" s="210">
        <f t="shared" si="9"/>
        <v>73151.009999999995</v>
      </c>
      <c r="M17" s="210">
        <f t="shared" si="9"/>
        <v>66071.88</v>
      </c>
      <c r="N17" s="210">
        <f t="shared" si="9"/>
        <v>73151.009999999995</v>
      </c>
      <c r="O17" s="210">
        <f t="shared" si="9"/>
        <v>70791.299999999988</v>
      </c>
      <c r="P17" s="210">
        <f t="shared" si="9"/>
        <v>73151.009999999995</v>
      </c>
      <c r="Q17" s="210">
        <f t="shared" si="9"/>
        <v>70791.299999999988</v>
      </c>
      <c r="R17" s="210">
        <f t="shared" si="9"/>
        <v>73151.009999999995</v>
      </c>
      <c r="S17" s="210">
        <f t="shared" si="9"/>
        <v>73151.009999999995</v>
      </c>
      <c r="T17" s="210">
        <f t="shared" si="9"/>
        <v>70791.299999999988</v>
      </c>
      <c r="U17" s="210">
        <f t="shared" si="9"/>
        <v>73151.009999999995</v>
      </c>
      <c r="V17" s="210">
        <f t="shared" si="9"/>
        <v>70791.299999999988</v>
      </c>
      <c r="W17" s="210">
        <f t="shared" si="9"/>
        <v>73151.009999999995</v>
      </c>
      <c r="X17" s="210">
        <f t="shared" si="9"/>
        <v>73151.009999999995</v>
      </c>
    </row>
    <row r="18" spans="2:24" ht="20" customHeight="1" x14ac:dyDescent="0.35">
      <c r="B18"/>
      <c r="F18" s="109"/>
      <c r="G18" s="109"/>
      <c r="H18" s="328" t="s">
        <v>397</v>
      </c>
      <c r="I18" s="329"/>
      <c r="J18" s="95"/>
      <c r="K18" s="211">
        <f>K17/$I$23</f>
        <v>0</v>
      </c>
      <c r="L18" s="211">
        <f>L17*$I$23</f>
        <v>1463020.2</v>
      </c>
      <c r="M18" s="211">
        <f t="shared" ref="M18:X18" si="10">M17*$I$23</f>
        <v>1321437.6000000001</v>
      </c>
      <c r="N18" s="211">
        <f t="shared" si="10"/>
        <v>1463020.2</v>
      </c>
      <c r="O18" s="211">
        <f t="shared" si="10"/>
        <v>1415825.9999999998</v>
      </c>
      <c r="P18" s="211">
        <f t="shared" si="10"/>
        <v>1463020.2</v>
      </c>
      <c r="Q18" s="211">
        <f t="shared" si="10"/>
        <v>1415825.9999999998</v>
      </c>
      <c r="R18" s="211">
        <f t="shared" si="10"/>
        <v>1463020.2</v>
      </c>
      <c r="S18" s="211">
        <f t="shared" si="10"/>
        <v>1463020.2</v>
      </c>
      <c r="T18" s="211">
        <f t="shared" si="10"/>
        <v>1415825.9999999998</v>
      </c>
      <c r="U18" s="211">
        <f t="shared" si="10"/>
        <v>1463020.2</v>
      </c>
      <c r="V18" s="211">
        <f t="shared" si="10"/>
        <v>1415825.9999999998</v>
      </c>
      <c r="W18" s="211">
        <f t="shared" si="10"/>
        <v>1463020.2</v>
      </c>
      <c r="X18" s="211">
        <f t="shared" si="10"/>
        <v>1463020.2</v>
      </c>
    </row>
    <row r="19" spans="2:24" ht="20" customHeight="1" x14ac:dyDescent="0.35">
      <c r="H19" s="326" t="s">
        <v>403</v>
      </c>
      <c r="I19" s="327"/>
      <c r="J19" s="95"/>
      <c r="K19" s="210">
        <f>SUM(K17:X17)</f>
        <v>934445.16000000015</v>
      </c>
    </row>
    <row r="20" spans="2:24" ht="19" customHeight="1" x14ac:dyDescent="0.35">
      <c r="F20" s="109"/>
      <c r="G20" s="109"/>
      <c r="H20" s="328" t="s">
        <v>256</v>
      </c>
      <c r="I20" s="329"/>
      <c r="J20" s="95"/>
      <c r="K20" s="226">
        <f>SUM(K18:X18)</f>
        <v>18688903.199999996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1" t="s">
        <v>386</v>
      </c>
      <c r="I22" s="302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30" t="s">
        <v>345</v>
      </c>
      <c r="I29" s="331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2"/>
      <c r="I30" s="333"/>
      <c r="J30" s="95"/>
      <c r="M30" s="109"/>
      <c r="N30" s="109"/>
      <c r="O30" s="109"/>
      <c r="P30" s="109"/>
      <c r="Q30" s="109"/>
    </row>
    <row r="31" spans="2:24" ht="20" customHeight="1" x14ac:dyDescent="0.35">
      <c r="H31" s="322" t="s">
        <v>414</v>
      </c>
      <c r="I31" s="323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68" zoomScaleNormal="90" zoomScalePageLayoutView="11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F10" sqref="F10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4" t="s">
        <v>8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5" t="s">
        <v>263</v>
      </c>
      <c r="C4" s="335" t="s">
        <v>241</v>
      </c>
      <c r="D4" s="335" t="s">
        <v>9</v>
      </c>
      <c r="E4" s="335" t="s">
        <v>23</v>
      </c>
      <c r="F4" s="335" t="s">
        <v>2</v>
      </c>
      <c r="G4" s="336" t="s">
        <v>239</v>
      </c>
      <c r="H4" s="336" t="s">
        <v>344</v>
      </c>
      <c r="I4" s="336" t="s">
        <v>240</v>
      </c>
      <c r="J4" s="336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5"/>
      <c r="C5" s="335"/>
      <c r="D5" s="335"/>
      <c r="E5" s="335"/>
      <c r="F5" s="335"/>
      <c r="G5" s="337"/>
      <c r="H5" s="337" t="s">
        <v>344</v>
      </c>
      <c r="I5" s="337" t="s">
        <v>240</v>
      </c>
      <c r="J5" s="337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5"/>
      <c r="C6" s="335"/>
      <c r="D6" s="335"/>
      <c r="E6" s="335"/>
      <c r="F6" s="335"/>
      <c r="G6" s="338"/>
      <c r="H6" s="338" t="s">
        <v>242</v>
      </c>
      <c r="I6" s="338" t="s">
        <v>243</v>
      </c>
      <c r="J6" s="338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0</v>
      </c>
      <c r="G7" s="236">
        <f>PREMISAS!F9</f>
        <v>602.49599999999998</v>
      </c>
      <c r="H7" s="251">
        <f>PREMISAS!G9</f>
        <v>0</v>
      </c>
      <c r="I7" s="228">
        <f>PREMISAS!H9</f>
        <v>12049.92</v>
      </c>
      <c r="J7" s="251">
        <f>PREMISAS!I9</f>
        <v>0</v>
      </c>
      <c r="K7" s="223">
        <f>J7*1.16</f>
        <v>0</v>
      </c>
      <c r="M7" s="230">
        <f>PREMISAS!K9</f>
        <v>0</v>
      </c>
      <c r="N7" s="230">
        <f>PREMISAS!L9</f>
        <v>0</v>
      </c>
      <c r="O7" s="230">
        <f>PREMISAS!M9</f>
        <v>0</v>
      </c>
      <c r="P7" s="230">
        <f>PREMISAS!N9</f>
        <v>0</v>
      </c>
      <c r="Q7" s="230">
        <f>PREMISAS!O9</f>
        <v>0</v>
      </c>
      <c r="R7" s="230">
        <f>PREMISAS!P9</f>
        <v>0</v>
      </c>
      <c r="S7" s="230">
        <f>PREMISAS!Q9</f>
        <v>0</v>
      </c>
      <c r="T7" s="230">
        <f>PREMISAS!R9</f>
        <v>0</v>
      </c>
      <c r="U7" s="230">
        <f>PREMISAS!S9</f>
        <v>0</v>
      </c>
      <c r="V7" s="230">
        <f>PREMISAS!T9</f>
        <v>0</v>
      </c>
      <c r="W7" s="230">
        <f>PREMISAS!U9</f>
        <v>0</v>
      </c>
      <c r="X7" s="230">
        <f>PREMISAS!V9</f>
        <v>0</v>
      </c>
      <c r="Y7" s="230">
        <f>PREMISAS!W9</f>
        <v>0</v>
      </c>
      <c r="Z7" s="230">
        <f>PREMISAS!X9</f>
        <v>0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1</v>
      </c>
      <c r="G8" s="236">
        <f>PREMISAS!F10</f>
        <v>470.01</v>
      </c>
      <c r="H8" s="251">
        <f>PREMISAS!G10</f>
        <v>470.01</v>
      </c>
      <c r="I8" s="228">
        <f>PREMISAS!H10</f>
        <v>9400.2000000000007</v>
      </c>
      <c r="J8" s="251">
        <f>PREMISAS!I10</f>
        <v>9400.2000000000007</v>
      </c>
      <c r="K8" s="223">
        <f t="shared" ref="K8:K12" si="0">J8*1.16</f>
        <v>10904.232</v>
      </c>
      <c r="M8" s="230">
        <f>PREMISAS!K10</f>
        <v>0</v>
      </c>
      <c r="N8" s="230">
        <f>PREMISAS!L10</f>
        <v>14570.31</v>
      </c>
      <c r="O8" s="230">
        <f>PREMISAS!M10</f>
        <v>13160.279999999999</v>
      </c>
      <c r="P8" s="230">
        <f>PREMISAS!N10</f>
        <v>14570.31</v>
      </c>
      <c r="Q8" s="230">
        <f>PREMISAS!O10</f>
        <v>14100.3</v>
      </c>
      <c r="R8" s="230">
        <f>PREMISAS!P10</f>
        <v>14570.31</v>
      </c>
      <c r="S8" s="230">
        <f>PREMISAS!Q10</f>
        <v>14100.3</v>
      </c>
      <c r="T8" s="230">
        <f>PREMISAS!R10</f>
        <v>14570.31</v>
      </c>
      <c r="U8" s="230">
        <f>PREMISAS!S10</f>
        <v>14570.31</v>
      </c>
      <c r="V8" s="230">
        <f>PREMISAS!T10</f>
        <v>14100.3</v>
      </c>
      <c r="W8" s="230">
        <f>PREMISAS!U10</f>
        <v>14570.31</v>
      </c>
      <c r="X8" s="230">
        <f>PREMISAS!V10</f>
        <v>14100.3</v>
      </c>
      <c r="Y8" s="230">
        <f>PREMISAS!W10</f>
        <v>14570.31</v>
      </c>
      <c r="Z8" s="230">
        <f>PREMISAS!X10</f>
        <v>14570.31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1</v>
      </c>
      <c r="G9" s="236">
        <f>PREMISAS!F11</f>
        <v>1662.32</v>
      </c>
      <c r="H9" s="251">
        <f>PREMISAS!G11</f>
        <v>1662.32</v>
      </c>
      <c r="I9" s="228">
        <f>PREMISAS!H11</f>
        <v>33246.400000000001</v>
      </c>
      <c r="J9" s="251">
        <f>PREMISAS!I11</f>
        <v>33246.400000000001</v>
      </c>
      <c r="K9" s="223">
        <f t="shared" si="0"/>
        <v>38565.824000000001</v>
      </c>
      <c r="M9" s="230">
        <f>PREMISAS!K11</f>
        <v>0</v>
      </c>
      <c r="N9" s="230">
        <f>PREMISAS!L11</f>
        <v>51531.92</v>
      </c>
      <c r="O9" s="230">
        <f>PREMISAS!M11</f>
        <v>46544.959999999999</v>
      </c>
      <c r="P9" s="230">
        <f>PREMISAS!N11</f>
        <v>51531.92</v>
      </c>
      <c r="Q9" s="230">
        <f>PREMISAS!O11</f>
        <v>49869.599999999999</v>
      </c>
      <c r="R9" s="230">
        <f>PREMISAS!P11</f>
        <v>51531.92</v>
      </c>
      <c r="S9" s="230">
        <f>PREMISAS!Q11</f>
        <v>49869.599999999999</v>
      </c>
      <c r="T9" s="230">
        <f>PREMISAS!R11</f>
        <v>51531.92</v>
      </c>
      <c r="U9" s="230">
        <f>PREMISAS!S11</f>
        <v>51531.92</v>
      </c>
      <c r="V9" s="230">
        <f>PREMISAS!T11</f>
        <v>49869.599999999999</v>
      </c>
      <c r="W9" s="230">
        <f>PREMISAS!U11</f>
        <v>51531.92</v>
      </c>
      <c r="X9" s="230">
        <f>PREMISAS!V11</f>
        <v>49869.599999999999</v>
      </c>
      <c r="Y9" s="230">
        <f>PREMISAS!W11</f>
        <v>51531.92</v>
      </c>
      <c r="Z9" s="230">
        <f>PREMISAS!X11</f>
        <v>51531.92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f>PREMISAS!E12</f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1</v>
      </c>
      <c r="G11" s="236">
        <f>PREMISAS!F13</f>
        <v>227.38</v>
      </c>
      <c r="H11" s="251">
        <f>PREMISAS!G13</f>
        <v>227.38</v>
      </c>
      <c r="I11" s="228">
        <f>PREMISAS!H13</f>
        <v>4547.6000000000004</v>
      </c>
      <c r="J11" s="251">
        <f>PREMISAS!I13</f>
        <v>4547.6000000000004</v>
      </c>
      <c r="K11" s="223">
        <f t="shared" si="0"/>
        <v>5275.2160000000003</v>
      </c>
      <c r="M11" s="230">
        <f>PREMISAS!K13</f>
        <v>0</v>
      </c>
      <c r="N11" s="230">
        <f>PREMISAS!L13</f>
        <v>7048.78</v>
      </c>
      <c r="O11" s="230">
        <f>PREMISAS!M13</f>
        <v>6366.6399999999994</v>
      </c>
      <c r="P11" s="230">
        <f>PREMISAS!N13</f>
        <v>7048.78</v>
      </c>
      <c r="Q11" s="230">
        <f>PREMISAS!O13</f>
        <v>6821.4</v>
      </c>
      <c r="R11" s="230">
        <f>PREMISAS!P13</f>
        <v>7048.78</v>
      </c>
      <c r="S11" s="230">
        <f>PREMISAS!Q13</f>
        <v>6821.4</v>
      </c>
      <c r="T11" s="230">
        <f>PREMISAS!R13</f>
        <v>7048.78</v>
      </c>
      <c r="U11" s="230">
        <f>PREMISAS!S13</f>
        <v>7048.78</v>
      </c>
      <c r="V11" s="230">
        <f>PREMISAS!T13</f>
        <v>6821.4</v>
      </c>
      <c r="W11" s="230">
        <f>PREMISAS!U13</f>
        <v>7048.78</v>
      </c>
      <c r="X11" s="230">
        <f>PREMISAS!V13</f>
        <v>6821.4</v>
      </c>
      <c r="Y11" s="230">
        <f>PREMISAS!W13</f>
        <v>7048.78</v>
      </c>
      <c r="Z11" s="230">
        <f>PREMISAS!X13</f>
        <v>7048.78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6" t="s">
        <v>402</v>
      </c>
      <c r="K15" s="327"/>
      <c r="L15" s="95"/>
      <c r="M15" s="210">
        <f t="shared" ref="M15:Z15" si="1">SUM(M7:M13)</f>
        <v>0</v>
      </c>
      <c r="N15" s="210">
        <f t="shared" si="1"/>
        <v>73151.009999999995</v>
      </c>
      <c r="O15" s="210">
        <f t="shared" si="1"/>
        <v>66071.88</v>
      </c>
      <c r="P15" s="210">
        <f t="shared" si="1"/>
        <v>73151.009999999995</v>
      </c>
      <c r="Q15" s="210">
        <f t="shared" si="1"/>
        <v>70791.299999999988</v>
      </c>
      <c r="R15" s="210">
        <f t="shared" si="1"/>
        <v>73151.009999999995</v>
      </c>
      <c r="S15" s="210">
        <f t="shared" si="1"/>
        <v>70791.299999999988</v>
      </c>
      <c r="T15" s="210">
        <f t="shared" si="1"/>
        <v>73151.009999999995</v>
      </c>
      <c r="U15" s="210">
        <f t="shared" si="1"/>
        <v>73151.009999999995</v>
      </c>
      <c r="V15" s="210">
        <f t="shared" si="1"/>
        <v>70791.299999999988</v>
      </c>
      <c r="W15" s="210">
        <f t="shared" si="1"/>
        <v>73151.009999999995</v>
      </c>
      <c r="X15" s="210">
        <f t="shared" si="1"/>
        <v>70791.299999999988</v>
      </c>
      <c r="Y15" s="210">
        <f t="shared" si="1"/>
        <v>73151.009999999995</v>
      </c>
      <c r="Z15" s="210">
        <f t="shared" si="1"/>
        <v>73151.009999999995</v>
      </c>
    </row>
    <row r="16" spans="1:26" ht="20" customHeight="1" x14ac:dyDescent="0.35">
      <c r="A16" s="18"/>
      <c r="D16" s="4"/>
      <c r="E16" s="4"/>
      <c r="F16" s="4"/>
      <c r="J16" s="328" t="s">
        <v>397</v>
      </c>
      <c r="K16" s="329"/>
      <c r="L16" s="95"/>
      <c r="M16" s="211">
        <f>M15/$K$21</f>
        <v>0</v>
      </c>
      <c r="N16" s="211">
        <f>N15*$K$21</f>
        <v>1463020.2</v>
      </c>
      <c r="O16" s="211">
        <f t="shared" ref="O16:Z16" si="2">O15*$K$21</f>
        <v>1321437.6000000001</v>
      </c>
      <c r="P16" s="211">
        <f t="shared" si="2"/>
        <v>1463020.2</v>
      </c>
      <c r="Q16" s="211">
        <f t="shared" si="2"/>
        <v>1415825.9999999998</v>
      </c>
      <c r="R16" s="211">
        <f t="shared" si="2"/>
        <v>1463020.2</v>
      </c>
      <c r="S16" s="211">
        <f t="shared" si="2"/>
        <v>1415825.9999999998</v>
      </c>
      <c r="T16" s="211">
        <f t="shared" si="2"/>
        <v>1463020.2</v>
      </c>
      <c r="U16" s="211">
        <f t="shared" si="2"/>
        <v>1463020.2</v>
      </c>
      <c r="V16" s="211">
        <f t="shared" si="2"/>
        <v>1415825.9999999998</v>
      </c>
      <c r="W16" s="211">
        <f t="shared" si="2"/>
        <v>1463020.2</v>
      </c>
      <c r="X16" s="211">
        <f t="shared" si="2"/>
        <v>1415825.9999999998</v>
      </c>
      <c r="Y16" s="211">
        <f t="shared" si="2"/>
        <v>1463020.2</v>
      </c>
      <c r="Z16" s="211">
        <f t="shared" si="2"/>
        <v>1463020.2</v>
      </c>
    </row>
    <row r="17" spans="1:26" ht="20" customHeight="1" x14ac:dyDescent="0.35">
      <c r="A17" s="18"/>
      <c r="D17" s="4"/>
      <c r="E17" s="4"/>
      <c r="F17" s="4"/>
      <c r="J17" s="326" t="s">
        <v>403</v>
      </c>
      <c r="K17" s="327"/>
      <c r="L17" s="95"/>
      <c r="M17" s="210">
        <f>SUM(M15:Z15)</f>
        <v>934445.16000000015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8" t="s">
        <v>256</v>
      </c>
      <c r="K18" s="329"/>
      <c r="L18" s="95"/>
      <c r="M18" s="226">
        <f>SUM(M16:Z16)</f>
        <v>18688903.199999996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1" t="str">
        <f>PREMISAS!H22</f>
        <v>PREMISAS</v>
      </c>
      <c r="K20" s="30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30" t="s">
        <v>345</v>
      </c>
      <c r="K27" s="331"/>
    </row>
    <row r="28" spans="1:26" ht="20" customHeight="1" thickBot="1" x14ac:dyDescent="0.4">
      <c r="J28" s="332"/>
      <c r="K28" s="333"/>
    </row>
  </sheetData>
  <mergeCells count="17">
    <mergeCell ref="J16:K16"/>
    <mergeCell ref="J17:K17"/>
    <mergeCell ref="J18:K18"/>
    <mergeCell ref="J27:K28"/>
    <mergeCell ref="J20:K20"/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90" zoomScaleNormal="90" workbookViewId="0">
      <pane xSplit="10" ySplit="6" topLeftCell="K7" activePane="bottomRight" state="frozen"/>
      <selection pane="topRight" activeCell="J1" sqref="J1"/>
      <selection pane="bottomLeft" activeCell="A8" sqref="A8"/>
      <selection pane="bottomRight" activeCell="E8" sqref="E8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5" t="s">
        <v>263</v>
      </c>
      <c r="C4" s="334" t="s">
        <v>245</v>
      </c>
      <c r="D4" s="335" t="s">
        <v>23</v>
      </c>
      <c r="E4" s="33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5"/>
      <c r="C5" s="334"/>
      <c r="D5" s="335"/>
      <c r="E5" s="335"/>
      <c r="F5" s="325"/>
      <c r="G5" s="325" t="s">
        <v>344</v>
      </c>
      <c r="H5" s="325" t="s">
        <v>240</v>
      </c>
      <c r="I5" s="325" t="s">
        <v>256</v>
      </c>
      <c r="J5" s="33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5"/>
      <c r="C6" s="334"/>
      <c r="D6" s="335"/>
      <c r="E6" s="33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443</v>
      </c>
      <c r="D7" s="232"/>
      <c r="E7" s="222">
        <v>0</v>
      </c>
      <c r="F7" s="223">
        <v>31800</v>
      </c>
      <c r="G7" s="236">
        <f>E7*F7</f>
        <v>0</v>
      </c>
      <c r="H7" s="223">
        <f>F7*$J$46</f>
        <v>636000</v>
      </c>
      <c r="I7" s="251">
        <f>E7*H7</f>
        <v>0</v>
      </c>
      <c r="J7" s="223">
        <f>I7*1.16</f>
        <v>0</v>
      </c>
      <c r="L7" s="223">
        <v>0</v>
      </c>
      <c r="M7" s="223">
        <v>0</v>
      </c>
      <c r="N7" s="223">
        <f>G7</f>
        <v>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6" t="s">
        <v>402</v>
      </c>
      <c r="J40" s="327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8" t="s">
        <v>397</v>
      </c>
      <c r="J41" s="329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6" t="s">
        <v>403</v>
      </c>
      <c r="J42" s="327"/>
      <c r="K42" s="95"/>
      <c r="L42" s="210">
        <f>SUM(L40:Y40)</f>
        <v>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8" t="s">
        <v>256</v>
      </c>
      <c r="J43" s="329"/>
      <c r="K43" s="95"/>
      <c r="L43" s="226">
        <f>SUM(L41:Y41)</f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1" t="str">
        <f>'F08 INGRESOS'!J20</f>
        <v>PREMISAS</v>
      </c>
      <c r="J45" s="302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30" t="s">
        <v>345</v>
      </c>
      <c r="J52" s="331"/>
    </row>
    <row r="53" spans="2:10" ht="16" thickBot="1" x14ac:dyDescent="0.4">
      <c r="B53"/>
      <c r="C53"/>
      <c r="D53"/>
      <c r="E53"/>
      <c r="F53"/>
      <c r="G53"/>
      <c r="H53"/>
      <c r="I53" s="332"/>
      <c r="J53" s="33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I52:J53"/>
    <mergeCell ref="I40:J40"/>
    <mergeCell ref="I41:J41"/>
    <mergeCell ref="I42:J42"/>
    <mergeCell ref="I43:J43"/>
    <mergeCell ref="I45:J45"/>
    <mergeCell ref="J4:J5"/>
    <mergeCell ref="E4:E6"/>
    <mergeCell ref="B4:B6"/>
    <mergeCell ref="D4:D6"/>
    <mergeCell ref="C4:C6"/>
    <mergeCell ref="F4:F6"/>
    <mergeCell ref="G4:G6"/>
    <mergeCell ref="H4:H6"/>
    <mergeCell ref="I4:I6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108" zoomScaleNormal="70" workbookViewId="0">
      <pane xSplit="20" ySplit="3" topLeftCell="U4" activePane="bottomRight" state="frozen"/>
      <selection pane="topRight" activeCell="U1" sqref="U1"/>
      <selection pane="bottomLeft" activeCell="A4" sqref="A4"/>
      <selection pane="bottomRight" activeCell="C7" sqref="C7:D11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7.7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4" t="s">
        <v>278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5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252</v>
      </c>
      <c r="H4" s="325" t="s">
        <v>271</v>
      </c>
      <c r="I4" s="325" t="s">
        <v>253</v>
      </c>
      <c r="K4" s="340" t="s">
        <v>246</v>
      </c>
      <c r="L4" s="341" t="s">
        <v>247</v>
      </c>
      <c r="M4" s="342" t="s">
        <v>250</v>
      </c>
      <c r="N4" s="339" t="s">
        <v>248</v>
      </c>
      <c r="O4" s="339" t="s">
        <v>249</v>
      </c>
      <c r="P4" s="325" t="s">
        <v>239</v>
      </c>
      <c r="Q4" s="325" t="s">
        <v>344</v>
      </c>
      <c r="R4" s="325" t="s">
        <v>240</v>
      </c>
      <c r="S4" s="325" t="s">
        <v>256</v>
      </c>
      <c r="T4" s="334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5"/>
      <c r="C5" s="325"/>
      <c r="D5" s="325"/>
      <c r="E5" s="325"/>
      <c r="F5" s="325"/>
      <c r="G5" s="325"/>
      <c r="H5" s="325"/>
      <c r="I5" s="325"/>
      <c r="K5" s="340"/>
      <c r="L5" s="341"/>
      <c r="M5" s="342"/>
      <c r="N5" s="339"/>
      <c r="O5" s="339"/>
      <c r="P5" s="325"/>
      <c r="Q5" s="325" t="s">
        <v>344</v>
      </c>
      <c r="R5" s="325" t="s">
        <v>240</v>
      </c>
      <c r="S5" s="325" t="s">
        <v>256</v>
      </c>
      <c r="T5" s="334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5"/>
      <c r="C6" s="325"/>
      <c r="D6" s="325"/>
      <c r="E6" s="325"/>
      <c r="F6" s="325"/>
      <c r="G6" s="325"/>
      <c r="H6" s="325"/>
      <c r="I6" s="325"/>
      <c r="K6" s="340"/>
      <c r="L6" s="341"/>
      <c r="M6" s="342"/>
      <c r="N6" s="339"/>
      <c r="O6" s="339"/>
      <c r="P6" s="325"/>
      <c r="Q6" s="325" t="s">
        <v>242</v>
      </c>
      <c r="R6" s="325" t="s">
        <v>243</v>
      </c>
      <c r="S6" s="325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1" t="s">
        <v>469</v>
      </c>
      <c r="D7" s="297" t="s">
        <v>470</v>
      </c>
      <c r="E7" s="237"/>
      <c r="F7" s="220">
        <v>1</v>
      </c>
      <c r="G7" s="238">
        <v>20898.214285714283</v>
      </c>
      <c r="H7" s="239">
        <f t="shared" ref="H7:H17" si="0">$T$33</f>
        <v>0.8</v>
      </c>
      <c r="I7" s="240">
        <f>G7*(1+H7)</f>
        <v>37616.78571428571</v>
      </c>
      <c r="K7" s="241">
        <f>G7</f>
        <v>20898.214285714283</v>
      </c>
      <c r="L7" s="240">
        <f>K7/4</f>
        <v>5224.5535714285706</v>
      </c>
      <c r="M7" s="240">
        <f>G7/2</f>
        <v>10449.107142857141</v>
      </c>
      <c r="N7" s="241">
        <v>0</v>
      </c>
      <c r="O7" s="241">
        <f>(G7/30.4)*12</f>
        <v>8249.2951127819542</v>
      </c>
      <c r="P7" s="242">
        <f>S7/$T$25</f>
        <v>1915.2113486842104</v>
      </c>
      <c r="Q7" s="250">
        <f t="shared" ref="Q7:Q17" si="1">P7*F7</f>
        <v>1915.2113486842104</v>
      </c>
      <c r="R7" s="243">
        <f>I7+N7+(O7/12)</f>
        <v>38304.226973684206</v>
      </c>
      <c r="S7" s="243">
        <f>R7*F7</f>
        <v>38304.226973684206</v>
      </c>
      <c r="T7" s="243">
        <f>S7*1.16</f>
        <v>44432.903289473674</v>
      </c>
      <c r="V7" s="243">
        <v>0</v>
      </c>
      <c r="W7" s="243">
        <f>$Q$7</f>
        <v>1915.2113486842104</v>
      </c>
      <c r="X7" s="243">
        <f t="shared" ref="X7:AI7" si="2">$Q$7</f>
        <v>1915.2113486842104</v>
      </c>
      <c r="Y7" s="243">
        <f t="shared" si="2"/>
        <v>1915.2113486842104</v>
      </c>
      <c r="Z7" s="243">
        <f t="shared" si="2"/>
        <v>1915.2113486842104</v>
      </c>
      <c r="AA7" s="245">
        <f>$Q$7+(M7/$T$25)</f>
        <v>2437.6667058270677</v>
      </c>
      <c r="AB7" s="243">
        <f t="shared" si="2"/>
        <v>1915.2113486842104</v>
      </c>
      <c r="AC7" s="243">
        <f t="shared" si="2"/>
        <v>1915.2113486842104</v>
      </c>
      <c r="AD7" s="243">
        <f t="shared" si="2"/>
        <v>1915.2113486842104</v>
      </c>
      <c r="AE7" s="243">
        <f t="shared" si="2"/>
        <v>1915.2113486842104</v>
      </c>
      <c r="AF7" s="243">
        <f t="shared" si="2"/>
        <v>1915.2113486842104</v>
      </c>
      <c r="AG7" s="243">
        <f t="shared" si="2"/>
        <v>1915.2113486842104</v>
      </c>
      <c r="AH7" s="244">
        <f>$Q$7+((K7+L7)/$T$25)</f>
        <v>3221.3497415413531</v>
      </c>
      <c r="AI7" s="243">
        <f t="shared" si="2"/>
        <v>1915.2113486842104</v>
      </c>
      <c r="AN7" s="10"/>
    </row>
    <row r="8" spans="1:113" ht="26" customHeight="1" x14ac:dyDescent="0.35">
      <c r="A8" s="12"/>
      <c r="B8" s="231" t="s">
        <v>0</v>
      </c>
      <c r="C8" s="231" t="s">
        <v>471</v>
      </c>
      <c r="D8" s="297" t="s">
        <v>472</v>
      </c>
      <c r="E8" s="237"/>
      <c r="F8" s="220">
        <v>1</v>
      </c>
      <c r="G8" s="238">
        <v>25119.642857142855</v>
      </c>
      <c r="H8" s="239">
        <f t="shared" si="0"/>
        <v>0.8</v>
      </c>
      <c r="I8" s="240">
        <f t="shared" ref="I8:I14" si="3">G8*(1+H8)</f>
        <v>45215.357142857138</v>
      </c>
      <c r="K8" s="241">
        <f t="shared" ref="K8:K17" si="4">G8</f>
        <v>25119.642857142855</v>
      </c>
      <c r="L8" s="240">
        <f t="shared" ref="L8:L17" si="5">K8/4</f>
        <v>6279.9107142857138</v>
      </c>
      <c r="M8" s="240">
        <f t="shared" ref="M8:M17" si="6">G8/2</f>
        <v>12559.821428571428</v>
      </c>
      <c r="N8" s="241">
        <v>0</v>
      </c>
      <c r="O8" s="241">
        <f t="shared" ref="O8:O17" si="7">(G8/30.4)*12</f>
        <v>9915.6484962406012</v>
      </c>
      <c r="P8" s="242">
        <f t="shared" ref="P8:P17" si="8">S8/$T$25</f>
        <v>2302.0830592105258</v>
      </c>
      <c r="Q8" s="250">
        <f t="shared" si="1"/>
        <v>2302.0830592105258</v>
      </c>
      <c r="R8" s="243">
        <f t="shared" ref="R8:R17" si="9">I8+N8+(O8/12)</f>
        <v>46041.661184210519</v>
      </c>
      <c r="S8" s="243">
        <f t="shared" ref="S8:S17" si="10">R8*F8</f>
        <v>46041.661184210519</v>
      </c>
      <c r="T8" s="243">
        <f t="shared" ref="T8:T17" si="11">S8*1.16</f>
        <v>53408.326973684198</v>
      </c>
      <c r="V8" s="243">
        <v>0</v>
      </c>
      <c r="W8" s="243">
        <f>$Q$8</f>
        <v>2302.0830592105258</v>
      </c>
      <c r="X8" s="243">
        <f t="shared" ref="X8:AI8" si="12">$Q$8</f>
        <v>2302.0830592105258</v>
      </c>
      <c r="Y8" s="243">
        <f t="shared" si="12"/>
        <v>2302.0830592105258</v>
      </c>
      <c r="Z8" s="243">
        <f t="shared" si="12"/>
        <v>2302.0830592105258</v>
      </c>
      <c r="AA8" s="245">
        <f>$Q$8+(M8/$T$25)</f>
        <v>2930.0741306390973</v>
      </c>
      <c r="AB8" s="243">
        <f t="shared" si="12"/>
        <v>2302.0830592105258</v>
      </c>
      <c r="AC8" s="243">
        <f t="shared" si="12"/>
        <v>2302.0830592105258</v>
      </c>
      <c r="AD8" s="243">
        <f t="shared" si="12"/>
        <v>2302.0830592105258</v>
      </c>
      <c r="AE8" s="243">
        <f t="shared" si="12"/>
        <v>2302.0830592105258</v>
      </c>
      <c r="AF8" s="243">
        <f t="shared" si="12"/>
        <v>2302.0830592105258</v>
      </c>
      <c r="AG8" s="243">
        <f t="shared" si="12"/>
        <v>2302.0830592105258</v>
      </c>
      <c r="AH8" s="244">
        <f>$Q$8+((K8+L8)/$T$25)</f>
        <v>3872.0607377819542</v>
      </c>
      <c r="AI8" s="243">
        <f t="shared" si="12"/>
        <v>2302.0830592105258</v>
      </c>
    </row>
    <row r="9" spans="1:113" ht="26" customHeight="1" x14ac:dyDescent="0.35">
      <c r="A9" s="12"/>
      <c r="B9" s="231" t="s">
        <v>0</v>
      </c>
      <c r="C9" s="231" t="s">
        <v>473</v>
      </c>
      <c r="D9" s="297" t="s">
        <v>472</v>
      </c>
      <c r="E9" s="237"/>
      <c r="F9" s="220">
        <v>1</v>
      </c>
      <c r="G9" s="238">
        <v>25119.642857142855</v>
      </c>
      <c r="H9" s="239">
        <f t="shared" si="0"/>
        <v>0.8</v>
      </c>
      <c r="I9" s="240">
        <f t="shared" si="3"/>
        <v>45215.357142857138</v>
      </c>
      <c r="K9" s="241">
        <f t="shared" si="4"/>
        <v>25119.642857142855</v>
      </c>
      <c r="L9" s="240">
        <f t="shared" si="5"/>
        <v>6279.9107142857138</v>
      </c>
      <c r="M9" s="240">
        <f t="shared" si="6"/>
        <v>12559.821428571428</v>
      </c>
      <c r="N9" s="241">
        <v>0</v>
      </c>
      <c r="O9" s="241">
        <f t="shared" si="7"/>
        <v>9915.6484962406012</v>
      </c>
      <c r="P9" s="242">
        <f t="shared" si="8"/>
        <v>2302.0830592105258</v>
      </c>
      <c r="Q9" s="250">
        <f t="shared" si="1"/>
        <v>2302.0830592105258</v>
      </c>
      <c r="R9" s="243">
        <f t="shared" si="9"/>
        <v>46041.661184210519</v>
      </c>
      <c r="S9" s="243">
        <f t="shared" si="10"/>
        <v>46041.661184210519</v>
      </c>
      <c r="T9" s="243">
        <f t="shared" si="11"/>
        <v>53408.326973684198</v>
      </c>
      <c r="V9" s="243">
        <v>0</v>
      </c>
      <c r="W9" s="243">
        <f>$Q$9</f>
        <v>2302.0830592105258</v>
      </c>
      <c r="X9" s="243">
        <f t="shared" ref="X9:AI9" si="13">$Q$9</f>
        <v>2302.0830592105258</v>
      </c>
      <c r="Y9" s="243">
        <f t="shared" si="13"/>
        <v>2302.0830592105258</v>
      </c>
      <c r="Z9" s="243">
        <f t="shared" si="13"/>
        <v>2302.0830592105258</v>
      </c>
      <c r="AA9" s="245">
        <f>$Q$9+(M9/$T$25)</f>
        <v>2930.0741306390973</v>
      </c>
      <c r="AB9" s="243">
        <f t="shared" si="13"/>
        <v>2302.0830592105258</v>
      </c>
      <c r="AC9" s="243">
        <f t="shared" si="13"/>
        <v>2302.0830592105258</v>
      </c>
      <c r="AD9" s="243">
        <f t="shared" si="13"/>
        <v>2302.0830592105258</v>
      </c>
      <c r="AE9" s="243">
        <f t="shared" si="13"/>
        <v>2302.0830592105258</v>
      </c>
      <c r="AF9" s="243">
        <f t="shared" si="13"/>
        <v>2302.0830592105258</v>
      </c>
      <c r="AG9" s="243">
        <f t="shared" si="13"/>
        <v>2302.0830592105258</v>
      </c>
      <c r="AH9" s="244">
        <f>$Q$9+((K9+L9)/$T$25)</f>
        <v>3872.0607377819542</v>
      </c>
      <c r="AI9" s="243">
        <f t="shared" si="13"/>
        <v>2302.0830592105258</v>
      </c>
    </row>
    <row r="10" spans="1:113" ht="26" customHeight="1" x14ac:dyDescent="0.35">
      <c r="A10" s="12"/>
      <c r="B10" s="231" t="s">
        <v>0</v>
      </c>
      <c r="C10" s="231" t="s">
        <v>474</v>
      </c>
      <c r="D10" s="297" t="s">
        <v>463</v>
      </c>
      <c r="E10" s="237"/>
      <c r="F10" s="220">
        <v>1</v>
      </c>
      <c r="G10" s="238">
        <v>14722.5</v>
      </c>
      <c r="H10" s="239">
        <f t="shared" si="0"/>
        <v>0.8</v>
      </c>
      <c r="I10" s="240">
        <f t="shared" si="3"/>
        <v>26500.5</v>
      </c>
      <c r="K10" s="241">
        <f t="shared" si="4"/>
        <v>14722.5</v>
      </c>
      <c r="L10" s="240">
        <f t="shared" si="5"/>
        <v>3680.625</v>
      </c>
      <c r="M10" s="240">
        <f t="shared" si="6"/>
        <v>7361.25</v>
      </c>
      <c r="N10" s="241">
        <v>0</v>
      </c>
      <c r="O10" s="241">
        <f t="shared" si="7"/>
        <v>5811.5131578947367</v>
      </c>
      <c r="P10" s="242">
        <f t="shared" si="8"/>
        <v>1349.2396381578947</v>
      </c>
      <c r="Q10" s="250">
        <f t="shared" si="1"/>
        <v>1349.2396381578947</v>
      </c>
      <c r="R10" s="243">
        <f t="shared" si="9"/>
        <v>26984.792763157893</v>
      </c>
      <c r="S10" s="243">
        <f t="shared" si="10"/>
        <v>26984.792763157893</v>
      </c>
      <c r="T10" s="243">
        <f t="shared" si="11"/>
        <v>31302.359605263155</v>
      </c>
      <c r="V10" s="243">
        <v>0</v>
      </c>
      <c r="W10" s="243">
        <f>$Q$10</f>
        <v>1349.2396381578947</v>
      </c>
      <c r="X10" s="243">
        <f t="shared" ref="X10:AI10" si="14">$Q$10</f>
        <v>1349.2396381578947</v>
      </c>
      <c r="Y10" s="243">
        <f t="shared" si="14"/>
        <v>1349.2396381578947</v>
      </c>
      <c r="Z10" s="243">
        <f t="shared" si="14"/>
        <v>1349.2396381578947</v>
      </c>
      <c r="AA10" s="245">
        <f>$Q$10+(M10/$T$25)</f>
        <v>1717.3021381578947</v>
      </c>
      <c r="AB10" s="243">
        <f t="shared" si="14"/>
        <v>1349.2396381578947</v>
      </c>
      <c r="AC10" s="243">
        <f t="shared" si="14"/>
        <v>1349.2396381578947</v>
      </c>
      <c r="AD10" s="243">
        <f t="shared" si="14"/>
        <v>1349.2396381578947</v>
      </c>
      <c r="AE10" s="243">
        <f t="shared" si="14"/>
        <v>1349.2396381578947</v>
      </c>
      <c r="AF10" s="243">
        <f t="shared" si="14"/>
        <v>1349.2396381578947</v>
      </c>
      <c r="AG10" s="243">
        <f t="shared" si="14"/>
        <v>1349.2396381578947</v>
      </c>
      <c r="AH10" s="244">
        <f>$Q$10+((K10+L10)/$T$25)</f>
        <v>2269.3958881578947</v>
      </c>
      <c r="AI10" s="243">
        <f t="shared" si="14"/>
        <v>1349.2396381578947</v>
      </c>
    </row>
    <row r="11" spans="1:113" ht="26" customHeight="1" x14ac:dyDescent="0.35">
      <c r="A11" s="12"/>
      <c r="B11" s="231" t="s">
        <v>0</v>
      </c>
      <c r="C11" s="231" t="s">
        <v>475</v>
      </c>
      <c r="D11" s="297" t="s">
        <v>463</v>
      </c>
      <c r="E11" s="237"/>
      <c r="F11" s="220">
        <v>1</v>
      </c>
      <c r="G11" s="238">
        <v>14722.5</v>
      </c>
      <c r="H11" s="239">
        <f t="shared" si="0"/>
        <v>0.8</v>
      </c>
      <c r="I11" s="240">
        <f t="shared" si="3"/>
        <v>26500.5</v>
      </c>
      <c r="K11" s="241">
        <f t="shared" si="4"/>
        <v>14722.5</v>
      </c>
      <c r="L11" s="240">
        <f t="shared" si="5"/>
        <v>3680.625</v>
      </c>
      <c r="M11" s="240">
        <f t="shared" si="6"/>
        <v>7361.25</v>
      </c>
      <c r="N11" s="241">
        <v>0</v>
      </c>
      <c r="O11" s="241">
        <f t="shared" si="7"/>
        <v>5811.5131578947367</v>
      </c>
      <c r="P11" s="242">
        <f t="shared" si="8"/>
        <v>1349.2396381578947</v>
      </c>
      <c r="Q11" s="250">
        <f t="shared" si="1"/>
        <v>1349.2396381578947</v>
      </c>
      <c r="R11" s="243">
        <f t="shared" si="9"/>
        <v>26984.792763157893</v>
      </c>
      <c r="S11" s="243">
        <f t="shared" si="10"/>
        <v>26984.792763157893</v>
      </c>
      <c r="T11" s="243">
        <f t="shared" si="11"/>
        <v>31302.359605263155</v>
      </c>
      <c r="V11" s="243">
        <v>0</v>
      </c>
      <c r="W11" s="243">
        <f>$Q$11</f>
        <v>1349.2396381578947</v>
      </c>
      <c r="X11" s="243">
        <f t="shared" ref="X11:AI11" si="15">$Q$11</f>
        <v>1349.2396381578947</v>
      </c>
      <c r="Y11" s="243">
        <f t="shared" si="15"/>
        <v>1349.2396381578947</v>
      </c>
      <c r="Z11" s="243">
        <f t="shared" si="15"/>
        <v>1349.2396381578947</v>
      </c>
      <c r="AA11" s="245">
        <f>$Q$11+(M11/$T$25)</f>
        <v>1717.3021381578947</v>
      </c>
      <c r="AB11" s="243">
        <f t="shared" si="15"/>
        <v>1349.2396381578947</v>
      </c>
      <c r="AC11" s="243">
        <f t="shared" si="15"/>
        <v>1349.2396381578947</v>
      </c>
      <c r="AD11" s="243">
        <f t="shared" si="15"/>
        <v>1349.2396381578947</v>
      </c>
      <c r="AE11" s="243">
        <f t="shared" si="15"/>
        <v>1349.2396381578947</v>
      </c>
      <c r="AF11" s="243">
        <f t="shared" si="15"/>
        <v>1349.2396381578947</v>
      </c>
      <c r="AG11" s="243">
        <f t="shared" si="15"/>
        <v>1349.2396381578947</v>
      </c>
      <c r="AH11" s="244">
        <f>$Q$11+((K11+L11)/$T$25)</f>
        <v>2269.3958881578947</v>
      </c>
      <c r="AI11" s="243">
        <f t="shared" si="15"/>
        <v>1349.2396381578947</v>
      </c>
    </row>
    <row r="12" spans="1:113" ht="26" customHeight="1" x14ac:dyDescent="0.35">
      <c r="A12" s="12"/>
      <c r="B12" s="231" t="s">
        <v>0</v>
      </c>
      <c r="C12" s="231"/>
      <c r="D12" s="298"/>
      <c r="E12" s="237"/>
      <c r="F12" s="220">
        <v>0</v>
      </c>
      <c r="G12" s="238">
        <v>29308.571428571428</v>
      </c>
      <c r="H12" s="239">
        <f t="shared" si="0"/>
        <v>0.8</v>
      </c>
      <c r="I12" s="240">
        <f t="shared" si="3"/>
        <v>52755.428571428572</v>
      </c>
      <c r="K12" s="241">
        <f t="shared" si="4"/>
        <v>29308.571428571428</v>
      </c>
      <c r="L12" s="240">
        <f t="shared" si="5"/>
        <v>7327.1428571428569</v>
      </c>
      <c r="M12" s="240">
        <f t="shared" si="6"/>
        <v>14654.285714285714</v>
      </c>
      <c r="N12" s="241">
        <v>0</v>
      </c>
      <c r="O12" s="241">
        <f t="shared" si="7"/>
        <v>11569.172932330828</v>
      </c>
      <c r="P12" s="242">
        <f t="shared" si="8"/>
        <v>0</v>
      </c>
      <c r="Q12" s="250">
        <f t="shared" si="1"/>
        <v>0</v>
      </c>
      <c r="R12" s="243">
        <f t="shared" si="9"/>
        <v>53719.526315789473</v>
      </c>
      <c r="S12" s="243">
        <f t="shared" si="10"/>
        <v>0</v>
      </c>
      <c r="T12" s="243">
        <f t="shared" si="11"/>
        <v>0</v>
      </c>
      <c r="V12" s="243">
        <v>0</v>
      </c>
      <c r="W12" s="243">
        <f>$Q$12</f>
        <v>0</v>
      </c>
      <c r="X12" s="243">
        <f t="shared" ref="X12:AI12" si="16">$Q$12</f>
        <v>0</v>
      </c>
      <c r="Y12" s="243">
        <f t="shared" si="16"/>
        <v>0</v>
      </c>
      <c r="Z12" s="243">
        <f t="shared" si="16"/>
        <v>0</v>
      </c>
      <c r="AA12" s="245">
        <f>$Q$12+(M12/$T$25)</f>
        <v>732.71428571428567</v>
      </c>
      <c r="AB12" s="243">
        <f t="shared" si="16"/>
        <v>0</v>
      </c>
      <c r="AC12" s="243">
        <f t="shared" si="16"/>
        <v>0</v>
      </c>
      <c r="AD12" s="243">
        <f t="shared" si="16"/>
        <v>0</v>
      </c>
      <c r="AE12" s="243">
        <f t="shared" si="16"/>
        <v>0</v>
      </c>
      <c r="AF12" s="243">
        <f t="shared" si="16"/>
        <v>0</v>
      </c>
      <c r="AG12" s="243">
        <f t="shared" si="16"/>
        <v>0</v>
      </c>
      <c r="AH12" s="244">
        <f>$Q$12+((K12+L12)/$T$25)</f>
        <v>1831.7857142857142</v>
      </c>
      <c r="AI12" s="243">
        <f t="shared" si="16"/>
        <v>0</v>
      </c>
    </row>
    <row r="13" spans="1:113" ht="26" customHeight="1" x14ac:dyDescent="0.35">
      <c r="A13" s="12"/>
      <c r="B13" s="231" t="s">
        <v>0</v>
      </c>
      <c r="C13" s="231"/>
      <c r="D13" s="297"/>
      <c r="E13" s="237"/>
      <c r="F13" s="220">
        <v>0</v>
      </c>
      <c r="G13" s="238">
        <v>16676.785714285714</v>
      </c>
      <c r="H13" s="239">
        <f t="shared" si="0"/>
        <v>0.8</v>
      </c>
      <c r="I13" s="240">
        <f t="shared" si="3"/>
        <v>30018.214285714286</v>
      </c>
      <c r="K13" s="241">
        <f t="shared" si="4"/>
        <v>16676.785714285714</v>
      </c>
      <c r="L13" s="240">
        <f t="shared" si="5"/>
        <v>4169.1964285714284</v>
      </c>
      <c r="M13" s="240">
        <f t="shared" si="6"/>
        <v>8338.3928571428569</v>
      </c>
      <c r="N13" s="241">
        <v>0</v>
      </c>
      <c r="O13" s="241">
        <f t="shared" si="7"/>
        <v>6582.9417293233082</v>
      </c>
      <c r="P13" s="242">
        <f t="shared" si="8"/>
        <v>0</v>
      </c>
      <c r="Q13" s="250">
        <f t="shared" si="1"/>
        <v>0</v>
      </c>
      <c r="R13" s="243">
        <f t="shared" si="9"/>
        <v>30566.792763157897</v>
      </c>
      <c r="S13" s="243">
        <f t="shared" si="10"/>
        <v>0</v>
      </c>
      <c r="T13" s="243">
        <f t="shared" si="11"/>
        <v>0</v>
      </c>
      <c r="V13" s="243">
        <v>0</v>
      </c>
      <c r="W13" s="243">
        <f>$Q$13</f>
        <v>0</v>
      </c>
      <c r="X13" s="243">
        <f t="shared" ref="X13:AI13" si="17">$Q$13</f>
        <v>0</v>
      </c>
      <c r="Y13" s="243">
        <f t="shared" si="17"/>
        <v>0</v>
      </c>
      <c r="Z13" s="243">
        <f t="shared" si="17"/>
        <v>0</v>
      </c>
      <c r="AA13" s="245">
        <f>$Q$13+(M13/$T$25)</f>
        <v>416.91964285714283</v>
      </c>
      <c r="AB13" s="243">
        <f t="shared" si="17"/>
        <v>0</v>
      </c>
      <c r="AC13" s="243">
        <f t="shared" si="17"/>
        <v>0</v>
      </c>
      <c r="AD13" s="243">
        <f t="shared" si="17"/>
        <v>0</v>
      </c>
      <c r="AE13" s="243">
        <f t="shared" si="17"/>
        <v>0</v>
      </c>
      <c r="AF13" s="243">
        <f t="shared" si="17"/>
        <v>0</v>
      </c>
      <c r="AG13" s="243">
        <f t="shared" si="17"/>
        <v>0</v>
      </c>
      <c r="AH13" s="244">
        <f>$Q$13+((K13+L13)/$T$25)</f>
        <v>1042.2991071428571</v>
      </c>
      <c r="AI13" s="243">
        <f t="shared" si="17"/>
        <v>0</v>
      </c>
    </row>
    <row r="14" spans="1:113" ht="26" customHeight="1" x14ac:dyDescent="0.35">
      <c r="A14" s="12"/>
      <c r="B14" s="231" t="s">
        <v>0</v>
      </c>
      <c r="C14" s="231"/>
      <c r="D14" s="297"/>
      <c r="E14" s="237"/>
      <c r="F14" s="220">
        <v>0</v>
      </c>
      <c r="G14" s="238">
        <v>16676.785714285714</v>
      </c>
      <c r="H14" s="239">
        <f t="shared" si="0"/>
        <v>0.8</v>
      </c>
      <c r="I14" s="240">
        <f t="shared" si="3"/>
        <v>30018.214285714286</v>
      </c>
      <c r="K14" s="241">
        <f t="shared" si="4"/>
        <v>16676.785714285714</v>
      </c>
      <c r="L14" s="240">
        <f t="shared" si="5"/>
        <v>4169.1964285714284</v>
      </c>
      <c r="M14" s="240">
        <f t="shared" si="6"/>
        <v>8338.3928571428569</v>
      </c>
      <c r="N14" s="241">
        <v>0</v>
      </c>
      <c r="O14" s="241">
        <f t="shared" si="7"/>
        <v>6582.9417293233082</v>
      </c>
      <c r="P14" s="242">
        <f t="shared" si="8"/>
        <v>0</v>
      </c>
      <c r="Q14" s="250">
        <f t="shared" si="1"/>
        <v>0</v>
      </c>
      <c r="R14" s="243">
        <f t="shared" si="9"/>
        <v>30566.792763157897</v>
      </c>
      <c r="S14" s="243">
        <f t="shared" si="10"/>
        <v>0</v>
      </c>
      <c r="T14" s="243">
        <f t="shared" si="11"/>
        <v>0</v>
      </c>
      <c r="V14" s="243">
        <v>0</v>
      </c>
      <c r="W14" s="243">
        <f>$Q$14</f>
        <v>0</v>
      </c>
      <c r="X14" s="243">
        <f t="shared" ref="X14:AI14" si="18">$Q$14</f>
        <v>0</v>
      </c>
      <c r="Y14" s="243">
        <f t="shared" si="18"/>
        <v>0</v>
      </c>
      <c r="Z14" s="243">
        <f t="shared" si="18"/>
        <v>0</v>
      </c>
      <c r="AA14" s="245">
        <f>$Q$14+(M14/$T$25)</f>
        <v>416.91964285714283</v>
      </c>
      <c r="AB14" s="243">
        <f t="shared" si="18"/>
        <v>0</v>
      </c>
      <c r="AC14" s="243">
        <f t="shared" si="18"/>
        <v>0</v>
      </c>
      <c r="AD14" s="243">
        <f t="shared" si="18"/>
        <v>0</v>
      </c>
      <c r="AE14" s="243">
        <f t="shared" si="18"/>
        <v>0</v>
      </c>
      <c r="AF14" s="243">
        <f t="shared" si="18"/>
        <v>0</v>
      </c>
      <c r="AG14" s="243">
        <f t="shared" si="18"/>
        <v>0</v>
      </c>
      <c r="AH14" s="244">
        <f>$Q$14+((K14+L14)/$T$25)</f>
        <v>1042.2991071428571</v>
      </c>
      <c r="AI14" s="243">
        <f t="shared" si="18"/>
        <v>0</v>
      </c>
    </row>
    <row r="15" spans="1:113" ht="26" customHeight="1" x14ac:dyDescent="0.35">
      <c r="A15" s="12"/>
      <c r="B15" s="231" t="s">
        <v>0</v>
      </c>
      <c r="C15" s="237"/>
      <c r="D15" s="237"/>
      <c r="E15" s="237"/>
      <c r="F15" s="220">
        <v>0</v>
      </c>
      <c r="G15" s="238">
        <v>20898.21</v>
      </c>
      <c r="H15" s="239">
        <f t="shared" si="0"/>
        <v>0.8</v>
      </c>
      <c r="I15" s="240">
        <f>G15*(1+H15)</f>
        <v>37616.777999999998</v>
      </c>
      <c r="K15" s="241">
        <f t="shared" si="4"/>
        <v>20898.21</v>
      </c>
      <c r="L15" s="240">
        <f t="shared" si="5"/>
        <v>5224.5524999999998</v>
      </c>
      <c r="M15" s="240">
        <f t="shared" si="6"/>
        <v>10449.105</v>
      </c>
      <c r="N15" s="241">
        <v>0</v>
      </c>
      <c r="O15" s="241">
        <f t="shared" si="7"/>
        <v>8249.2934210526309</v>
      </c>
      <c r="P15" s="242">
        <f t="shared" si="8"/>
        <v>0</v>
      </c>
      <c r="Q15" s="250">
        <f t="shared" si="1"/>
        <v>0</v>
      </c>
      <c r="R15" s="243">
        <f t="shared" si="9"/>
        <v>38304.219118421053</v>
      </c>
      <c r="S15" s="243">
        <f t="shared" si="10"/>
        <v>0</v>
      </c>
      <c r="T15" s="243">
        <f t="shared" si="11"/>
        <v>0</v>
      </c>
      <c r="V15" s="243">
        <v>0</v>
      </c>
      <c r="W15" s="243">
        <f>$Q$15</f>
        <v>0</v>
      </c>
      <c r="X15" s="243">
        <f t="shared" ref="X15:AI15" si="19">$Q$15</f>
        <v>0</v>
      </c>
      <c r="Y15" s="243">
        <f t="shared" si="19"/>
        <v>0</v>
      </c>
      <c r="Z15" s="243">
        <f t="shared" si="19"/>
        <v>0</v>
      </c>
      <c r="AA15" s="245">
        <f>$Q$15+(M15/$T$25)</f>
        <v>522.45524999999998</v>
      </c>
      <c r="AB15" s="243">
        <f t="shared" si="19"/>
        <v>0</v>
      </c>
      <c r="AC15" s="243">
        <f t="shared" si="19"/>
        <v>0</v>
      </c>
      <c r="AD15" s="243">
        <f t="shared" si="19"/>
        <v>0</v>
      </c>
      <c r="AE15" s="243">
        <f t="shared" si="19"/>
        <v>0</v>
      </c>
      <c r="AF15" s="243">
        <f t="shared" si="19"/>
        <v>0</v>
      </c>
      <c r="AG15" s="243">
        <f t="shared" si="19"/>
        <v>0</v>
      </c>
      <c r="AH15" s="244">
        <f>$Q$15+((K15+L15)/$T$25)</f>
        <v>1306.1381249999999</v>
      </c>
      <c r="AI15" s="243">
        <f t="shared" si="19"/>
        <v>0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5" t="s">
        <v>415</v>
      </c>
      <c r="C19" s="345"/>
      <c r="D19" s="345"/>
      <c r="E19" s="345"/>
      <c r="F19" s="345"/>
      <c r="S19" s="326" t="s">
        <v>402</v>
      </c>
      <c r="T19" s="327"/>
      <c r="U19" s="95"/>
      <c r="V19" s="210">
        <f>SUM(V13:V17)</f>
        <v>0</v>
      </c>
      <c r="W19" s="210">
        <f>SUM(W7:W17)</f>
        <v>9217.8567434210527</v>
      </c>
      <c r="X19" s="210">
        <f t="shared" ref="X19:AI19" si="22">SUM(X7:X17)</f>
        <v>9217.8567434210527</v>
      </c>
      <c r="Y19" s="210">
        <f t="shared" si="22"/>
        <v>9217.8567434210527</v>
      </c>
      <c r="Z19" s="210">
        <f t="shared" si="22"/>
        <v>9217.8567434210527</v>
      </c>
      <c r="AA19" s="210">
        <f t="shared" si="22"/>
        <v>14238.347814849625</v>
      </c>
      <c r="AB19" s="210">
        <f t="shared" si="22"/>
        <v>9217.8567434210527</v>
      </c>
      <c r="AC19" s="210">
        <f t="shared" si="22"/>
        <v>9217.8567434210527</v>
      </c>
      <c r="AD19" s="210">
        <f t="shared" si="22"/>
        <v>9217.8567434210527</v>
      </c>
      <c r="AE19" s="210">
        <f t="shared" si="22"/>
        <v>9217.8567434210527</v>
      </c>
      <c r="AF19" s="210">
        <f t="shared" si="22"/>
        <v>9217.8567434210527</v>
      </c>
      <c r="AG19" s="210">
        <f t="shared" si="22"/>
        <v>9217.8567434210527</v>
      </c>
      <c r="AH19" s="210">
        <f t="shared" si="22"/>
        <v>21769.084421992484</v>
      </c>
      <c r="AI19" s="210">
        <f t="shared" si="22"/>
        <v>9217.8567434210527</v>
      </c>
    </row>
    <row r="20" spans="1:35" ht="26" customHeight="1" x14ac:dyDescent="0.35">
      <c r="B20" s="343" t="s">
        <v>416</v>
      </c>
      <c r="C20" s="343" t="s">
        <v>417</v>
      </c>
      <c r="D20" s="343" t="s">
        <v>418</v>
      </c>
      <c r="E20" s="343"/>
      <c r="F20" s="344" t="s">
        <v>419</v>
      </c>
      <c r="S20" s="328" t="s">
        <v>397</v>
      </c>
      <c r="T20" s="329"/>
      <c r="U20" s="95"/>
      <c r="V20" s="211">
        <f>V19*$T$25</f>
        <v>0</v>
      </c>
      <c r="W20" s="211">
        <f t="shared" ref="W20:AI20" si="23">W19*$T$25</f>
        <v>184357.13486842107</v>
      </c>
      <c r="X20" s="211">
        <f t="shared" si="23"/>
        <v>184357.13486842107</v>
      </c>
      <c r="Y20" s="211">
        <f t="shared" si="23"/>
        <v>184357.13486842107</v>
      </c>
      <c r="Z20" s="211">
        <f t="shared" si="23"/>
        <v>184357.13486842107</v>
      </c>
      <c r="AA20" s="211">
        <f t="shared" si="23"/>
        <v>284766.95629699249</v>
      </c>
      <c r="AB20" s="211">
        <f t="shared" si="23"/>
        <v>184357.13486842107</v>
      </c>
      <c r="AC20" s="211">
        <f t="shared" si="23"/>
        <v>184357.13486842107</v>
      </c>
      <c r="AD20" s="211">
        <f t="shared" si="23"/>
        <v>184357.13486842107</v>
      </c>
      <c r="AE20" s="211">
        <f t="shared" si="23"/>
        <v>184357.13486842107</v>
      </c>
      <c r="AF20" s="211">
        <f t="shared" si="23"/>
        <v>184357.13486842107</v>
      </c>
      <c r="AG20" s="211">
        <f t="shared" si="23"/>
        <v>184357.13486842107</v>
      </c>
      <c r="AH20" s="211">
        <f t="shared" si="23"/>
        <v>435381.68843984965</v>
      </c>
      <c r="AI20" s="211">
        <f t="shared" si="23"/>
        <v>184357.13486842107</v>
      </c>
    </row>
    <row r="21" spans="1:35" ht="26" customHeight="1" x14ac:dyDescent="0.35">
      <c r="B21" s="343"/>
      <c r="C21" s="343"/>
      <c r="D21" s="289" t="s">
        <v>420</v>
      </c>
      <c r="E21" s="289" t="s">
        <v>421</v>
      </c>
      <c r="F21" s="344"/>
      <c r="S21" s="326" t="s">
        <v>403</v>
      </c>
      <c r="T21" s="327"/>
      <c r="U21" s="95"/>
      <c r="V21" s="210">
        <f>SUM(V19:AI19)</f>
        <v>137403.8564144737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422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8" t="s">
        <v>256</v>
      </c>
      <c r="T22" s="329"/>
      <c r="U22" s="95"/>
      <c r="V22" s="226">
        <f>SUM(V20:AI20)</f>
        <v>2748077.1282894742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423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424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1" t="str">
        <f>'F00 INVERSIÓN'!I45</f>
        <v>PREMISAS</v>
      </c>
      <c r="T24" s="302"/>
    </row>
    <row r="25" spans="1:35" ht="26" customHeight="1" x14ac:dyDescent="0.35">
      <c r="B25" s="290" t="s">
        <v>425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426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427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428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30" t="s">
        <v>345</v>
      </c>
      <c r="T31" s="331"/>
      <c r="U31" s="10"/>
    </row>
    <row r="32" spans="1:35" ht="26" customHeight="1" thickBot="1" x14ac:dyDescent="0.4">
      <c r="S32" s="332"/>
      <c r="T32" s="333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C20:C21"/>
    <mergeCell ref="D20:E20"/>
    <mergeCell ref="F20:F21"/>
    <mergeCell ref="F4:F6"/>
    <mergeCell ref="E4:E6"/>
    <mergeCell ref="D4:D6"/>
    <mergeCell ref="B19:F19"/>
    <mergeCell ref="B20:B21"/>
    <mergeCell ref="C4:C6"/>
    <mergeCell ref="S24:T24"/>
    <mergeCell ref="S31:T32"/>
    <mergeCell ref="S19:T19"/>
    <mergeCell ref="S20:T20"/>
    <mergeCell ref="S21:T21"/>
    <mergeCell ref="S22:T22"/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8" sqref="A8"/>
      <selection pane="bottomRight" activeCell="C8" sqref="C8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4" t="s">
        <v>279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1" t="s">
        <v>469</v>
      </c>
      <c r="D7" s="297" t="s">
        <v>470</v>
      </c>
      <c r="E7" s="237"/>
      <c r="F7" s="220">
        <v>1</v>
      </c>
      <c r="G7" s="238">
        <v>45</v>
      </c>
      <c r="H7" s="250">
        <f>F7*G7</f>
        <v>45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45</v>
      </c>
      <c r="O7" s="243">
        <f t="shared" ref="O7:Z7" si="0">$H$7</f>
        <v>45</v>
      </c>
      <c r="P7" s="243">
        <f t="shared" si="0"/>
        <v>45</v>
      </c>
      <c r="Q7" s="243">
        <f t="shared" si="0"/>
        <v>45</v>
      </c>
      <c r="R7" s="243">
        <f t="shared" si="0"/>
        <v>45</v>
      </c>
      <c r="S7" s="243">
        <f t="shared" si="0"/>
        <v>45</v>
      </c>
      <c r="T7" s="243">
        <f t="shared" si="0"/>
        <v>45</v>
      </c>
      <c r="U7" s="243">
        <f t="shared" si="0"/>
        <v>45</v>
      </c>
      <c r="V7" s="243">
        <f t="shared" si="0"/>
        <v>45</v>
      </c>
      <c r="W7" s="243">
        <f t="shared" si="0"/>
        <v>45</v>
      </c>
      <c r="X7" s="243">
        <f t="shared" si="0"/>
        <v>45</v>
      </c>
      <c r="Y7" s="243">
        <f t="shared" si="0"/>
        <v>45</v>
      </c>
      <c r="Z7" s="243">
        <f t="shared" si="0"/>
        <v>45</v>
      </c>
    </row>
    <row r="8" spans="1:104" ht="28" customHeight="1" x14ac:dyDescent="0.35">
      <c r="A8" s="12"/>
      <c r="B8" s="231" t="s">
        <v>114</v>
      </c>
      <c r="C8" s="231" t="s">
        <v>471</v>
      </c>
      <c r="D8" s="297" t="s">
        <v>472</v>
      </c>
      <c r="E8" s="237"/>
      <c r="F8" s="220">
        <v>1</v>
      </c>
      <c r="G8" s="238">
        <v>45</v>
      </c>
      <c r="H8" s="250">
        <f t="shared" ref="H8:H17" si="1">F8*G8</f>
        <v>45</v>
      </c>
      <c r="I8" s="243">
        <v>600</v>
      </c>
      <c r="J8" s="243">
        <f t="shared" ref="J8:J17" si="2">I8*F8</f>
        <v>600</v>
      </c>
      <c r="K8" s="243">
        <f t="shared" ref="K8:K17" si="3">J8*1.16</f>
        <v>696</v>
      </c>
      <c r="M8" s="243">
        <v>0</v>
      </c>
      <c r="N8" s="243">
        <f>$H$8</f>
        <v>45</v>
      </c>
      <c r="O8" s="243">
        <f t="shared" ref="O8:Z8" si="4">$H$8</f>
        <v>45</v>
      </c>
      <c r="P8" s="243">
        <f t="shared" si="4"/>
        <v>45</v>
      </c>
      <c r="Q8" s="243">
        <f t="shared" si="4"/>
        <v>45</v>
      </c>
      <c r="R8" s="243">
        <f t="shared" si="4"/>
        <v>45</v>
      </c>
      <c r="S8" s="243">
        <f t="shared" si="4"/>
        <v>45</v>
      </c>
      <c r="T8" s="243">
        <f t="shared" si="4"/>
        <v>45</v>
      </c>
      <c r="U8" s="243">
        <f t="shared" si="4"/>
        <v>45</v>
      </c>
      <c r="V8" s="243">
        <f t="shared" si="4"/>
        <v>45</v>
      </c>
      <c r="W8" s="243">
        <f t="shared" si="4"/>
        <v>45</v>
      </c>
      <c r="X8" s="243">
        <f t="shared" si="4"/>
        <v>45</v>
      </c>
      <c r="Y8" s="243">
        <f t="shared" si="4"/>
        <v>45</v>
      </c>
      <c r="Z8" s="243">
        <f t="shared" si="4"/>
        <v>45</v>
      </c>
    </row>
    <row r="9" spans="1:104" ht="28" customHeight="1" x14ac:dyDescent="0.35">
      <c r="A9" s="12"/>
      <c r="B9" s="231" t="s">
        <v>114</v>
      </c>
      <c r="C9" s="231" t="s">
        <v>473</v>
      </c>
      <c r="D9" s="297" t="s">
        <v>472</v>
      </c>
      <c r="E9" s="237"/>
      <c r="F9" s="220">
        <v>1</v>
      </c>
      <c r="G9" s="238">
        <f t="shared" ref="G9:G17" si="5">J9/$K$25</f>
        <v>45</v>
      </c>
      <c r="H9" s="250">
        <f t="shared" si="1"/>
        <v>45</v>
      </c>
      <c r="I9" s="243">
        <v>900</v>
      </c>
      <c r="J9" s="243">
        <f t="shared" si="2"/>
        <v>900</v>
      </c>
      <c r="K9" s="243">
        <f t="shared" si="3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 t="s">
        <v>474</v>
      </c>
      <c r="D10" s="297" t="s">
        <v>463</v>
      </c>
      <c r="E10" s="237"/>
      <c r="F10" s="220">
        <v>1</v>
      </c>
      <c r="G10" s="238">
        <f t="shared" si="5"/>
        <v>45</v>
      </c>
      <c r="H10" s="250">
        <f t="shared" si="1"/>
        <v>45</v>
      </c>
      <c r="I10" s="243">
        <v>900</v>
      </c>
      <c r="J10" s="243">
        <f t="shared" si="2"/>
        <v>900</v>
      </c>
      <c r="K10" s="243">
        <f t="shared" si="3"/>
        <v>1044</v>
      </c>
      <c r="M10" s="243">
        <v>0</v>
      </c>
      <c r="N10" s="243">
        <f>$H$10</f>
        <v>45</v>
      </c>
      <c r="O10" s="243">
        <f t="shared" ref="O10:Z10" si="7">$H$10</f>
        <v>45</v>
      </c>
      <c r="P10" s="243">
        <f t="shared" si="7"/>
        <v>45</v>
      </c>
      <c r="Q10" s="243">
        <f t="shared" si="7"/>
        <v>45</v>
      </c>
      <c r="R10" s="243">
        <f t="shared" si="7"/>
        <v>45</v>
      </c>
      <c r="S10" s="243">
        <f t="shared" si="7"/>
        <v>45</v>
      </c>
      <c r="T10" s="243">
        <f t="shared" si="7"/>
        <v>45</v>
      </c>
      <c r="U10" s="243">
        <f t="shared" si="7"/>
        <v>45</v>
      </c>
      <c r="V10" s="243">
        <f t="shared" si="7"/>
        <v>45</v>
      </c>
      <c r="W10" s="243">
        <f t="shared" si="7"/>
        <v>45</v>
      </c>
      <c r="X10" s="243">
        <f t="shared" si="7"/>
        <v>45</v>
      </c>
      <c r="Y10" s="243">
        <f t="shared" si="7"/>
        <v>45</v>
      </c>
      <c r="Z10" s="243">
        <f t="shared" si="7"/>
        <v>45</v>
      </c>
    </row>
    <row r="11" spans="1:104" ht="28" customHeight="1" x14ac:dyDescent="0.35">
      <c r="A11" s="12"/>
      <c r="B11" s="231" t="s">
        <v>114</v>
      </c>
      <c r="C11" s="231" t="s">
        <v>475</v>
      </c>
      <c r="D11" s="297" t="s">
        <v>463</v>
      </c>
      <c r="E11" s="237"/>
      <c r="F11" s="220">
        <v>1</v>
      </c>
      <c r="G11" s="238">
        <f t="shared" si="5"/>
        <v>45</v>
      </c>
      <c r="H11" s="250">
        <f t="shared" si="1"/>
        <v>45</v>
      </c>
      <c r="I11" s="243">
        <v>900</v>
      </c>
      <c r="J11" s="243">
        <f t="shared" si="2"/>
        <v>900</v>
      </c>
      <c r="K11" s="243">
        <f t="shared" si="3"/>
        <v>1044</v>
      </c>
      <c r="M11" s="243">
        <v>0</v>
      </c>
      <c r="N11" s="243">
        <f>$H$11</f>
        <v>45</v>
      </c>
      <c r="O11" s="243">
        <f t="shared" ref="O11:Z11" si="8">$H$11</f>
        <v>45</v>
      </c>
      <c r="P11" s="243">
        <f t="shared" si="8"/>
        <v>45</v>
      </c>
      <c r="Q11" s="243">
        <f t="shared" si="8"/>
        <v>45</v>
      </c>
      <c r="R11" s="243">
        <f t="shared" si="8"/>
        <v>45</v>
      </c>
      <c r="S11" s="243">
        <f t="shared" si="8"/>
        <v>45</v>
      </c>
      <c r="T11" s="243">
        <f t="shared" si="8"/>
        <v>45</v>
      </c>
      <c r="U11" s="243">
        <f t="shared" si="8"/>
        <v>45</v>
      </c>
      <c r="V11" s="243">
        <f t="shared" si="8"/>
        <v>45</v>
      </c>
      <c r="W11" s="243">
        <f t="shared" si="8"/>
        <v>45</v>
      </c>
      <c r="X11" s="243">
        <f t="shared" si="8"/>
        <v>45</v>
      </c>
      <c r="Y11" s="243">
        <f t="shared" si="8"/>
        <v>45</v>
      </c>
      <c r="Z11" s="243">
        <f t="shared" si="8"/>
        <v>45</v>
      </c>
    </row>
    <row r="12" spans="1:104" ht="28" customHeight="1" x14ac:dyDescent="0.35">
      <c r="A12" s="12"/>
      <c r="B12" s="231" t="s">
        <v>114</v>
      </c>
      <c r="C12" s="231"/>
      <c r="D12" s="298"/>
      <c r="E12" s="237"/>
      <c r="F12" s="220">
        <v>0</v>
      </c>
      <c r="G12" s="238">
        <f t="shared" si="5"/>
        <v>0</v>
      </c>
      <c r="H12" s="250">
        <f t="shared" si="1"/>
        <v>0</v>
      </c>
      <c r="I12" s="243">
        <v>900</v>
      </c>
      <c r="J12" s="243">
        <f t="shared" si="2"/>
        <v>0</v>
      </c>
      <c r="K12" s="243">
        <f t="shared" si="3"/>
        <v>0</v>
      </c>
      <c r="M12" s="243">
        <v>0</v>
      </c>
      <c r="N12" s="243">
        <f>$H$12</f>
        <v>0</v>
      </c>
      <c r="O12" s="243">
        <f t="shared" ref="O12:Z12" si="9">$H$12</f>
        <v>0</v>
      </c>
      <c r="P12" s="243">
        <f t="shared" si="9"/>
        <v>0</v>
      </c>
      <c r="Q12" s="243">
        <f t="shared" si="9"/>
        <v>0</v>
      </c>
      <c r="R12" s="243">
        <f t="shared" si="9"/>
        <v>0</v>
      </c>
      <c r="S12" s="243">
        <f t="shared" si="9"/>
        <v>0</v>
      </c>
      <c r="T12" s="243">
        <f t="shared" si="9"/>
        <v>0</v>
      </c>
      <c r="U12" s="243">
        <f t="shared" si="9"/>
        <v>0</v>
      </c>
      <c r="V12" s="243">
        <f t="shared" si="9"/>
        <v>0</v>
      </c>
      <c r="W12" s="243">
        <f t="shared" si="9"/>
        <v>0</v>
      </c>
      <c r="X12" s="243">
        <f t="shared" si="9"/>
        <v>0</v>
      </c>
      <c r="Y12" s="243">
        <f t="shared" si="9"/>
        <v>0</v>
      </c>
      <c r="Z12" s="243">
        <f t="shared" si="9"/>
        <v>0</v>
      </c>
    </row>
    <row r="13" spans="1:104" ht="28" customHeight="1" x14ac:dyDescent="0.35">
      <c r="A13" s="12"/>
      <c r="B13" s="231" t="s">
        <v>114</v>
      </c>
      <c r="C13" s="231"/>
      <c r="D13" s="297"/>
      <c r="E13" s="237"/>
      <c r="F13" s="220">
        <v>0</v>
      </c>
      <c r="G13" s="238">
        <f t="shared" si="5"/>
        <v>0</v>
      </c>
      <c r="H13" s="250">
        <f t="shared" si="1"/>
        <v>0</v>
      </c>
      <c r="I13" s="243">
        <v>900</v>
      </c>
      <c r="J13" s="243">
        <f t="shared" si="2"/>
        <v>0</v>
      </c>
      <c r="K13" s="243">
        <f t="shared" si="3"/>
        <v>0</v>
      </c>
      <c r="M13" s="243">
        <v>0</v>
      </c>
      <c r="N13" s="243">
        <f>$H$13</f>
        <v>0</v>
      </c>
      <c r="O13" s="243">
        <f t="shared" ref="O13:Z13" si="10">$H$13</f>
        <v>0</v>
      </c>
      <c r="P13" s="243">
        <f t="shared" si="10"/>
        <v>0</v>
      </c>
      <c r="Q13" s="243">
        <f t="shared" si="10"/>
        <v>0</v>
      </c>
      <c r="R13" s="243">
        <f t="shared" si="10"/>
        <v>0</v>
      </c>
      <c r="S13" s="243">
        <f t="shared" si="10"/>
        <v>0</v>
      </c>
      <c r="T13" s="243">
        <f t="shared" si="10"/>
        <v>0</v>
      </c>
      <c r="U13" s="243">
        <f t="shared" si="10"/>
        <v>0</v>
      </c>
      <c r="V13" s="243">
        <f t="shared" si="10"/>
        <v>0</v>
      </c>
      <c r="W13" s="243">
        <f t="shared" si="10"/>
        <v>0</v>
      </c>
      <c r="X13" s="243">
        <f t="shared" si="10"/>
        <v>0</v>
      </c>
      <c r="Y13" s="243">
        <f t="shared" si="10"/>
        <v>0</v>
      </c>
      <c r="Z13" s="243">
        <f t="shared" si="10"/>
        <v>0</v>
      </c>
    </row>
    <row r="14" spans="1:104" ht="28" customHeight="1" x14ac:dyDescent="0.35">
      <c r="A14" s="12"/>
      <c r="B14" s="231" t="s">
        <v>114</v>
      </c>
      <c r="C14" s="231"/>
      <c r="D14" s="297"/>
      <c r="E14" s="237"/>
      <c r="F14" s="220">
        <v>0</v>
      </c>
      <c r="G14" s="238">
        <f t="shared" si="5"/>
        <v>0</v>
      </c>
      <c r="H14" s="250">
        <f t="shared" si="1"/>
        <v>0</v>
      </c>
      <c r="I14" s="243">
        <v>900</v>
      </c>
      <c r="J14" s="243">
        <f t="shared" si="2"/>
        <v>0</v>
      </c>
      <c r="K14" s="243">
        <f t="shared" si="3"/>
        <v>0</v>
      </c>
      <c r="M14" s="243">
        <v>0</v>
      </c>
      <c r="N14" s="243">
        <f>$H$14</f>
        <v>0</v>
      </c>
      <c r="O14" s="243">
        <f t="shared" ref="O14:Z14" si="11">$H$14</f>
        <v>0</v>
      </c>
      <c r="P14" s="243">
        <f t="shared" si="11"/>
        <v>0</v>
      </c>
      <c r="Q14" s="243">
        <f t="shared" si="11"/>
        <v>0</v>
      </c>
      <c r="R14" s="243">
        <f t="shared" si="11"/>
        <v>0</v>
      </c>
      <c r="S14" s="243">
        <f t="shared" si="11"/>
        <v>0</v>
      </c>
      <c r="T14" s="243">
        <f t="shared" si="11"/>
        <v>0</v>
      </c>
      <c r="U14" s="243">
        <f t="shared" si="11"/>
        <v>0</v>
      </c>
      <c r="V14" s="243">
        <f t="shared" si="11"/>
        <v>0</v>
      </c>
      <c r="W14" s="243">
        <f t="shared" si="11"/>
        <v>0</v>
      </c>
      <c r="X14" s="243">
        <f t="shared" si="11"/>
        <v>0</v>
      </c>
      <c r="Y14" s="243">
        <f t="shared" si="11"/>
        <v>0</v>
      </c>
      <c r="Z14" s="243">
        <f t="shared" si="11"/>
        <v>0</v>
      </c>
    </row>
    <row r="15" spans="1:104" ht="28" customHeight="1" x14ac:dyDescent="0.35">
      <c r="A15" s="12"/>
      <c r="B15" s="231" t="s">
        <v>114</v>
      </c>
      <c r="C15" s="237"/>
      <c r="D15" s="237"/>
      <c r="E15" s="237"/>
      <c r="F15" s="220">
        <v>0</v>
      </c>
      <c r="G15" s="238">
        <f t="shared" si="5"/>
        <v>0</v>
      </c>
      <c r="H15" s="250">
        <f t="shared" si="1"/>
        <v>0</v>
      </c>
      <c r="I15" s="243">
        <v>900</v>
      </c>
      <c r="J15" s="243">
        <f t="shared" si="2"/>
        <v>0</v>
      </c>
      <c r="K15" s="243">
        <f t="shared" si="3"/>
        <v>0</v>
      </c>
      <c r="M15" s="243">
        <v>0</v>
      </c>
      <c r="N15" s="243">
        <f>$H$15</f>
        <v>0</v>
      </c>
      <c r="O15" s="243">
        <f t="shared" ref="O15:Z15" si="12">$H$15</f>
        <v>0</v>
      </c>
      <c r="P15" s="243">
        <f t="shared" si="12"/>
        <v>0</v>
      </c>
      <c r="Q15" s="243">
        <f t="shared" si="12"/>
        <v>0</v>
      </c>
      <c r="R15" s="243">
        <f t="shared" si="12"/>
        <v>0</v>
      </c>
      <c r="S15" s="243">
        <f t="shared" si="12"/>
        <v>0</v>
      </c>
      <c r="T15" s="243">
        <f t="shared" si="12"/>
        <v>0</v>
      </c>
      <c r="U15" s="243">
        <f t="shared" si="12"/>
        <v>0</v>
      </c>
      <c r="V15" s="243">
        <f t="shared" si="12"/>
        <v>0</v>
      </c>
      <c r="W15" s="243">
        <f t="shared" si="12"/>
        <v>0</v>
      </c>
      <c r="X15" s="243">
        <f t="shared" si="12"/>
        <v>0</v>
      </c>
      <c r="Y15" s="243">
        <f t="shared" si="12"/>
        <v>0</v>
      </c>
      <c r="Z15" s="243">
        <f t="shared" si="12"/>
        <v>0</v>
      </c>
    </row>
    <row r="16" spans="1:104" ht="28" customHeight="1" x14ac:dyDescent="0.35">
      <c r="A16" s="12"/>
      <c r="B16" s="231" t="s">
        <v>114</v>
      </c>
      <c r="C16" s="237"/>
      <c r="D16" s="237"/>
      <c r="E16" s="237"/>
      <c r="F16" s="220">
        <v>0</v>
      </c>
      <c r="G16" s="238">
        <f t="shared" si="5"/>
        <v>0</v>
      </c>
      <c r="H16" s="250">
        <f t="shared" si="1"/>
        <v>0</v>
      </c>
      <c r="I16" s="243">
        <v>600</v>
      </c>
      <c r="J16" s="243">
        <f t="shared" si="2"/>
        <v>0</v>
      </c>
      <c r="K16" s="243">
        <f t="shared" si="3"/>
        <v>0</v>
      </c>
      <c r="M16" s="243">
        <v>0</v>
      </c>
      <c r="N16" s="243">
        <f>$H$16</f>
        <v>0</v>
      </c>
      <c r="O16" s="243">
        <f t="shared" ref="O16:Z16" si="13">$H$16</f>
        <v>0</v>
      </c>
      <c r="P16" s="243">
        <f t="shared" si="13"/>
        <v>0</v>
      </c>
      <c r="Q16" s="243">
        <f t="shared" si="13"/>
        <v>0</v>
      </c>
      <c r="R16" s="243">
        <f t="shared" si="13"/>
        <v>0</v>
      </c>
      <c r="S16" s="243">
        <f t="shared" si="13"/>
        <v>0</v>
      </c>
      <c r="T16" s="243">
        <f t="shared" si="13"/>
        <v>0</v>
      </c>
      <c r="U16" s="243">
        <f t="shared" si="13"/>
        <v>0</v>
      </c>
      <c r="V16" s="243">
        <f t="shared" si="13"/>
        <v>0</v>
      </c>
      <c r="W16" s="243">
        <f t="shared" si="13"/>
        <v>0</v>
      </c>
      <c r="X16" s="243">
        <f t="shared" si="13"/>
        <v>0</v>
      </c>
      <c r="Y16" s="243">
        <f t="shared" si="13"/>
        <v>0</v>
      </c>
      <c r="Z16" s="243">
        <f t="shared" si="13"/>
        <v>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5"/>
        <v>0</v>
      </c>
      <c r="H17" s="250">
        <f t="shared" si="1"/>
        <v>0</v>
      </c>
      <c r="I17" s="243">
        <v>850</v>
      </c>
      <c r="J17" s="243">
        <f t="shared" si="2"/>
        <v>0</v>
      </c>
      <c r="K17" s="243">
        <f t="shared" si="3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6" t="s">
        <v>402</v>
      </c>
      <c r="K19" s="327"/>
      <c r="L19" s="95"/>
      <c r="M19" s="210">
        <f>SUM(M7:M17)</f>
        <v>0</v>
      </c>
      <c r="N19" s="210">
        <f t="shared" ref="N19:Z19" si="15">SUM(N7:N17)</f>
        <v>225</v>
      </c>
      <c r="O19" s="210">
        <f t="shared" si="15"/>
        <v>225</v>
      </c>
      <c r="P19" s="210">
        <f t="shared" si="15"/>
        <v>225</v>
      </c>
      <c r="Q19" s="210">
        <f t="shared" si="15"/>
        <v>225</v>
      </c>
      <c r="R19" s="210">
        <f t="shared" si="15"/>
        <v>225</v>
      </c>
      <c r="S19" s="210">
        <f t="shared" si="15"/>
        <v>225</v>
      </c>
      <c r="T19" s="210">
        <f t="shared" si="15"/>
        <v>225</v>
      </c>
      <c r="U19" s="210">
        <f t="shared" si="15"/>
        <v>225</v>
      </c>
      <c r="V19" s="210">
        <f t="shared" si="15"/>
        <v>225</v>
      </c>
      <c r="W19" s="210">
        <f t="shared" si="15"/>
        <v>225</v>
      </c>
      <c r="X19" s="210">
        <f t="shared" si="15"/>
        <v>225</v>
      </c>
      <c r="Y19" s="210">
        <f t="shared" si="15"/>
        <v>225</v>
      </c>
      <c r="Z19" s="210">
        <f t="shared" si="15"/>
        <v>225</v>
      </c>
    </row>
    <row r="20" spans="1:26" ht="28" customHeight="1" x14ac:dyDescent="0.35">
      <c r="D20" s="46"/>
      <c r="E20" s="47"/>
      <c r="F20" s="47"/>
      <c r="J20" s="328" t="s">
        <v>397</v>
      </c>
      <c r="K20" s="329"/>
      <c r="L20" s="95"/>
      <c r="M20" s="211">
        <f>M19*$K$25</f>
        <v>0</v>
      </c>
      <c r="N20" s="211">
        <f t="shared" ref="N20:Z20" si="16">N19*$K$25</f>
        <v>4500</v>
      </c>
      <c r="O20" s="211">
        <f t="shared" si="16"/>
        <v>4500</v>
      </c>
      <c r="P20" s="211">
        <f t="shared" si="16"/>
        <v>4500</v>
      </c>
      <c r="Q20" s="211">
        <f t="shared" si="16"/>
        <v>4500</v>
      </c>
      <c r="R20" s="211">
        <f t="shared" si="16"/>
        <v>4500</v>
      </c>
      <c r="S20" s="211">
        <f t="shared" si="16"/>
        <v>4500</v>
      </c>
      <c r="T20" s="211">
        <f t="shared" si="16"/>
        <v>4500</v>
      </c>
      <c r="U20" s="211">
        <f t="shared" si="16"/>
        <v>4500</v>
      </c>
      <c r="V20" s="211">
        <f t="shared" si="16"/>
        <v>4500</v>
      </c>
      <c r="W20" s="211">
        <f t="shared" si="16"/>
        <v>4500</v>
      </c>
      <c r="X20" s="211">
        <f t="shared" si="16"/>
        <v>4500</v>
      </c>
      <c r="Y20" s="211">
        <f t="shared" si="16"/>
        <v>4500</v>
      </c>
      <c r="Z20" s="211">
        <f t="shared" si="16"/>
        <v>4500</v>
      </c>
    </row>
    <row r="21" spans="1:26" ht="28" customHeight="1" x14ac:dyDescent="0.35">
      <c r="D21" s="46"/>
      <c r="E21" s="47"/>
      <c r="F21" s="47"/>
      <c r="J21" s="326" t="s">
        <v>403</v>
      </c>
      <c r="K21" s="327"/>
      <c r="L21" s="95"/>
      <c r="M21" s="210">
        <f>SUM(M19:Z19)</f>
        <v>2925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8" t="s">
        <v>256</v>
      </c>
      <c r="K22" s="329"/>
      <c r="L22" s="95"/>
      <c r="M22" s="226">
        <f>SUM(M20:Z20)</f>
        <v>58500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1" t="str">
        <f>NOMINA!S24</f>
        <v>PREMISAS</v>
      </c>
      <c r="K24" s="302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30" t="s">
        <v>345</v>
      </c>
      <c r="K31" s="331"/>
      <c r="M31" s="10"/>
    </row>
    <row r="32" spans="1:26" ht="28" customHeight="1" thickBot="1" x14ac:dyDescent="0.4">
      <c r="I32" s="10"/>
      <c r="J32" s="332"/>
      <c r="K32" s="333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B2:C2"/>
    <mergeCell ref="C4:C6"/>
    <mergeCell ref="B4:B6"/>
    <mergeCell ref="F4:F6"/>
    <mergeCell ref="E4:E6"/>
    <mergeCell ref="D4:D6"/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D8" sqref="D8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1" t="s">
        <v>471</v>
      </c>
      <c r="D7" s="297" t="s">
        <v>472</v>
      </c>
      <c r="E7" s="237"/>
      <c r="F7" s="220">
        <v>1</v>
      </c>
      <c r="G7" s="238">
        <f>J7/$K$18</f>
        <v>3</v>
      </c>
      <c r="H7" s="250">
        <f t="shared" ref="H7:H9" si="0">F7*G7</f>
        <v>3</v>
      </c>
      <c r="I7" s="243">
        <v>60</v>
      </c>
      <c r="J7" s="243">
        <f>I7*F7</f>
        <v>60</v>
      </c>
      <c r="K7" s="243">
        <f>J7*1.16</f>
        <v>69.599999999999994</v>
      </c>
      <c r="M7" s="243">
        <v>0</v>
      </c>
      <c r="N7" s="243">
        <f>$H$7</f>
        <v>3</v>
      </c>
      <c r="O7" s="243">
        <f t="shared" ref="O7:Z7" si="1">$H$7</f>
        <v>3</v>
      </c>
      <c r="P7" s="243">
        <f t="shared" si="1"/>
        <v>3</v>
      </c>
      <c r="Q7" s="243">
        <f t="shared" si="1"/>
        <v>3</v>
      </c>
      <c r="R7" s="243">
        <f t="shared" si="1"/>
        <v>3</v>
      </c>
      <c r="S7" s="243">
        <f t="shared" si="1"/>
        <v>3</v>
      </c>
      <c r="T7" s="243">
        <f t="shared" si="1"/>
        <v>3</v>
      </c>
      <c r="U7" s="243">
        <f t="shared" si="1"/>
        <v>3</v>
      </c>
      <c r="V7" s="243">
        <f t="shared" si="1"/>
        <v>3</v>
      </c>
      <c r="W7" s="243">
        <f t="shared" si="1"/>
        <v>3</v>
      </c>
      <c r="X7" s="243">
        <f t="shared" si="1"/>
        <v>3</v>
      </c>
      <c r="Y7" s="243">
        <f t="shared" si="1"/>
        <v>3</v>
      </c>
      <c r="Z7" s="243">
        <f t="shared" si="1"/>
        <v>3</v>
      </c>
    </row>
    <row r="8" spans="1:104" ht="26" customHeight="1" x14ac:dyDescent="0.35">
      <c r="A8" s="12"/>
      <c r="B8" s="231" t="s">
        <v>92</v>
      </c>
      <c r="C8" s="237"/>
      <c r="D8" s="237"/>
      <c r="E8" s="237"/>
      <c r="F8" s="220">
        <v>0</v>
      </c>
      <c r="G8" s="238">
        <f>J8/$K$18</f>
        <v>0</v>
      </c>
      <c r="H8" s="250">
        <f t="shared" si="0"/>
        <v>0</v>
      </c>
      <c r="I8" s="243">
        <v>60</v>
      </c>
      <c r="J8" s="243">
        <f t="shared" ref="J8:J10" si="2">I8*F8</f>
        <v>0</v>
      </c>
      <c r="K8" s="243">
        <f t="shared" ref="K8:K10" si="3">J8*1.16</f>
        <v>0</v>
      </c>
      <c r="M8" s="243">
        <v>0</v>
      </c>
      <c r="N8" s="243">
        <f>$H$8</f>
        <v>0</v>
      </c>
      <c r="O8" s="243">
        <f t="shared" ref="O8:Z8" si="4">$H$8</f>
        <v>0</v>
      </c>
      <c r="P8" s="243">
        <f t="shared" si="4"/>
        <v>0</v>
      </c>
      <c r="Q8" s="243">
        <f t="shared" si="4"/>
        <v>0</v>
      </c>
      <c r="R8" s="243">
        <f t="shared" si="4"/>
        <v>0</v>
      </c>
      <c r="S8" s="243">
        <f t="shared" si="4"/>
        <v>0</v>
      </c>
      <c r="T8" s="243">
        <f t="shared" si="4"/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</row>
    <row r="9" spans="1:104" ht="26" customHeight="1" x14ac:dyDescent="0.35">
      <c r="A9" s="12"/>
      <c r="B9" s="231" t="s">
        <v>92</v>
      </c>
      <c r="C9" s="237"/>
      <c r="D9" s="237"/>
      <c r="E9" s="237"/>
      <c r="F9" s="220">
        <v>0</v>
      </c>
      <c r="G9" s="238">
        <f>J9/$K$18</f>
        <v>0</v>
      </c>
      <c r="H9" s="250">
        <f t="shared" si="0"/>
        <v>0</v>
      </c>
      <c r="I9" s="243">
        <v>60</v>
      </c>
      <c r="J9" s="243">
        <f t="shared" si="2"/>
        <v>0</v>
      </c>
      <c r="K9" s="243">
        <f t="shared" si="3"/>
        <v>0</v>
      </c>
      <c r="M9" s="243">
        <v>0</v>
      </c>
      <c r="N9" s="243">
        <f>$H$9</f>
        <v>0</v>
      </c>
      <c r="O9" s="243">
        <f t="shared" ref="O9:Z9" si="5">$H$9</f>
        <v>0</v>
      </c>
      <c r="P9" s="243">
        <f t="shared" si="5"/>
        <v>0</v>
      </c>
      <c r="Q9" s="243">
        <f t="shared" si="5"/>
        <v>0</v>
      </c>
      <c r="R9" s="243">
        <f t="shared" si="5"/>
        <v>0</v>
      </c>
      <c r="S9" s="243">
        <f t="shared" si="5"/>
        <v>0</v>
      </c>
      <c r="T9" s="243">
        <f t="shared" si="5"/>
        <v>0</v>
      </c>
      <c r="U9" s="243">
        <f t="shared" si="5"/>
        <v>0</v>
      </c>
      <c r="V9" s="243">
        <f t="shared" si="5"/>
        <v>0</v>
      </c>
      <c r="W9" s="243">
        <f t="shared" si="5"/>
        <v>0</v>
      </c>
      <c r="X9" s="243">
        <f t="shared" si="5"/>
        <v>0</v>
      </c>
      <c r="Y9" s="243">
        <f t="shared" si="5"/>
        <v>0</v>
      </c>
      <c r="Z9" s="243">
        <f t="shared" si="5"/>
        <v>0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6" t="s">
        <v>402</v>
      </c>
      <c r="K12" s="327"/>
      <c r="L12" s="95"/>
      <c r="M12" s="210">
        <f t="shared" ref="M12:Z12" si="7">SUM(M7:M10)</f>
        <v>0</v>
      </c>
      <c r="N12" s="210">
        <f t="shared" si="7"/>
        <v>3</v>
      </c>
      <c r="O12" s="210">
        <f t="shared" si="7"/>
        <v>3</v>
      </c>
      <c r="P12" s="210">
        <f t="shared" si="7"/>
        <v>3</v>
      </c>
      <c r="Q12" s="210">
        <f t="shared" si="7"/>
        <v>3</v>
      </c>
      <c r="R12" s="210">
        <f t="shared" si="7"/>
        <v>3</v>
      </c>
      <c r="S12" s="210">
        <f t="shared" si="7"/>
        <v>3</v>
      </c>
      <c r="T12" s="210">
        <f t="shared" si="7"/>
        <v>3</v>
      </c>
      <c r="U12" s="210">
        <f t="shared" si="7"/>
        <v>3</v>
      </c>
      <c r="V12" s="210">
        <f t="shared" si="7"/>
        <v>3</v>
      </c>
      <c r="W12" s="210">
        <f t="shared" si="7"/>
        <v>3</v>
      </c>
      <c r="X12" s="210">
        <f t="shared" si="7"/>
        <v>3</v>
      </c>
      <c r="Y12" s="210">
        <f t="shared" si="7"/>
        <v>3</v>
      </c>
      <c r="Z12" s="210">
        <f t="shared" si="7"/>
        <v>3</v>
      </c>
    </row>
    <row r="13" spans="1:104" ht="26" customHeight="1" x14ac:dyDescent="0.35">
      <c r="D13" s="46"/>
      <c r="E13" s="47"/>
      <c r="F13" s="47"/>
      <c r="J13" s="328" t="s">
        <v>397</v>
      </c>
      <c r="K13" s="329"/>
      <c r="L13" s="95"/>
      <c r="M13" s="211">
        <f>M12*$T$18</f>
        <v>0</v>
      </c>
      <c r="N13" s="211">
        <f>N12*$K$18</f>
        <v>60</v>
      </c>
      <c r="O13" s="211">
        <f t="shared" ref="O13:Z13" si="8">O12*$K$18</f>
        <v>60</v>
      </c>
      <c r="P13" s="211">
        <f t="shared" si="8"/>
        <v>60</v>
      </c>
      <c r="Q13" s="211">
        <f t="shared" si="8"/>
        <v>60</v>
      </c>
      <c r="R13" s="211">
        <f t="shared" si="8"/>
        <v>60</v>
      </c>
      <c r="S13" s="211">
        <f t="shared" si="8"/>
        <v>60</v>
      </c>
      <c r="T13" s="211">
        <f t="shared" si="8"/>
        <v>60</v>
      </c>
      <c r="U13" s="211">
        <f t="shared" si="8"/>
        <v>60</v>
      </c>
      <c r="V13" s="211">
        <f t="shared" si="8"/>
        <v>60</v>
      </c>
      <c r="W13" s="211">
        <f t="shared" si="8"/>
        <v>60</v>
      </c>
      <c r="X13" s="211">
        <f t="shared" si="8"/>
        <v>60</v>
      </c>
      <c r="Y13" s="211">
        <f t="shared" si="8"/>
        <v>60</v>
      </c>
      <c r="Z13" s="211">
        <f t="shared" si="8"/>
        <v>60</v>
      </c>
    </row>
    <row r="14" spans="1:104" ht="26" customHeight="1" x14ac:dyDescent="0.35">
      <c r="D14" s="46"/>
      <c r="E14" s="47"/>
      <c r="F14" s="47"/>
      <c r="J14" s="326" t="s">
        <v>403</v>
      </c>
      <c r="K14" s="327"/>
      <c r="L14" s="95"/>
      <c r="M14" s="210">
        <f>SUM(M12:Z12)</f>
        <v>39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8" t="s">
        <v>256</v>
      </c>
      <c r="K15" s="329"/>
      <c r="L15" s="95"/>
      <c r="M15" s="226">
        <f>SUM(M13:Z13)</f>
        <v>780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1" t="str">
        <f>NOMINA!S24</f>
        <v>PREMISAS</v>
      </c>
      <c r="K17" s="302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30" t="s">
        <v>345</v>
      </c>
      <c r="K24" s="331"/>
      <c r="M24" s="10"/>
    </row>
    <row r="25" spans="4:13" ht="26" customHeight="1" thickBot="1" x14ac:dyDescent="0.4">
      <c r="I25" s="10"/>
      <c r="J25" s="332"/>
      <c r="K25" s="333"/>
      <c r="M25" s="10"/>
    </row>
  </sheetData>
  <mergeCells count="16">
    <mergeCell ref="G4:G6"/>
    <mergeCell ref="B4:B6"/>
    <mergeCell ref="C4:C6"/>
    <mergeCell ref="D4:D6"/>
    <mergeCell ref="E4:E6"/>
    <mergeCell ref="F4:F6"/>
    <mergeCell ref="H4:H6"/>
    <mergeCell ref="I4:I6"/>
    <mergeCell ref="J4:J6"/>
    <mergeCell ref="K4:K5"/>
    <mergeCell ref="J12:K12"/>
    <mergeCell ref="J13:K13"/>
    <mergeCell ref="J14:K14"/>
    <mergeCell ref="J15:K15"/>
    <mergeCell ref="J17:K17"/>
    <mergeCell ref="J24:K25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H16" sqref="H16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325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325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5"/>
      <c r="C6" s="325"/>
      <c r="D6" s="325"/>
      <c r="E6" s="32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K6" s="325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476</v>
      </c>
      <c r="D7" s="237"/>
      <c r="E7" s="220">
        <v>1</v>
      </c>
      <c r="F7" s="238">
        <f t="shared" ref="F7:F15" si="0">I7/$K$25</f>
        <v>800</v>
      </c>
      <c r="G7" s="250">
        <f>E7*F7</f>
        <v>800</v>
      </c>
      <c r="H7" s="243">
        <v>16000</v>
      </c>
      <c r="I7" s="243">
        <f>H7*E7</f>
        <v>16000</v>
      </c>
      <c r="J7" s="243">
        <f>I7*1.16</f>
        <v>18560</v>
      </c>
      <c r="K7" s="243">
        <f t="shared" ref="K7:K15" si="1">J7/10</f>
        <v>1856</v>
      </c>
      <c r="L7" s="2"/>
      <c r="M7" s="243">
        <v>0</v>
      </c>
      <c r="N7" s="243">
        <f>$G$7</f>
        <v>800</v>
      </c>
      <c r="O7" s="243">
        <f t="shared" ref="O7:Z7" si="2">$G$7</f>
        <v>800</v>
      </c>
      <c r="P7" s="243">
        <f t="shared" si="2"/>
        <v>800</v>
      </c>
      <c r="Q7" s="243">
        <f t="shared" si="2"/>
        <v>800</v>
      </c>
      <c r="R7" s="243">
        <f t="shared" si="2"/>
        <v>800</v>
      </c>
      <c r="S7" s="243">
        <f t="shared" si="2"/>
        <v>800</v>
      </c>
      <c r="T7" s="243">
        <f t="shared" si="2"/>
        <v>800</v>
      </c>
      <c r="U7" s="243">
        <f t="shared" si="2"/>
        <v>800</v>
      </c>
      <c r="V7" s="243">
        <f t="shared" si="2"/>
        <v>800</v>
      </c>
      <c r="W7" s="243">
        <f t="shared" si="2"/>
        <v>800</v>
      </c>
      <c r="X7" s="243">
        <f t="shared" si="2"/>
        <v>800</v>
      </c>
      <c r="Y7" s="243">
        <f t="shared" si="2"/>
        <v>800</v>
      </c>
      <c r="Z7" s="243">
        <f t="shared" si="2"/>
        <v>800</v>
      </c>
    </row>
    <row r="8" spans="1:103" ht="22" customHeight="1" x14ac:dyDescent="0.35">
      <c r="A8" s="12"/>
      <c r="B8" s="231" t="s">
        <v>106</v>
      </c>
      <c r="C8" s="237" t="s">
        <v>476</v>
      </c>
      <c r="D8" s="237"/>
      <c r="E8" s="220">
        <v>1</v>
      </c>
      <c r="F8" s="238">
        <f t="shared" si="0"/>
        <v>325</v>
      </c>
      <c r="G8" s="250">
        <f t="shared" ref="G8:G15" si="3">E8*F8</f>
        <v>325</v>
      </c>
      <c r="H8" s="243">
        <v>6500</v>
      </c>
      <c r="I8" s="243">
        <f t="shared" ref="I8:I15" si="4">H8*E8</f>
        <v>6500</v>
      </c>
      <c r="J8" s="243">
        <f t="shared" ref="J8:J15" si="5">I8*1.16</f>
        <v>7539.9999999999991</v>
      </c>
      <c r="K8" s="243">
        <f t="shared" si="1"/>
        <v>753.99999999999989</v>
      </c>
      <c r="L8" s="2"/>
      <c r="M8" s="243">
        <v>0</v>
      </c>
      <c r="N8" s="243">
        <f>$G$8</f>
        <v>325</v>
      </c>
      <c r="O8" s="243">
        <f t="shared" ref="O8:Z8" si="6">$G$8</f>
        <v>325</v>
      </c>
      <c r="P8" s="243">
        <f t="shared" si="6"/>
        <v>325</v>
      </c>
      <c r="Q8" s="243">
        <f t="shared" si="6"/>
        <v>325</v>
      </c>
      <c r="R8" s="243">
        <f t="shared" si="6"/>
        <v>325</v>
      </c>
      <c r="S8" s="243">
        <f t="shared" si="6"/>
        <v>325</v>
      </c>
      <c r="T8" s="243">
        <f t="shared" si="6"/>
        <v>325</v>
      </c>
      <c r="U8" s="243">
        <f t="shared" si="6"/>
        <v>325</v>
      </c>
      <c r="V8" s="243">
        <f t="shared" si="6"/>
        <v>325</v>
      </c>
      <c r="W8" s="243">
        <f t="shared" si="6"/>
        <v>325</v>
      </c>
      <c r="X8" s="243">
        <f t="shared" si="6"/>
        <v>325</v>
      </c>
      <c r="Y8" s="243">
        <f t="shared" si="6"/>
        <v>325</v>
      </c>
      <c r="Z8" s="243">
        <f t="shared" si="6"/>
        <v>325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444</v>
      </c>
      <c r="D13" s="237"/>
      <c r="E13" s="220">
        <v>1</v>
      </c>
      <c r="F13" s="238">
        <f t="shared" si="0"/>
        <v>37.5</v>
      </c>
      <c r="G13" s="250">
        <f t="shared" si="3"/>
        <v>37.5</v>
      </c>
      <c r="H13" s="243">
        <v>750</v>
      </c>
      <c r="I13" s="243">
        <f t="shared" si="4"/>
        <v>750</v>
      </c>
      <c r="J13" s="243">
        <f t="shared" si="5"/>
        <v>869.99999999999989</v>
      </c>
      <c r="K13" s="243">
        <f t="shared" si="1"/>
        <v>86.999999999999986</v>
      </c>
      <c r="L13" s="2"/>
      <c r="M13" s="243">
        <v>0</v>
      </c>
      <c r="N13" s="243">
        <f>$G$13</f>
        <v>37.5</v>
      </c>
      <c r="O13" s="243">
        <f t="shared" ref="O13:Z13" si="11">$G$13</f>
        <v>37.5</v>
      </c>
      <c r="P13" s="243">
        <f t="shared" si="11"/>
        <v>37.5</v>
      </c>
      <c r="Q13" s="243">
        <f t="shared" si="11"/>
        <v>37.5</v>
      </c>
      <c r="R13" s="243">
        <f t="shared" si="11"/>
        <v>37.5</v>
      </c>
      <c r="S13" s="243">
        <f t="shared" si="11"/>
        <v>37.5</v>
      </c>
      <c r="T13" s="243">
        <f t="shared" si="11"/>
        <v>37.5</v>
      </c>
      <c r="U13" s="243">
        <f t="shared" si="11"/>
        <v>37.5</v>
      </c>
      <c r="V13" s="243">
        <f t="shared" si="11"/>
        <v>37.5</v>
      </c>
      <c r="W13" s="243">
        <f t="shared" si="11"/>
        <v>37.5</v>
      </c>
      <c r="X13" s="243">
        <f t="shared" si="11"/>
        <v>37.5</v>
      </c>
      <c r="Y13" s="243">
        <f t="shared" si="11"/>
        <v>37.5</v>
      </c>
      <c r="Z13" s="243">
        <f t="shared" si="11"/>
        <v>37.5</v>
      </c>
    </row>
    <row r="14" spans="1:103" ht="22" customHeight="1" x14ac:dyDescent="0.35">
      <c r="A14" s="12"/>
      <c r="B14" s="231" t="s">
        <v>112</v>
      </c>
      <c r="C14" s="237" t="s">
        <v>445</v>
      </c>
      <c r="D14" s="237"/>
      <c r="E14" s="220">
        <v>1</v>
      </c>
      <c r="F14" s="238">
        <f t="shared" si="0"/>
        <v>870</v>
      </c>
      <c r="G14" s="250">
        <f t="shared" si="3"/>
        <v>870</v>
      </c>
      <c r="H14" s="243">
        <v>17400</v>
      </c>
      <c r="I14" s="243">
        <f t="shared" si="4"/>
        <v>17400</v>
      </c>
      <c r="J14" s="243">
        <f t="shared" si="5"/>
        <v>20184</v>
      </c>
      <c r="K14" s="243">
        <f t="shared" si="1"/>
        <v>2018.4</v>
      </c>
      <c r="L14" s="2"/>
      <c r="M14" s="243">
        <v>0</v>
      </c>
      <c r="N14" s="243">
        <f>$G$14</f>
        <v>870</v>
      </c>
      <c r="O14" s="243">
        <f t="shared" ref="O14:Z14" si="12">$G$14</f>
        <v>870</v>
      </c>
      <c r="P14" s="243">
        <f t="shared" si="12"/>
        <v>870</v>
      </c>
      <c r="Q14" s="243">
        <f t="shared" si="12"/>
        <v>870</v>
      </c>
      <c r="R14" s="243">
        <f t="shared" si="12"/>
        <v>870</v>
      </c>
      <c r="S14" s="243">
        <f t="shared" si="12"/>
        <v>870</v>
      </c>
      <c r="T14" s="243">
        <f t="shared" si="12"/>
        <v>870</v>
      </c>
      <c r="U14" s="243">
        <f t="shared" si="12"/>
        <v>870</v>
      </c>
      <c r="V14" s="243">
        <f t="shared" si="12"/>
        <v>870</v>
      </c>
      <c r="W14" s="243">
        <f t="shared" si="12"/>
        <v>870</v>
      </c>
      <c r="X14" s="243">
        <f t="shared" si="12"/>
        <v>870</v>
      </c>
      <c r="Y14" s="243">
        <f t="shared" si="12"/>
        <v>870</v>
      </c>
      <c r="Z14" s="243">
        <f t="shared" si="12"/>
        <v>870</v>
      </c>
    </row>
    <row r="15" spans="1:103" ht="22" customHeight="1" x14ac:dyDescent="0.35">
      <c r="A15" s="12"/>
      <c r="B15" s="231" t="s">
        <v>113</v>
      </c>
      <c r="C15" s="237" t="s">
        <v>462</v>
      </c>
      <c r="D15" s="237"/>
      <c r="E15" s="220">
        <v>1</v>
      </c>
      <c r="F15" s="238">
        <f t="shared" si="0"/>
        <v>925</v>
      </c>
      <c r="G15" s="250">
        <f t="shared" si="3"/>
        <v>925</v>
      </c>
      <c r="H15" s="243">
        <v>18500</v>
      </c>
      <c r="I15" s="243">
        <f t="shared" si="4"/>
        <v>18500</v>
      </c>
      <c r="J15" s="243">
        <f t="shared" si="5"/>
        <v>21460</v>
      </c>
      <c r="K15" s="243">
        <f t="shared" si="1"/>
        <v>2146</v>
      </c>
      <c r="L15" s="2"/>
      <c r="M15" s="243">
        <v>0</v>
      </c>
      <c r="N15" s="243">
        <f>$G$15</f>
        <v>925</v>
      </c>
      <c r="O15" s="243">
        <f t="shared" ref="O15:Z15" si="13">$G$15</f>
        <v>925</v>
      </c>
      <c r="P15" s="243">
        <f t="shared" si="13"/>
        <v>925</v>
      </c>
      <c r="Q15" s="243">
        <f t="shared" si="13"/>
        <v>925</v>
      </c>
      <c r="R15" s="243">
        <f t="shared" si="13"/>
        <v>925</v>
      </c>
      <c r="S15" s="243">
        <f t="shared" si="13"/>
        <v>925</v>
      </c>
      <c r="T15" s="243">
        <f t="shared" si="13"/>
        <v>925</v>
      </c>
      <c r="U15" s="243">
        <f t="shared" si="13"/>
        <v>925</v>
      </c>
      <c r="V15" s="243">
        <f t="shared" si="13"/>
        <v>925</v>
      </c>
      <c r="W15" s="243">
        <f t="shared" si="13"/>
        <v>925</v>
      </c>
      <c r="X15" s="243">
        <f t="shared" si="13"/>
        <v>925</v>
      </c>
      <c r="Y15" s="243">
        <f t="shared" si="13"/>
        <v>925</v>
      </c>
      <c r="Z15" s="243">
        <f t="shared" si="13"/>
        <v>925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 t="s">
        <v>461</v>
      </c>
      <c r="I16" s="243"/>
      <c r="J16" s="243"/>
      <c r="K16" s="243"/>
      <c r="L16" s="2"/>
      <c r="M16" s="243"/>
      <c r="N16" s="243" t="str">
        <f>$H$16</f>
        <v xml:space="preserve"> </v>
      </c>
      <c r="O16" s="243" t="str">
        <f t="shared" ref="O16:Z16" si="14">$H$16</f>
        <v xml:space="preserve"> </v>
      </c>
      <c r="P16" s="243" t="str">
        <f t="shared" si="14"/>
        <v xml:space="preserve"> </v>
      </c>
      <c r="Q16" s="243" t="str">
        <f t="shared" si="14"/>
        <v xml:space="preserve"> </v>
      </c>
      <c r="R16" s="243" t="str">
        <f t="shared" si="14"/>
        <v xml:space="preserve"> </v>
      </c>
      <c r="S16" s="243" t="str">
        <f t="shared" si="14"/>
        <v xml:space="preserve"> </v>
      </c>
      <c r="T16" s="243" t="str">
        <f t="shared" si="14"/>
        <v xml:space="preserve"> </v>
      </c>
      <c r="U16" s="243" t="str">
        <f t="shared" si="14"/>
        <v xml:space="preserve"> </v>
      </c>
      <c r="V16" s="243" t="str">
        <f t="shared" si="14"/>
        <v xml:space="preserve"> </v>
      </c>
      <c r="W16" s="243" t="str">
        <f t="shared" si="14"/>
        <v xml:space="preserve"> </v>
      </c>
      <c r="X16" s="243" t="str">
        <f t="shared" si="14"/>
        <v xml:space="preserve"> </v>
      </c>
      <c r="Y16" s="243" t="str">
        <f t="shared" si="14"/>
        <v xml:space="preserve"> </v>
      </c>
      <c r="Z16" s="243" t="str">
        <f t="shared" si="14"/>
        <v xml:space="preserve"> 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6" t="s">
        <v>402</v>
      </c>
      <c r="K19" s="327"/>
      <c r="L19" s="95"/>
      <c r="M19" s="210">
        <f>SUM(M7:M17)</f>
        <v>0</v>
      </c>
      <c r="N19" s="210">
        <f t="shared" ref="N19:Z19" si="16">SUM(N7:N17)</f>
        <v>2957.5</v>
      </c>
      <c r="O19" s="210">
        <f t="shared" si="16"/>
        <v>2957.5</v>
      </c>
      <c r="P19" s="210">
        <f t="shared" si="16"/>
        <v>2957.5</v>
      </c>
      <c r="Q19" s="210">
        <f t="shared" si="16"/>
        <v>2957.5</v>
      </c>
      <c r="R19" s="210">
        <f t="shared" si="16"/>
        <v>2957.5</v>
      </c>
      <c r="S19" s="210">
        <f t="shared" si="16"/>
        <v>2957.5</v>
      </c>
      <c r="T19" s="210">
        <f t="shared" si="16"/>
        <v>2957.5</v>
      </c>
      <c r="U19" s="210">
        <f t="shared" si="16"/>
        <v>2957.5</v>
      </c>
      <c r="V19" s="210">
        <f t="shared" si="16"/>
        <v>2957.5</v>
      </c>
      <c r="W19" s="210">
        <f t="shared" si="16"/>
        <v>2957.5</v>
      </c>
      <c r="X19" s="210">
        <f t="shared" si="16"/>
        <v>2957.5</v>
      </c>
      <c r="Y19" s="210">
        <f t="shared" si="16"/>
        <v>2957.5</v>
      </c>
      <c r="Z19" s="210">
        <f t="shared" si="16"/>
        <v>2957.5</v>
      </c>
    </row>
    <row r="20" spans="1:26" ht="22" customHeight="1" x14ac:dyDescent="0.35">
      <c r="B20" s="2"/>
      <c r="E20" s="47"/>
      <c r="J20" s="328" t="s">
        <v>397</v>
      </c>
      <c r="K20" s="329"/>
      <c r="L20" s="95"/>
      <c r="M20" s="211">
        <f>M19*$T$25</f>
        <v>0</v>
      </c>
      <c r="N20" s="211">
        <f>N19*$K$25</f>
        <v>59150</v>
      </c>
      <c r="O20" s="211">
        <f t="shared" ref="O20:Z20" si="17">O19*$K$25</f>
        <v>59150</v>
      </c>
      <c r="P20" s="211">
        <f t="shared" si="17"/>
        <v>59150</v>
      </c>
      <c r="Q20" s="211">
        <f t="shared" si="17"/>
        <v>59150</v>
      </c>
      <c r="R20" s="211">
        <f t="shared" si="17"/>
        <v>59150</v>
      </c>
      <c r="S20" s="211">
        <f t="shared" si="17"/>
        <v>59150</v>
      </c>
      <c r="T20" s="211">
        <f t="shared" si="17"/>
        <v>59150</v>
      </c>
      <c r="U20" s="211">
        <f t="shared" si="17"/>
        <v>59150</v>
      </c>
      <c r="V20" s="211">
        <f t="shared" si="17"/>
        <v>59150</v>
      </c>
      <c r="W20" s="211">
        <f t="shared" si="17"/>
        <v>59150</v>
      </c>
      <c r="X20" s="211">
        <f t="shared" si="17"/>
        <v>59150</v>
      </c>
      <c r="Y20" s="211">
        <f t="shared" si="17"/>
        <v>59150</v>
      </c>
      <c r="Z20" s="211">
        <f t="shared" si="17"/>
        <v>59150</v>
      </c>
    </row>
    <row r="21" spans="1:26" ht="22" customHeight="1" x14ac:dyDescent="0.35">
      <c r="B21" s="2"/>
      <c r="E21" s="47"/>
      <c r="J21" s="326" t="s">
        <v>403</v>
      </c>
      <c r="K21" s="327"/>
      <c r="L21" s="95"/>
      <c r="M21" s="210">
        <f>SUM(M19:Z19)</f>
        <v>38447.5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8" t="s">
        <v>256</v>
      </c>
      <c r="K22" s="329"/>
      <c r="L22" s="95"/>
      <c r="M22" s="226">
        <f>SUM(M20:Z20)</f>
        <v>768950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1" t="s">
        <v>401</v>
      </c>
      <c r="K24" s="302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7" t="s">
        <v>345</v>
      </c>
      <c r="K31" s="348"/>
      <c r="L31" s="2"/>
      <c r="M31" s="10"/>
    </row>
    <row r="32" spans="1:26" ht="22" customHeight="1" x14ac:dyDescent="0.35">
      <c r="B32" s="2"/>
      <c r="J32" s="349"/>
      <c r="K32" s="350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11" activePane="bottomRight" state="frozen"/>
      <selection pane="topRight" activeCell="K1" sqref="K1"/>
      <selection pane="bottomLeft" activeCell="A7" sqref="A7"/>
      <selection pane="bottomRight" activeCell="H26" sqref="H26"/>
    </sheetView>
  </sheetViews>
  <sheetFormatPr baseColWidth="10" defaultColWidth="10.5" defaultRowHeight="20" customHeight="1" x14ac:dyDescent="0.35"/>
  <cols>
    <col min="1" max="1" width="7.5" style="4" customWidth="1"/>
    <col min="2" max="2" width="34" style="4" customWidth="1"/>
    <col min="3" max="3" width="38.8320312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6"/>
      <c r="C6" s="336"/>
      <c r="D6" s="336"/>
      <c r="E6" s="336"/>
      <c r="F6" s="336"/>
      <c r="G6" s="336" t="s">
        <v>242</v>
      </c>
      <c r="H6" s="336" t="s">
        <v>243</v>
      </c>
      <c r="I6" s="336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1" t="s">
        <v>477</v>
      </c>
      <c r="D7" s="237"/>
      <c r="E7" s="220">
        <v>1</v>
      </c>
      <c r="F7" s="238">
        <f>I7/$J$57</f>
        <v>11.595000000000001</v>
      </c>
      <c r="G7" s="250">
        <f>E7*F7</f>
        <v>11.595000000000001</v>
      </c>
      <c r="H7" s="243">
        <v>231.9</v>
      </c>
      <c r="I7" s="243">
        <f>H7*E7</f>
        <v>231.9</v>
      </c>
      <c r="J7" s="243">
        <f>I7*1.16</f>
        <v>269.00399999999996</v>
      </c>
      <c r="K7" s="2"/>
      <c r="L7" s="243">
        <v>0</v>
      </c>
      <c r="M7" s="243">
        <f>$G$7</f>
        <v>11.595000000000001</v>
      </c>
      <c r="N7" s="243">
        <f t="shared" ref="N7:Y7" si="0">$G$7</f>
        <v>11.595000000000001</v>
      </c>
      <c r="O7" s="243">
        <f t="shared" si="0"/>
        <v>11.595000000000001</v>
      </c>
      <c r="P7" s="243">
        <f t="shared" si="0"/>
        <v>11.595000000000001</v>
      </c>
      <c r="Q7" s="243">
        <f t="shared" si="0"/>
        <v>11.595000000000001</v>
      </c>
      <c r="R7" s="243">
        <f t="shared" si="0"/>
        <v>11.595000000000001</v>
      </c>
      <c r="S7" s="243">
        <f t="shared" si="0"/>
        <v>11.595000000000001</v>
      </c>
      <c r="T7" s="243">
        <f t="shared" si="0"/>
        <v>11.595000000000001</v>
      </c>
      <c r="U7" s="243">
        <f t="shared" si="0"/>
        <v>11.595000000000001</v>
      </c>
      <c r="V7" s="243">
        <f t="shared" si="0"/>
        <v>11.595000000000001</v>
      </c>
      <c r="W7" s="243">
        <f t="shared" si="0"/>
        <v>11.595000000000001</v>
      </c>
      <c r="X7" s="243">
        <f t="shared" si="0"/>
        <v>11.595000000000001</v>
      </c>
      <c r="Y7" s="243">
        <f t="shared" si="0"/>
        <v>11.595000000000001</v>
      </c>
    </row>
    <row r="8" spans="1:99" ht="20" customHeight="1" x14ac:dyDescent="0.35">
      <c r="A8" s="12"/>
      <c r="B8" s="231" t="s">
        <v>160</v>
      </c>
      <c r="C8" s="231" t="s">
        <v>473</v>
      </c>
      <c r="D8" s="237"/>
      <c r="E8" s="220">
        <v>1</v>
      </c>
      <c r="F8" s="238">
        <f t="shared" ref="F8:F9" si="1">I8/$J$57</f>
        <v>11.595000000000001</v>
      </c>
      <c r="G8" s="250">
        <f t="shared" ref="G8:G9" si="2">E8*F8</f>
        <v>11.595000000000001</v>
      </c>
      <c r="H8" s="243">
        <v>231.9</v>
      </c>
      <c r="I8" s="243">
        <f t="shared" ref="I8" si="3">H8*E8</f>
        <v>231.9</v>
      </c>
      <c r="J8" s="243">
        <f t="shared" ref="J8:J9" si="4">I8*1.16</f>
        <v>269.00399999999996</v>
      </c>
      <c r="K8" s="2"/>
      <c r="L8" s="243">
        <v>0</v>
      </c>
      <c r="M8" s="243">
        <f>$G$8</f>
        <v>11.595000000000001</v>
      </c>
      <c r="N8" s="243">
        <f t="shared" ref="N8:Y8" si="5">$G$8</f>
        <v>11.595000000000001</v>
      </c>
      <c r="O8" s="243">
        <f t="shared" si="5"/>
        <v>11.595000000000001</v>
      </c>
      <c r="P8" s="243">
        <f t="shared" si="5"/>
        <v>11.595000000000001</v>
      </c>
      <c r="Q8" s="243">
        <f t="shared" si="5"/>
        <v>11.595000000000001</v>
      </c>
      <c r="R8" s="243">
        <f t="shared" si="5"/>
        <v>11.595000000000001</v>
      </c>
      <c r="S8" s="243">
        <f t="shared" si="5"/>
        <v>11.595000000000001</v>
      </c>
      <c r="T8" s="243">
        <f t="shared" si="5"/>
        <v>11.595000000000001</v>
      </c>
      <c r="U8" s="243">
        <f t="shared" si="5"/>
        <v>11.595000000000001</v>
      </c>
      <c r="V8" s="243">
        <f t="shared" si="5"/>
        <v>11.595000000000001</v>
      </c>
      <c r="W8" s="243">
        <f t="shared" si="5"/>
        <v>11.595000000000001</v>
      </c>
      <c r="X8" s="243">
        <f t="shared" si="5"/>
        <v>11.595000000000001</v>
      </c>
      <c r="Y8" s="243">
        <f t="shared" si="5"/>
        <v>11.595000000000001</v>
      </c>
    </row>
    <row r="9" spans="1:99" ht="20" customHeight="1" x14ac:dyDescent="0.35">
      <c r="A9" s="12"/>
      <c r="B9" s="231" t="s">
        <v>160</v>
      </c>
      <c r="C9" s="231" t="s">
        <v>464</v>
      </c>
      <c r="D9" s="237"/>
      <c r="E9" s="220">
        <v>1</v>
      </c>
      <c r="F9" s="238">
        <f t="shared" si="1"/>
        <v>11.595000000000001</v>
      </c>
      <c r="G9" s="250">
        <f t="shared" si="2"/>
        <v>11.595000000000001</v>
      </c>
      <c r="H9" s="243">
        <v>369.83</v>
      </c>
      <c r="I9" s="243">
        <v>231.9</v>
      </c>
      <c r="J9" s="243">
        <f t="shared" si="4"/>
        <v>269.00399999999996</v>
      </c>
      <c r="K9" s="2"/>
      <c r="L9" s="243">
        <v>0</v>
      </c>
      <c r="M9" s="243">
        <f>$G$9</f>
        <v>11.595000000000001</v>
      </c>
      <c r="N9" s="243">
        <f t="shared" ref="N9:Y9" si="6">$G$9</f>
        <v>11.595000000000001</v>
      </c>
      <c r="O9" s="243">
        <f t="shared" si="6"/>
        <v>11.595000000000001</v>
      </c>
      <c r="P9" s="243">
        <f t="shared" si="6"/>
        <v>11.595000000000001</v>
      </c>
      <c r="Q9" s="243">
        <f t="shared" si="6"/>
        <v>11.595000000000001</v>
      </c>
      <c r="R9" s="243">
        <f t="shared" si="6"/>
        <v>11.595000000000001</v>
      </c>
      <c r="S9" s="243">
        <f t="shared" si="6"/>
        <v>11.595000000000001</v>
      </c>
      <c r="T9" s="243">
        <f t="shared" si="6"/>
        <v>11.595000000000001</v>
      </c>
      <c r="U9" s="243">
        <f t="shared" si="6"/>
        <v>11.595000000000001</v>
      </c>
      <c r="V9" s="243">
        <f t="shared" si="6"/>
        <v>11.595000000000001</v>
      </c>
      <c r="W9" s="243">
        <f t="shared" si="6"/>
        <v>11.595000000000001</v>
      </c>
      <c r="X9" s="243">
        <f t="shared" si="6"/>
        <v>11.595000000000001</v>
      </c>
      <c r="Y9" s="243">
        <f t="shared" si="6"/>
        <v>11.595000000000001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6" t="s">
        <v>402</v>
      </c>
      <c r="J11" s="327"/>
      <c r="K11" s="95"/>
      <c r="L11" s="210">
        <f>SUM(L7:L9)</f>
        <v>0</v>
      </c>
      <c r="M11" s="210">
        <f t="shared" ref="M11:Y11" si="7">SUM(M7:M9)</f>
        <v>34.785000000000004</v>
      </c>
      <c r="N11" s="210">
        <f t="shared" si="7"/>
        <v>34.785000000000004</v>
      </c>
      <c r="O11" s="210">
        <f t="shared" si="7"/>
        <v>34.785000000000004</v>
      </c>
      <c r="P11" s="210">
        <f t="shared" si="7"/>
        <v>34.785000000000004</v>
      </c>
      <c r="Q11" s="210">
        <f t="shared" si="7"/>
        <v>34.785000000000004</v>
      </c>
      <c r="R11" s="210">
        <f t="shared" si="7"/>
        <v>34.785000000000004</v>
      </c>
      <c r="S11" s="210">
        <f t="shared" si="7"/>
        <v>34.785000000000004</v>
      </c>
      <c r="T11" s="210">
        <f t="shared" si="7"/>
        <v>34.785000000000004</v>
      </c>
      <c r="U11" s="210">
        <f t="shared" si="7"/>
        <v>34.785000000000004</v>
      </c>
      <c r="V11" s="210">
        <f t="shared" si="7"/>
        <v>34.785000000000004</v>
      </c>
      <c r="W11" s="210">
        <f t="shared" si="7"/>
        <v>34.785000000000004</v>
      </c>
      <c r="X11" s="210">
        <f t="shared" si="7"/>
        <v>34.785000000000004</v>
      </c>
      <c r="Y11" s="210">
        <f t="shared" si="7"/>
        <v>34.785000000000004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8" t="s">
        <v>397</v>
      </c>
      <c r="J12" s="329"/>
      <c r="K12" s="95"/>
      <c r="L12" s="211">
        <f>L11*$T$25</f>
        <v>0</v>
      </c>
      <c r="M12" s="211">
        <f>M11*$J$57</f>
        <v>695.7</v>
      </c>
      <c r="N12" s="211">
        <f t="shared" ref="N12:Y12" si="8">N11*$J$57</f>
        <v>695.7</v>
      </c>
      <c r="O12" s="211">
        <f t="shared" si="8"/>
        <v>695.7</v>
      </c>
      <c r="P12" s="211">
        <f t="shared" si="8"/>
        <v>695.7</v>
      </c>
      <c r="Q12" s="211">
        <f t="shared" si="8"/>
        <v>695.7</v>
      </c>
      <c r="R12" s="211">
        <f t="shared" si="8"/>
        <v>695.7</v>
      </c>
      <c r="S12" s="211">
        <f t="shared" si="8"/>
        <v>695.7</v>
      </c>
      <c r="T12" s="211">
        <f t="shared" si="8"/>
        <v>695.7</v>
      </c>
      <c r="U12" s="211">
        <f t="shared" si="8"/>
        <v>695.7</v>
      </c>
      <c r="V12" s="211">
        <f t="shared" si="8"/>
        <v>695.7</v>
      </c>
      <c r="W12" s="211">
        <f t="shared" si="8"/>
        <v>695.7</v>
      </c>
      <c r="X12" s="211">
        <f t="shared" si="8"/>
        <v>695.7</v>
      </c>
      <c r="Y12" s="211">
        <f t="shared" si="8"/>
        <v>695.7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6" t="s">
        <v>403</v>
      </c>
      <c r="J13" s="327"/>
      <c r="K13" s="95"/>
      <c r="L13" s="210">
        <f>SUM(L11:Y11)</f>
        <v>452.20500000000015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8" t="s">
        <v>256</v>
      </c>
      <c r="J14" s="329"/>
      <c r="K14" s="95"/>
      <c r="L14" s="226">
        <f>SUM(L12:Y12)</f>
        <v>9044.1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446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6" t="s">
        <v>402</v>
      </c>
      <c r="J20" s="327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8" t="s">
        <v>397</v>
      </c>
      <c r="J21" s="329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6" t="s">
        <v>403</v>
      </c>
      <c r="J22" s="327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8" t="s">
        <v>256</v>
      </c>
      <c r="J23" s="329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429</v>
      </c>
      <c r="D25" s="237"/>
      <c r="E25" s="220">
        <v>1</v>
      </c>
      <c r="F25" s="238">
        <f>I25/$J$57</f>
        <v>464</v>
      </c>
      <c r="G25" s="250">
        <f>E25*F25</f>
        <v>464</v>
      </c>
      <c r="H25" s="243">
        <v>9280</v>
      </c>
      <c r="I25" s="243">
        <f>H25*E25</f>
        <v>9280</v>
      </c>
      <c r="J25" s="243">
        <f>I25*1.16</f>
        <v>10764.8</v>
      </c>
      <c r="K25" s="2"/>
      <c r="L25" s="243">
        <v>0</v>
      </c>
      <c r="M25" s="243">
        <f>$G$25</f>
        <v>464</v>
      </c>
      <c r="N25" s="243">
        <f t="shared" ref="N25:Y25" si="29">$G$25</f>
        <v>464</v>
      </c>
      <c r="O25" s="243">
        <f t="shared" si="29"/>
        <v>464</v>
      </c>
      <c r="P25" s="243">
        <f t="shared" si="29"/>
        <v>464</v>
      </c>
      <c r="Q25" s="243">
        <f t="shared" si="29"/>
        <v>464</v>
      </c>
      <c r="R25" s="243">
        <f t="shared" si="29"/>
        <v>464</v>
      </c>
      <c r="S25" s="243">
        <f t="shared" si="29"/>
        <v>464</v>
      </c>
      <c r="T25" s="243">
        <f t="shared" si="29"/>
        <v>464</v>
      </c>
      <c r="U25" s="243">
        <f t="shared" si="29"/>
        <v>464</v>
      </c>
      <c r="V25" s="243">
        <f t="shared" si="29"/>
        <v>464</v>
      </c>
      <c r="W25" s="243">
        <f t="shared" si="29"/>
        <v>464</v>
      </c>
      <c r="X25" s="243">
        <f t="shared" si="29"/>
        <v>464</v>
      </c>
      <c r="Y25" s="243">
        <f t="shared" si="29"/>
        <v>464</v>
      </c>
    </row>
    <row r="26" spans="1:25" ht="20" customHeight="1" x14ac:dyDescent="0.35">
      <c r="A26" s="12"/>
      <c r="B26" s="231" t="s">
        <v>162</v>
      </c>
      <c r="C26" s="237" t="s">
        <v>430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6" t="s">
        <v>402</v>
      </c>
      <c r="J29" s="327"/>
      <c r="K29" s="95"/>
      <c r="L29" s="210">
        <f>SUM(L25:L27)</f>
        <v>0</v>
      </c>
      <c r="M29" s="210">
        <f t="shared" ref="M29:Y29" si="36">SUM(M25:M27)</f>
        <v>464</v>
      </c>
      <c r="N29" s="210">
        <f t="shared" si="36"/>
        <v>464</v>
      </c>
      <c r="O29" s="210">
        <f t="shared" si="36"/>
        <v>464</v>
      </c>
      <c r="P29" s="210">
        <f t="shared" si="36"/>
        <v>464</v>
      </c>
      <c r="Q29" s="210">
        <f t="shared" si="36"/>
        <v>464</v>
      </c>
      <c r="R29" s="210">
        <f t="shared" si="36"/>
        <v>464</v>
      </c>
      <c r="S29" s="210">
        <f t="shared" si="36"/>
        <v>464</v>
      </c>
      <c r="T29" s="210">
        <f t="shared" si="36"/>
        <v>464</v>
      </c>
      <c r="U29" s="210">
        <f t="shared" si="36"/>
        <v>464</v>
      </c>
      <c r="V29" s="210">
        <f t="shared" si="36"/>
        <v>464</v>
      </c>
      <c r="W29" s="210">
        <f t="shared" si="36"/>
        <v>464</v>
      </c>
      <c r="X29" s="210">
        <f t="shared" si="36"/>
        <v>464</v>
      </c>
      <c r="Y29" s="210">
        <f t="shared" si="36"/>
        <v>464</v>
      </c>
    </row>
    <row r="30" spans="1:25" ht="20" customHeight="1" x14ac:dyDescent="0.35">
      <c r="A30" s="12"/>
      <c r="D30" s="4"/>
      <c r="E30" s="4"/>
      <c r="H30" s="4"/>
      <c r="I30" s="328" t="s">
        <v>397</v>
      </c>
      <c r="J30" s="329"/>
      <c r="K30" s="95"/>
      <c r="L30" s="211">
        <f>L29*$T$25</f>
        <v>0</v>
      </c>
      <c r="M30" s="211">
        <f>M29*$J$57</f>
        <v>9280</v>
      </c>
      <c r="N30" s="211">
        <f t="shared" ref="N30" si="37">N29*$J$57</f>
        <v>9280</v>
      </c>
      <c r="O30" s="211">
        <f t="shared" ref="O30" si="38">O29*$J$57</f>
        <v>9280</v>
      </c>
      <c r="P30" s="211">
        <f t="shared" ref="P30" si="39">P29*$J$57</f>
        <v>9280</v>
      </c>
      <c r="Q30" s="211">
        <f t="shared" ref="Q30" si="40">Q29*$J$57</f>
        <v>9280</v>
      </c>
      <c r="R30" s="211">
        <f t="shared" ref="R30" si="41">R29*$J$57</f>
        <v>9280</v>
      </c>
      <c r="S30" s="211">
        <f t="shared" ref="S30" si="42">S29*$J$57</f>
        <v>9280</v>
      </c>
      <c r="T30" s="211">
        <f t="shared" ref="T30" si="43">T29*$J$57</f>
        <v>9280</v>
      </c>
      <c r="U30" s="211">
        <f t="shared" ref="U30" si="44">U29*$J$57</f>
        <v>9280</v>
      </c>
      <c r="V30" s="211">
        <f t="shared" ref="V30" si="45">V29*$J$57</f>
        <v>9280</v>
      </c>
      <c r="W30" s="211">
        <f t="shared" ref="W30" si="46">W29*$J$57</f>
        <v>9280</v>
      </c>
      <c r="X30" s="211">
        <f t="shared" ref="X30" si="47">X29*$J$57</f>
        <v>9280</v>
      </c>
      <c r="Y30" s="211">
        <f t="shared" ref="Y30" si="48">Y29*$J$57</f>
        <v>9280</v>
      </c>
    </row>
    <row r="31" spans="1:25" ht="20" customHeight="1" x14ac:dyDescent="0.35">
      <c r="A31" s="12"/>
      <c r="D31" s="4"/>
      <c r="E31" s="4"/>
      <c r="H31" s="4"/>
      <c r="I31" s="326" t="s">
        <v>403</v>
      </c>
      <c r="J31" s="327"/>
      <c r="K31" s="95"/>
      <c r="L31" s="210">
        <f>SUM(L29:Y29)</f>
        <v>6032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8" t="s">
        <v>256</v>
      </c>
      <c r="J32" s="329"/>
      <c r="K32" s="95"/>
      <c r="L32" s="226">
        <f>SUM(L30:Y30)</f>
        <v>120640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6" t="s">
        <v>402</v>
      </c>
      <c r="J35" s="327"/>
      <c r="K35" s="95"/>
      <c r="L35" s="210">
        <f>+L29+L20+L11</f>
        <v>0</v>
      </c>
      <c r="M35" s="210">
        <f t="shared" ref="M35:Y35" si="49">+M29+M20+M11</f>
        <v>573.78499999999997</v>
      </c>
      <c r="N35" s="210">
        <f t="shared" si="49"/>
        <v>573.78499999999997</v>
      </c>
      <c r="O35" s="210">
        <f t="shared" si="49"/>
        <v>573.78499999999997</v>
      </c>
      <c r="P35" s="210">
        <f t="shared" si="49"/>
        <v>573.78499999999997</v>
      </c>
      <c r="Q35" s="210">
        <f t="shared" si="49"/>
        <v>573.78499999999997</v>
      </c>
      <c r="R35" s="210">
        <f t="shared" si="49"/>
        <v>573.78499999999997</v>
      </c>
      <c r="S35" s="210">
        <f t="shared" si="49"/>
        <v>573.78499999999997</v>
      </c>
      <c r="T35" s="210">
        <f t="shared" si="49"/>
        <v>573.78499999999997</v>
      </c>
      <c r="U35" s="210">
        <f t="shared" si="49"/>
        <v>573.78499999999997</v>
      </c>
      <c r="V35" s="210">
        <f t="shared" si="49"/>
        <v>573.78499999999997</v>
      </c>
      <c r="W35" s="210">
        <f t="shared" si="49"/>
        <v>573.78499999999997</v>
      </c>
      <c r="X35" s="210">
        <f t="shared" si="49"/>
        <v>573.78499999999997</v>
      </c>
      <c r="Y35" s="210">
        <f t="shared" si="49"/>
        <v>573.78499999999997</v>
      </c>
    </row>
    <row r="36" spans="1:99" ht="20" customHeight="1" x14ac:dyDescent="0.35">
      <c r="A36" s="12"/>
      <c r="D36" s="4"/>
      <c r="E36" s="4"/>
      <c r="H36" s="4"/>
      <c r="I36" s="328" t="s">
        <v>397</v>
      </c>
      <c r="J36" s="329"/>
      <c r="K36" s="95"/>
      <c r="L36" s="211">
        <f>L35*$J$57</f>
        <v>0</v>
      </c>
      <c r="M36" s="211">
        <f t="shared" ref="M36:Y36" si="50">M35*$J$57</f>
        <v>11475.699999999999</v>
      </c>
      <c r="N36" s="211">
        <f t="shared" si="50"/>
        <v>11475.699999999999</v>
      </c>
      <c r="O36" s="211">
        <f t="shared" si="50"/>
        <v>11475.699999999999</v>
      </c>
      <c r="P36" s="211">
        <f t="shared" si="50"/>
        <v>11475.699999999999</v>
      </c>
      <c r="Q36" s="211">
        <f t="shared" si="50"/>
        <v>11475.699999999999</v>
      </c>
      <c r="R36" s="211">
        <f t="shared" si="50"/>
        <v>11475.699999999999</v>
      </c>
      <c r="S36" s="211">
        <f t="shared" si="50"/>
        <v>11475.699999999999</v>
      </c>
      <c r="T36" s="211">
        <f t="shared" si="50"/>
        <v>11475.699999999999</v>
      </c>
      <c r="U36" s="211">
        <f t="shared" si="50"/>
        <v>11475.699999999999</v>
      </c>
      <c r="V36" s="211">
        <f t="shared" si="50"/>
        <v>11475.699999999999</v>
      </c>
      <c r="W36" s="211">
        <f t="shared" si="50"/>
        <v>11475.699999999999</v>
      </c>
      <c r="X36" s="211">
        <f t="shared" si="50"/>
        <v>11475.699999999999</v>
      </c>
      <c r="Y36" s="211">
        <f t="shared" si="50"/>
        <v>11475.699999999999</v>
      </c>
    </row>
    <row r="37" spans="1:99" ht="20" customHeight="1" x14ac:dyDescent="0.35">
      <c r="A37" s="12"/>
      <c r="D37" s="4"/>
      <c r="E37" s="4"/>
      <c r="H37" s="4"/>
      <c r="I37" s="326" t="s">
        <v>403</v>
      </c>
      <c r="J37" s="327"/>
      <c r="K37" s="95"/>
      <c r="L37" s="210">
        <f>SUM(L35:Y35)</f>
        <v>7459.204999999999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8" t="s">
        <v>256</v>
      </c>
      <c r="J38" s="329"/>
      <c r="K38" s="95"/>
      <c r="L38" s="226">
        <f>SUM(L36:Y36)</f>
        <v>149184.1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6" t="s">
        <v>263</v>
      </c>
      <c r="C44" s="325" t="s">
        <v>1</v>
      </c>
      <c r="D44" s="325" t="s">
        <v>23</v>
      </c>
      <c r="E44" s="325" t="s">
        <v>2</v>
      </c>
      <c r="F44" s="325" t="s">
        <v>239</v>
      </c>
      <c r="G44" s="325" t="s">
        <v>344</v>
      </c>
      <c r="H44" s="325" t="s">
        <v>240</v>
      </c>
      <c r="I44" s="325" t="s">
        <v>256</v>
      </c>
      <c r="J44" s="334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5"/>
      <c r="C45" s="325"/>
      <c r="D45" s="325"/>
      <c r="E45" s="325"/>
      <c r="F45" s="325"/>
      <c r="G45" s="325" t="s">
        <v>344</v>
      </c>
      <c r="H45" s="325" t="s">
        <v>240</v>
      </c>
      <c r="I45" s="325" t="s">
        <v>256</v>
      </c>
      <c r="J45" s="334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6"/>
      <c r="C46" s="336"/>
      <c r="D46" s="336"/>
      <c r="E46" s="336"/>
      <c r="F46" s="336"/>
      <c r="G46" s="336" t="s">
        <v>242</v>
      </c>
      <c r="H46" s="336" t="s">
        <v>243</v>
      </c>
      <c r="I46" s="336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6" t="s">
        <v>402</v>
      </c>
      <c r="J50" s="327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8" t="s">
        <v>397</v>
      </c>
      <c r="J51" s="329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6" t="s">
        <v>403</v>
      </c>
      <c r="J52" s="327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8" t="s">
        <v>256</v>
      </c>
      <c r="J53" s="329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30" t="s">
        <v>345</v>
      </c>
      <c r="J63" s="331"/>
    </row>
    <row r="64" spans="1:25" ht="20" customHeight="1" thickBot="1" x14ac:dyDescent="0.4">
      <c r="I64" s="332"/>
      <c r="J64" s="333"/>
    </row>
  </sheetData>
  <mergeCells count="39"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  <mergeCell ref="I23:J23"/>
    <mergeCell ref="I29:J29"/>
    <mergeCell ref="I30:J30"/>
    <mergeCell ref="I31:J31"/>
    <mergeCell ref="I32:J32"/>
    <mergeCell ref="I35:J35"/>
    <mergeCell ref="I36:J36"/>
    <mergeCell ref="I37:J37"/>
    <mergeCell ref="I38:J38"/>
    <mergeCell ref="I50:J50"/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R16" activePane="bottomRight" state="frozen"/>
      <selection pane="topRight" activeCell="Q1" sqref="Q1"/>
      <selection pane="bottomLeft" activeCell="A4" sqref="A4"/>
      <selection pane="bottomRight" activeCell="L23" sqref="L23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6" t="s">
        <v>1</v>
      </c>
      <c r="C4" s="346" t="s">
        <v>98</v>
      </c>
      <c r="D4" s="346" t="s">
        <v>94</v>
      </c>
      <c r="E4" s="346" t="s">
        <v>95</v>
      </c>
      <c r="F4" s="346" t="s">
        <v>93</v>
      </c>
      <c r="G4" s="346" t="s">
        <v>96</v>
      </c>
      <c r="H4" s="346" t="s">
        <v>97</v>
      </c>
      <c r="I4" s="346" t="s">
        <v>261</v>
      </c>
      <c r="J4" s="346" t="s">
        <v>73</v>
      </c>
      <c r="L4" s="325" t="s">
        <v>239</v>
      </c>
      <c r="M4" s="325" t="s">
        <v>344</v>
      </c>
      <c r="N4" s="325" t="s">
        <v>240</v>
      </c>
      <c r="O4" s="325" t="s">
        <v>256</v>
      </c>
      <c r="P4" s="334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325"/>
      <c r="L5" s="325"/>
      <c r="M5" s="325" t="s">
        <v>344</v>
      </c>
      <c r="N5" s="325" t="s">
        <v>240</v>
      </c>
      <c r="O5" s="325" t="s">
        <v>256</v>
      </c>
      <c r="P5" s="334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J6" s="325"/>
      <c r="K6" s="2"/>
      <c r="L6" s="325"/>
      <c r="M6" s="325" t="s">
        <v>242</v>
      </c>
      <c r="N6" s="325" t="s">
        <v>243</v>
      </c>
      <c r="O6" s="325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447</v>
      </c>
      <c r="C7" s="242">
        <v>0</v>
      </c>
      <c r="D7" s="242">
        <v>0</v>
      </c>
      <c r="E7" s="242">
        <v>30000</v>
      </c>
      <c r="F7" s="242">
        <v>25000</v>
      </c>
      <c r="G7" s="242">
        <v>50000</v>
      </c>
      <c r="H7" s="242">
        <v>16000</v>
      </c>
      <c r="I7" s="242">
        <v>1500</v>
      </c>
      <c r="J7" s="242">
        <v>22714.560000000001</v>
      </c>
      <c r="L7" s="242">
        <f>+O7/$P$36</f>
        <v>605.06066666666663</v>
      </c>
      <c r="M7" s="250">
        <f>L7</f>
        <v>605.06066666666663</v>
      </c>
      <c r="N7" s="242">
        <f>SUM(C7:J7)/12</f>
        <v>12101.213333333333</v>
      </c>
      <c r="O7" s="242">
        <f>+N7</f>
        <v>12101.213333333333</v>
      </c>
      <c r="P7" s="242">
        <f>+O7*1.16</f>
        <v>14037.407466666666</v>
      </c>
      <c r="Q7" s="56"/>
      <c r="R7" s="243">
        <v>0</v>
      </c>
      <c r="S7" s="243">
        <f>$M$7</f>
        <v>605.06066666666663</v>
      </c>
      <c r="T7" s="243">
        <f t="shared" ref="T7:AE7" si="0">$M$7</f>
        <v>605.06066666666663</v>
      </c>
      <c r="U7" s="243">
        <f t="shared" si="0"/>
        <v>605.06066666666663</v>
      </c>
      <c r="V7" s="243">
        <f t="shared" si="0"/>
        <v>605.06066666666663</v>
      </c>
      <c r="W7" s="243">
        <f t="shared" si="0"/>
        <v>605.06066666666663</v>
      </c>
      <c r="X7" s="243">
        <f t="shared" si="0"/>
        <v>605.06066666666663</v>
      </c>
      <c r="Y7" s="243">
        <f t="shared" si="0"/>
        <v>605.06066666666663</v>
      </c>
      <c r="Z7" s="243">
        <f t="shared" si="0"/>
        <v>605.06066666666663</v>
      </c>
      <c r="AA7" s="243">
        <f t="shared" si="0"/>
        <v>605.06066666666663</v>
      </c>
      <c r="AB7" s="243">
        <f t="shared" si="0"/>
        <v>605.06066666666663</v>
      </c>
      <c r="AC7" s="243">
        <f t="shared" si="0"/>
        <v>605.06066666666663</v>
      </c>
      <c r="AD7" s="243">
        <f t="shared" si="0"/>
        <v>605.06066666666663</v>
      </c>
      <c r="AE7" s="243">
        <f t="shared" si="0"/>
        <v>605.06066666666663</v>
      </c>
    </row>
    <row r="8" spans="1:33" s="2" customFormat="1" ht="20" customHeight="1" x14ac:dyDescent="0.35">
      <c r="A8" s="13"/>
      <c r="B8" s="231" t="s">
        <v>448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L8" s="242">
        <f>+O8/$P$36</f>
        <v>0</v>
      </c>
      <c r="M8" s="250">
        <f t="shared" ref="M8:M9" si="1">L8</f>
        <v>0</v>
      </c>
      <c r="N8" s="242">
        <f>SUM(C8:J8)/12</f>
        <v>0</v>
      </c>
      <c r="O8" s="242">
        <f t="shared" ref="O8:O9" si="2">+N8</f>
        <v>0</v>
      </c>
      <c r="P8" s="242">
        <f t="shared" ref="P8:P9" si="3">+O8*1.16</f>
        <v>0</v>
      </c>
      <c r="Q8" s="56"/>
      <c r="R8" s="243">
        <v>0</v>
      </c>
      <c r="S8" s="243">
        <f>$M$8</f>
        <v>0</v>
      </c>
      <c r="T8" s="243">
        <f t="shared" ref="T8:AE8" si="4">$M$8</f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  <c r="AA8" s="243">
        <f t="shared" si="4"/>
        <v>0</v>
      </c>
      <c r="AB8" s="243">
        <f t="shared" si="4"/>
        <v>0</v>
      </c>
      <c r="AC8" s="243">
        <f t="shared" si="4"/>
        <v>0</v>
      </c>
      <c r="AD8" s="243">
        <f t="shared" si="4"/>
        <v>0</v>
      </c>
      <c r="AE8" s="243">
        <f t="shared" si="4"/>
        <v>0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6" t="s">
        <v>402</v>
      </c>
      <c r="P11" s="327"/>
      <c r="Q11" s="95"/>
      <c r="R11" s="210">
        <f>SUM(R7:R10)</f>
        <v>0</v>
      </c>
      <c r="S11" s="210">
        <f t="shared" ref="S11:AE11" si="7">SUM(S7:S10)</f>
        <v>605.06066666666663</v>
      </c>
      <c r="T11" s="210">
        <f t="shared" si="7"/>
        <v>605.06066666666663</v>
      </c>
      <c r="U11" s="210">
        <f t="shared" si="7"/>
        <v>605.06066666666663</v>
      </c>
      <c r="V11" s="210">
        <f t="shared" si="7"/>
        <v>605.06066666666663</v>
      </c>
      <c r="W11" s="210">
        <f t="shared" si="7"/>
        <v>605.06066666666663</v>
      </c>
      <c r="X11" s="210">
        <f t="shared" si="7"/>
        <v>605.06066666666663</v>
      </c>
      <c r="Y11" s="210">
        <f t="shared" si="7"/>
        <v>605.06066666666663</v>
      </c>
      <c r="Z11" s="210">
        <f t="shared" si="7"/>
        <v>605.06066666666663</v>
      </c>
      <c r="AA11" s="210">
        <f t="shared" si="7"/>
        <v>605.06066666666663</v>
      </c>
      <c r="AB11" s="210">
        <f t="shared" si="7"/>
        <v>605.06066666666663</v>
      </c>
      <c r="AC11" s="210">
        <f t="shared" si="7"/>
        <v>605.06066666666663</v>
      </c>
      <c r="AD11" s="210">
        <f t="shared" si="7"/>
        <v>605.06066666666663</v>
      </c>
      <c r="AE11" s="210">
        <f t="shared" si="7"/>
        <v>605.06066666666663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8" t="s">
        <v>397</v>
      </c>
      <c r="P12" s="329"/>
      <c r="Q12" s="95"/>
      <c r="R12" s="211">
        <f t="shared" ref="R12:AE12" si="8">R11*$P$36</f>
        <v>0</v>
      </c>
      <c r="S12" s="211">
        <f t="shared" si="8"/>
        <v>12101.213333333333</v>
      </c>
      <c r="T12" s="211">
        <f t="shared" si="8"/>
        <v>12101.213333333333</v>
      </c>
      <c r="U12" s="211">
        <f t="shared" si="8"/>
        <v>12101.213333333333</v>
      </c>
      <c r="V12" s="211">
        <f t="shared" si="8"/>
        <v>12101.213333333333</v>
      </c>
      <c r="W12" s="211">
        <f t="shared" si="8"/>
        <v>12101.213333333333</v>
      </c>
      <c r="X12" s="211">
        <f t="shared" si="8"/>
        <v>12101.213333333333</v>
      </c>
      <c r="Y12" s="211">
        <f t="shared" si="8"/>
        <v>12101.213333333333</v>
      </c>
      <c r="Z12" s="211">
        <f t="shared" si="8"/>
        <v>12101.213333333333</v>
      </c>
      <c r="AA12" s="211">
        <f t="shared" si="8"/>
        <v>12101.213333333333</v>
      </c>
      <c r="AB12" s="211">
        <f t="shared" si="8"/>
        <v>12101.213333333333</v>
      </c>
      <c r="AC12" s="211">
        <f t="shared" si="8"/>
        <v>12101.213333333333</v>
      </c>
      <c r="AD12" s="211">
        <f t="shared" si="8"/>
        <v>12101.213333333333</v>
      </c>
      <c r="AE12" s="211">
        <f t="shared" si="8"/>
        <v>12101.213333333333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6" t="s">
        <v>403</v>
      </c>
      <c r="P13" s="327"/>
      <c r="Q13" s="95"/>
      <c r="R13" s="210">
        <f>SUM(R11:AE11)</f>
        <v>7865.7886666666645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8" t="s">
        <v>256</v>
      </c>
      <c r="P14" s="329"/>
      <c r="Q14" s="95"/>
      <c r="R14" s="226">
        <f>SUM(R12:AE12)</f>
        <v>157315.77333333332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6" t="s">
        <v>21</v>
      </c>
      <c r="C18" s="346" t="s">
        <v>22</v>
      </c>
      <c r="D18" s="346" t="s">
        <v>406</v>
      </c>
      <c r="E18" s="346" t="s">
        <v>280</v>
      </c>
      <c r="F18" s="346" t="s">
        <v>405</v>
      </c>
      <c r="I18" s="45"/>
      <c r="J18" s="59"/>
      <c r="L18" s="325" t="s">
        <v>239</v>
      </c>
      <c r="M18" s="325" t="s">
        <v>344</v>
      </c>
      <c r="N18" s="325" t="s">
        <v>240</v>
      </c>
      <c r="O18" s="325" t="s">
        <v>256</v>
      </c>
      <c r="P18" s="334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5"/>
      <c r="C19" s="325"/>
      <c r="D19" s="325"/>
      <c r="E19" s="325"/>
      <c r="F19" s="325"/>
      <c r="I19" s="45"/>
      <c r="J19" s="59"/>
      <c r="L19" s="325"/>
      <c r="M19" s="325" t="s">
        <v>344</v>
      </c>
      <c r="N19" s="325" t="s">
        <v>240</v>
      </c>
      <c r="O19" s="325" t="s">
        <v>256</v>
      </c>
      <c r="P19" s="334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5"/>
      <c r="C20" s="325"/>
      <c r="D20" s="325"/>
      <c r="E20" s="325"/>
      <c r="F20" s="325"/>
      <c r="I20" s="45"/>
      <c r="J20" s="59"/>
      <c r="L20" s="325"/>
      <c r="M20" s="325" t="s">
        <v>242</v>
      </c>
      <c r="N20" s="325" t="s">
        <v>243</v>
      </c>
      <c r="O20" s="325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20</v>
      </c>
      <c r="E21" s="260">
        <f>D21*7</f>
        <v>140</v>
      </c>
      <c r="F21" s="260">
        <f>E21*4</f>
        <v>560</v>
      </c>
      <c r="I21" s="45"/>
      <c r="J21" s="59"/>
      <c r="L21" s="242">
        <f>+O21/$P$36</f>
        <v>616</v>
      </c>
      <c r="M21" s="250">
        <f>L21</f>
        <v>616</v>
      </c>
      <c r="N21" s="242">
        <f>+F21*C21</f>
        <v>12320</v>
      </c>
      <c r="O21" s="242">
        <f>N21</f>
        <v>12320</v>
      </c>
      <c r="P21" s="242">
        <f>O21*1.16</f>
        <v>14291.199999999999</v>
      </c>
      <c r="Q21" s="56"/>
      <c r="R21" s="243">
        <v>0</v>
      </c>
      <c r="S21" s="243">
        <f>$M$21</f>
        <v>616</v>
      </c>
      <c r="T21" s="243">
        <f t="shared" ref="T21:AE21" si="9">$M$21</f>
        <v>616</v>
      </c>
      <c r="U21" s="243">
        <f t="shared" si="9"/>
        <v>616</v>
      </c>
      <c r="V21" s="243">
        <f t="shared" si="9"/>
        <v>616</v>
      </c>
      <c r="W21" s="243">
        <f t="shared" si="9"/>
        <v>616</v>
      </c>
      <c r="X21" s="243">
        <f t="shared" si="9"/>
        <v>616</v>
      </c>
      <c r="Y21" s="243">
        <f t="shared" si="9"/>
        <v>616</v>
      </c>
      <c r="Z21" s="243">
        <f t="shared" si="9"/>
        <v>616</v>
      </c>
      <c r="AA21" s="243">
        <f t="shared" si="9"/>
        <v>616</v>
      </c>
      <c r="AB21" s="243">
        <f t="shared" si="9"/>
        <v>616</v>
      </c>
      <c r="AC21" s="243">
        <f t="shared" si="9"/>
        <v>616</v>
      </c>
      <c r="AD21" s="243">
        <f t="shared" si="9"/>
        <v>616</v>
      </c>
      <c r="AE21" s="243">
        <f t="shared" si="9"/>
        <v>616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0</v>
      </c>
      <c r="E22" s="260">
        <f t="shared" ref="E22" si="10">D22*7</f>
        <v>0</v>
      </c>
      <c r="F22" s="260">
        <f t="shared" ref="F22:F23" si="11">E22*4</f>
        <v>0</v>
      </c>
      <c r="I22" s="45"/>
      <c r="J22" s="59"/>
      <c r="L22" s="242">
        <v>0</v>
      </c>
      <c r="M22" s="250">
        <f t="shared" ref="M22:M23" si="12">L22</f>
        <v>0</v>
      </c>
      <c r="N22" s="242">
        <f t="shared" ref="N22:N23" si="13">+F22*C22</f>
        <v>0</v>
      </c>
      <c r="O22" s="242">
        <f t="shared" ref="O22:O23" si="14">N22</f>
        <v>0</v>
      </c>
      <c r="P22" s="242">
        <f t="shared" ref="P22:P23" si="15">O22*1.16</f>
        <v>0</v>
      </c>
      <c r="Q22" s="56"/>
      <c r="R22" s="243">
        <v>0</v>
      </c>
      <c r="S22" s="243">
        <f>$M$22</f>
        <v>0</v>
      </c>
      <c r="T22" s="243">
        <f t="shared" ref="T22:AE22" si="16">$M$22</f>
        <v>0</v>
      </c>
      <c r="U22" s="243">
        <f t="shared" si="16"/>
        <v>0</v>
      </c>
      <c r="V22" s="243">
        <f t="shared" si="16"/>
        <v>0</v>
      </c>
      <c r="W22" s="243">
        <f t="shared" si="16"/>
        <v>0</v>
      </c>
      <c r="X22" s="243">
        <f t="shared" si="16"/>
        <v>0</v>
      </c>
      <c r="Y22" s="243">
        <f t="shared" si="16"/>
        <v>0</v>
      </c>
      <c r="Z22" s="243">
        <f t="shared" si="16"/>
        <v>0</v>
      </c>
      <c r="AA22" s="243">
        <f t="shared" si="16"/>
        <v>0</v>
      </c>
      <c r="AB22" s="243">
        <f t="shared" si="16"/>
        <v>0</v>
      </c>
      <c r="AC22" s="243">
        <f t="shared" si="16"/>
        <v>0</v>
      </c>
      <c r="AD22" s="243">
        <f t="shared" si="16"/>
        <v>0</v>
      </c>
      <c r="AE22" s="243">
        <f t="shared" si="16"/>
        <v>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6" t="s">
        <v>402</v>
      </c>
      <c r="P25" s="327"/>
      <c r="Q25" s="95"/>
      <c r="R25" s="210">
        <f>SUM(R21:R24)</f>
        <v>0</v>
      </c>
      <c r="S25" s="210">
        <f t="shared" ref="S25" si="18">SUM(S21:S24)</f>
        <v>616</v>
      </c>
      <c r="T25" s="210">
        <f t="shared" ref="T25" si="19">SUM(T21:T24)</f>
        <v>616</v>
      </c>
      <c r="U25" s="210">
        <f t="shared" ref="U25" si="20">SUM(U21:U24)</f>
        <v>616</v>
      </c>
      <c r="V25" s="210">
        <f t="shared" ref="V25" si="21">SUM(V21:V24)</f>
        <v>616</v>
      </c>
      <c r="W25" s="210">
        <f t="shared" ref="W25" si="22">SUM(W21:W24)</f>
        <v>616</v>
      </c>
      <c r="X25" s="210">
        <f t="shared" ref="X25" si="23">SUM(X21:X24)</f>
        <v>616</v>
      </c>
      <c r="Y25" s="210">
        <f t="shared" ref="Y25" si="24">SUM(Y21:Y24)</f>
        <v>616</v>
      </c>
      <c r="Z25" s="210">
        <f t="shared" ref="Z25" si="25">SUM(Z21:Z24)</f>
        <v>616</v>
      </c>
      <c r="AA25" s="210">
        <f t="shared" ref="AA25" si="26">SUM(AA21:AA24)</f>
        <v>616</v>
      </c>
      <c r="AB25" s="210">
        <f t="shared" ref="AB25" si="27">SUM(AB21:AB24)</f>
        <v>616</v>
      </c>
      <c r="AC25" s="210">
        <f t="shared" ref="AC25" si="28">SUM(AC21:AC24)</f>
        <v>616</v>
      </c>
      <c r="AD25" s="210">
        <f t="shared" ref="AD25" si="29">SUM(AD21:AD24)</f>
        <v>616</v>
      </c>
      <c r="AE25" s="210">
        <f t="shared" ref="AE25" si="30">SUM(AE21:AE24)</f>
        <v>616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8" t="s">
        <v>397</v>
      </c>
      <c r="P26" s="329"/>
      <c r="Q26" s="95"/>
      <c r="R26" s="211">
        <f t="shared" ref="R26:AE26" si="31">R25*$P$36</f>
        <v>0</v>
      </c>
      <c r="S26" s="211">
        <f t="shared" si="31"/>
        <v>12320</v>
      </c>
      <c r="T26" s="211">
        <f t="shared" si="31"/>
        <v>12320</v>
      </c>
      <c r="U26" s="211">
        <f t="shared" si="31"/>
        <v>12320</v>
      </c>
      <c r="V26" s="211">
        <f t="shared" si="31"/>
        <v>12320</v>
      </c>
      <c r="W26" s="211">
        <f t="shared" si="31"/>
        <v>12320</v>
      </c>
      <c r="X26" s="211">
        <f t="shared" si="31"/>
        <v>12320</v>
      </c>
      <c r="Y26" s="211">
        <f t="shared" si="31"/>
        <v>12320</v>
      </c>
      <c r="Z26" s="211">
        <f t="shared" si="31"/>
        <v>12320</v>
      </c>
      <c r="AA26" s="211">
        <f t="shared" si="31"/>
        <v>12320</v>
      </c>
      <c r="AB26" s="211">
        <f t="shared" si="31"/>
        <v>12320</v>
      </c>
      <c r="AC26" s="211">
        <f t="shared" si="31"/>
        <v>12320</v>
      </c>
      <c r="AD26" s="211">
        <f t="shared" si="31"/>
        <v>12320</v>
      </c>
      <c r="AE26" s="211">
        <f t="shared" si="31"/>
        <v>12320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6" t="s">
        <v>403</v>
      </c>
      <c r="P27" s="327"/>
      <c r="Q27" s="95"/>
      <c r="R27" s="210">
        <f>SUM(R25:AE25)</f>
        <v>8008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8" t="s">
        <v>256</v>
      </c>
      <c r="P28" s="329"/>
      <c r="Q28" s="95"/>
      <c r="R28" s="226">
        <f>SUM(R26:AE26)</f>
        <v>160160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6" t="s">
        <v>402</v>
      </c>
      <c r="P30" s="327"/>
      <c r="Q30" s="95"/>
      <c r="R30" s="210">
        <f>+R25+R11</f>
        <v>0</v>
      </c>
      <c r="S30" s="210">
        <f t="shared" ref="S30:AE30" si="32">+S25+S11</f>
        <v>1221.0606666666667</v>
      </c>
      <c r="T30" s="210">
        <f t="shared" si="32"/>
        <v>1221.0606666666667</v>
      </c>
      <c r="U30" s="210">
        <f t="shared" si="32"/>
        <v>1221.0606666666667</v>
      </c>
      <c r="V30" s="210">
        <f t="shared" si="32"/>
        <v>1221.0606666666667</v>
      </c>
      <c r="W30" s="210">
        <f t="shared" si="32"/>
        <v>1221.0606666666667</v>
      </c>
      <c r="X30" s="210">
        <f t="shared" si="32"/>
        <v>1221.0606666666667</v>
      </c>
      <c r="Y30" s="210">
        <f t="shared" si="32"/>
        <v>1221.0606666666667</v>
      </c>
      <c r="Z30" s="210">
        <f t="shared" si="32"/>
        <v>1221.0606666666667</v>
      </c>
      <c r="AA30" s="210">
        <f t="shared" si="32"/>
        <v>1221.0606666666667</v>
      </c>
      <c r="AB30" s="210">
        <f t="shared" si="32"/>
        <v>1221.0606666666667</v>
      </c>
      <c r="AC30" s="210">
        <f t="shared" si="32"/>
        <v>1221.0606666666667</v>
      </c>
      <c r="AD30" s="210">
        <f t="shared" si="32"/>
        <v>1221.0606666666667</v>
      </c>
      <c r="AE30" s="210">
        <f t="shared" si="32"/>
        <v>1221.0606666666667</v>
      </c>
    </row>
    <row r="31" spans="1:32" ht="20" customHeight="1" x14ac:dyDescent="0.35">
      <c r="B31"/>
      <c r="C31"/>
      <c r="D31"/>
      <c r="E31"/>
      <c r="O31" s="328" t="s">
        <v>397</v>
      </c>
      <c r="P31" s="329"/>
      <c r="Q31" s="95"/>
      <c r="R31" s="211">
        <f t="shared" ref="R31:AE31" si="33">R30*$P$36</f>
        <v>0</v>
      </c>
      <c r="S31" s="211">
        <f t="shared" si="33"/>
        <v>24421.213333333333</v>
      </c>
      <c r="T31" s="211">
        <f t="shared" si="33"/>
        <v>24421.213333333333</v>
      </c>
      <c r="U31" s="211">
        <f t="shared" si="33"/>
        <v>24421.213333333333</v>
      </c>
      <c r="V31" s="211">
        <f t="shared" si="33"/>
        <v>24421.213333333333</v>
      </c>
      <c r="W31" s="211">
        <f t="shared" si="33"/>
        <v>24421.213333333333</v>
      </c>
      <c r="X31" s="211">
        <f t="shared" si="33"/>
        <v>24421.213333333333</v>
      </c>
      <c r="Y31" s="211">
        <f t="shared" si="33"/>
        <v>24421.213333333333</v>
      </c>
      <c r="Z31" s="211">
        <f t="shared" si="33"/>
        <v>24421.213333333333</v>
      </c>
      <c r="AA31" s="211">
        <f t="shared" si="33"/>
        <v>24421.213333333333</v>
      </c>
      <c r="AB31" s="211">
        <f t="shared" si="33"/>
        <v>24421.213333333333</v>
      </c>
      <c r="AC31" s="211">
        <f t="shared" si="33"/>
        <v>24421.213333333333</v>
      </c>
      <c r="AD31" s="211">
        <f t="shared" si="33"/>
        <v>24421.213333333333</v>
      </c>
      <c r="AE31" s="211">
        <f t="shared" si="33"/>
        <v>24421.213333333333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6" t="s">
        <v>403</v>
      </c>
      <c r="P32" s="327"/>
      <c r="Q32" s="95"/>
      <c r="R32" s="210">
        <f>SUM(R30:AE30)</f>
        <v>15873.788666666664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8" t="s">
        <v>256</v>
      </c>
      <c r="P33" s="329"/>
      <c r="Q33" s="95"/>
      <c r="R33" s="226">
        <f>SUM(R31:AE31)</f>
        <v>317475.77333333326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1"/>
      <c r="P35" s="352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30" t="s">
        <v>345</v>
      </c>
      <c r="P42" s="331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2"/>
      <c r="P43" s="333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J4:J6"/>
    <mergeCell ref="I4:I6"/>
    <mergeCell ref="H4:H6"/>
    <mergeCell ref="G4:G6"/>
    <mergeCell ref="F4:F6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L4:L6"/>
    <mergeCell ref="M4:M6"/>
    <mergeCell ref="N4:N6"/>
    <mergeCell ref="O4:O6"/>
    <mergeCell ref="P4:P5"/>
    <mergeCell ref="L18:L20"/>
    <mergeCell ref="M18:M20"/>
    <mergeCell ref="N18:N20"/>
    <mergeCell ref="O18:O20"/>
    <mergeCell ref="P18:P19"/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D9" sqref="D9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6" t="s">
        <v>263</v>
      </c>
      <c r="C4" s="325" t="s">
        <v>23</v>
      </c>
      <c r="D4" s="325" t="s">
        <v>2</v>
      </c>
      <c r="E4" s="325" t="s">
        <v>239</v>
      </c>
      <c r="F4" s="325" t="s">
        <v>344</v>
      </c>
      <c r="G4" s="325" t="s">
        <v>240</v>
      </c>
      <c r="H4" s="325" t="s">
        <v>256</v>
      </c>
      <c r="I4" s="334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5"/>
      <c r="C5" s="325"/>
      <c r="D5" s="325"/>
      <c r="E5" s="325"/>
      <c r="F5" s="325" t="s">
        <v>344</v>
      </c>
      <c r="G5" s="325" t="s">
        <v>240</v>
      </c>
      <c r="H5" s="325" t="s">
        <v>256</v>
      </c>
      <c r="I5" s="334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5"/>
      <c r="C6" s="325"/>
      <c r="D6" s="325"/>
      <c r="E6" s="325"/>
      <c r="F6" s="325" t="s">
        <v>242</v>
      </c>
      <c r="G6" s="325" t="s">
        <v>243</v>
      </c>
      <c r="H6" s="325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2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2000</v>
      </c>
      <c r="I7" s="243">
        <f>H7*1.16</f>
        <v>2320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2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2000</v>
      </c>
      <c r="I8" s="243">
        <f t="shared" ref="I8:I11" si="4">H8*1.16</f>
        <v>2320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1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3000</v>
      </c>
      <c r="I9" s="243">
        <f t="shared" si="4"/>
        <v>3479.9999999999995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1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2000</v>
      </c>
      <c r="I10" s="243">
        <f t="shared" si="4"/>
        <v>2320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1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2000</v>
      </c>
      <c r="I11" s="243">
        <f t="shared" si="4"/>
        <v>2320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6" t="s">
        <v>402</v>
      </c>
      <c r="I13" s="327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8" t="s">
        <v>397</v>
      </c>
      <c r="I14" s="329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6" t="s">
        <v>403</v>
      </c>
      <c r="I15" s="327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8" t="s">
        <v>256</v>
      </c>
      <c r="I16" s="329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6" t="s">
        <v>402</v>
      </c>
      <c r="I22" s="327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8" t="s">
        <v>397</v>
      </c>
      <c r="I23" s="329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6" t="s">
        <v>403</v>
      </c>
      <c r="I24" s="327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8" t="s">
        <v>256</v>
      </c>
      <c r="I25" s="329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6" t="s">
        <v>402</v>
      </c>
      <c r="I27" s="327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8" t="s">
        <v>397</v>
      </c>
      <c r="I28" s="329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6" t="s">
        <v>403</v>
      </c>
      <c r="I29" s="327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8" t="s">
        <v>256</v>
      </c>
      <c r="I30" s="329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1"/>
      <c r="I32" s="352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30" t="s">
        <v>345</v>
      </c>
      <c r="I39" s="331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2"/>
      <c r="I40" s="333"/>
    </row>
  </sheetData>
  <mergeCells count="22"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K7" activePane="bottomRight" state="frozen"/>
      <selection pane="topRight" activeCell="K1" sqref="K1"/>
      <selection pane="bottomLeft" activeCell="A8" sqref="A8"/>
      <selection pane="bottomRight" activeCell="H12" sqref="H12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450</v>
      </c>
      <c r="D8" s="220"/>
      <c r="E8" s="220">
        <v>1</v>
      </c>
      <c r="F8" s="243">
        <f t="shared" si="0"/>
        <v>578.94749999999999</v>
      </c>
      <c r="G8" s="250">
        <f t="shared" ref="G8:G41" si="5">F8</f>
        <v>578.94749999999999</v>
      </c>
      <c r="H8" s="243">
        <v>11578.95</v>
      </c>
      <c r="I8" s="243">
        <f t="shared" si="1"/>
        <v>11578.95</v>
      </c>
      <c r="J8" s="243">
        <f t="shared" si="2"/>
        <v>13431.582</v>
      </c>
      <c r="K8" s="63">
        <f t="shared" si="3"/>
        <v>578.94749999999999</v>
      </c>
      <c r="L8" s="243">
        <v>0</v>
      </c>
      <c r="M8" s="243">
        <f>+$G$8</f>
        <v>578.94749999999999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578.94749999999999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578.94749999999999</v>
      </c>
    </row>
    <row r="9" spans="1:42" s="64" customFormat="1" ht="20" customHeight="1" x14ac:dyDescent="0.35">
      <c r="A9" s="62"/>
      <c r="B9" s="231" t="s">
        <v>126</v>
      </c>
      <c r="C9" s="220" t="s">
        <v>451</v>
      </c>
      <c r="D9" s="220"/>
      <c r="E9" s="220">
        <v>1</v>
      </c>
      <c r="F9" s="243">
        <f t="shared" si="0"/>
        <v>285</v>
      </c>
      <c r="G9" s="250">
        <f t="shared" si="5"/>
        <v>285</v>
      </c>
      <c r="H9" s="243">
        <v>5700</v>
      </c>
      <c r="I9" s="243">
        <f t="shared" si="1"/>
        <v>5700</v>
      </c>
      <c r="J9" s="243">
        <f t="shared" si="2"/>
        <v>6611.9999999999991</v>
      </c>
      <c r="K9" s="63">
        <f t="shared" si="3"/>
        <v>285</v>
      </c>
      <c r="L9" s="243">
        <v>0</v>
      </c>
      <c r="M9" s="243">
        <f>+$G$9</f>
        <v>285</v>
      </c>
      <c r="N9" s="243">
        <v>0</v>
      </c>
      <c r="O9" s="243">
        <v>0</v>
      </c>
      <c r="P9" s="243">
        <f t="shared" ref="P9:Y9" si="7">+$G$9</f>
        <v>285</v>
      </c>
      <c r="Q9" s="243">
        <v>0</v>
      </c>
      <c r="R9" s="243">
        <v>0</v>
      </c>
      <c r="S9" s="243">
        <f t="shared" si="7"/>
        <v>285</v>
      </c>
      <c r="T9" s="243">
        <v>0</v>
      </c>
      <c r="U9" s="243">
        <v>0</v>
      </c>
      <c r="V9" s="243">
        <f t="shared" si="7"/>
        <v>285</v>
      </c>
      <c r="W9" s="243">
        <v>0</v>
      </c>
      <c r="X9" s="243">
        <v>0</v>
      </c>
      <c r="Y9" s="243">
        <f t="shared" si="7"/>
        <v>285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 t="s">
        <v>465</v>
      </c>
      <c r="D11" s="220"/>
      <c r="E11" s="220">
        <v>1</v>
      </c>
      <c r="F11" s="243">
        <f t="shared" si="0"/>
        <v>0</v>
      </c>
      <c r="G11" s="250">
        <f t="shared" si="5"/>
        <v>0</v>
      </c>
      <c r="H11" s="243">
        <v>0</v>
      </c>
      <c r="I11" s="243">
        <f t="shared" si="1"/>
        <v>0</v>
      </c>
      <c r="J11" s="243">
        <f t="shared" si="2"/>
        <v>0</v>
      </c>
      <c r="K11" s="63">
        <f t="shared" si="3"/>
        <v>0</v>
      </c>
      <c r="L11" s="243">
        <v>0</v>
      </c>
      <c r="M11" s="243">
        <f>+$G$11</f>
        <v>0</v>
      </c>
      <c r="N11" s="243">
        <f t="shared" ref="N11:Y11" si="9">+$G$11</f>
        <v>0</v>
      </c>
      <c r="O11" s="243">
        <f t="shared" si="9"/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</row>
    <row r="12" spans="1:42" s="64" customFormat="1" ht="20" customHeight="1" x14ac:dyDescent="0.35">
      <c r="A12" s="62"/>
      <c r="B12" s="231" t="s">
        <v>129</v>
      </c>
      <c r="C12" s="220" t="s">
        <v>452</v>
      </c>
      <c r="D12" s="220"/>
      <c r="E12" s="220">
        <v>1</v>
      </c>
      <c r="F12" s="243">
        <f t="shared" si="0"/>
        <v>30</v>
      </c>
      <c r="G12" s="250">
        <f t="shared" si="5"/>
        <v>30</v>
      </c>
      <c r="H12" s="243">
        <v>600</v>
      </c>
      <c r="I12" s="243">
        <f t="shared" si="1"/>
        <v>600</v>
      </c>
      <c r="J12" s="243">
        <f t="shared" si="2"/>
        <v>696</v>
      </c>
      <c r="K12" s="63">
        <f t="shared" si="3"/>
        <v>30</v>
      </c>
      <c r="L12" s="243">
        <v>0</v>
      </c>
      <c r="M12" s="243">
        <f>+$G$12</f>
        <v>30</v>
      </c>
      <c r="N12" s="243">
        <f t="shared" ref="N12:Y12" si="10">+$G$12</f>
        <v>30</v>
      </c>
      <c r="O12" s="243">
        <f t="shared" si="10"/>
        <v>30</v>
      </c>
      <c r="P12" s="243">
        <f t="shared" si="10"/>
        <v>30</v>
      </c>
      <c r="Q12" s="243">
        <f t="shared" si="10"/>
        <v>30</v>
      </c>
      <c r="R12" s="243">
        <f t="shared" si="10"/>
        <v>30</v>
      </c>
      <c r="S12" s="243">
        <f t="shared" si="10"/>
        <v>30</v>
      </c>
      <c r="T12" s="243">
        <f t="shared" si="10"/>
        <v>30</v>
      </c>
      <c r="U12" s="243">
        <f t="shared" si="10"/>
        <v>30</v>
      </c>
      <c r="V12" s="243">
        <f t="shared" si="10"/>
        <v>30</v>
      </c>
      <c r="W12" s="243">
        <f t="shared" si="10"/>
        <v>30</v>
      </c>
      <c r="X12" s="243">
        <f t="shared" si="10"/>
        <v>30</v>
      </c>
      <c r="Y12" s="243">
        <f t="shared" si="10"/>
        <v>30</v>
      </c>
    </row>
    <row r="13" spans="1:42" s="64" customFormat="1" ht="20" customHeight="1" x14ac:dyDescent="0.35">
      <c r="A13" s="62"/>
      <c r="B13" s="231" t="s">
        <v>130</v>
      </c>
      <c r="C13" s="220" t="s">
        <v>453</v>
      </c>
      <c r="D13" s="220"/>
      <c r="E13" s="220">
        <v>1</v>
      </c>
      <c r="F13" s="243">
        <f t="shared" si="0"/>
        <v>82.398499999999999</v>
      </c>
      <c r="G13" s="250">
        <f t="shared" si="5"/>
        <v>82.398499999999999</v>
      </c>
      <c r="H13" s="243">
        <v>1647.97</v>
      </c>
      <c r="I13" s="243">
        <f t="shared" si="1"/>
        <v>1647.97</v>
      </c>
      <c r="J13" s="243">
        <f t="shared" si="2"/>
        <v>1911.6451999999999</v>
      </c>
      <c r="K13" s="63">
        <f t="shared" si="3"/>
        <v>82.398499999999999</v>
      </c>
      <c r="L13" s="243">
        <v>0</v>
      </c>
      <c r="M13" s="243">
        <f>+$G$13</f>
        <v>82.398499999999999</v>
      </c>
      <c r="N13" s="243">
        <v>0</v>
      </c>
      <c r="O13" s="243">
        <f t="shared" ref="O13:Y13" si="11">+$G$13</f>
        <v>82.398499999999999</v>
      </c>
      <c r="P13" s="243">
        <v>0</v>
      </c>
      <c r="Q13" s="243">
        <f t="shared" si="11"/>
        <v>82.398499999999999</v>
      </c>
      <c r="R13" s="243">
        <v>0</v>
      </c>
      <c r="S13" s="243">
        <f t="shared" si="11"/>
        <v>82.398499999999999</v>
      </c>
      <c r="T13" s="243">
        <v>0</v>
      </c>
      <c r="U13" s="243">
        <f t="shared" si="11"/>
        <v>82.398499999999999</v>
      </c>
      <c r="V13" s="243">
        <v>0</v>
      </c>
      <c r="W13" s="243">
        <f t="shared" si="11"/>
        <v>82.398499999999999</v>
      </c>
      <c r="X13" s="243">
        <v>0</v>
      </c>
      <c r="Y13" s="243">
        <f t="shared" si="11"/>
        <v>82.398499999999999</v>
      </c>
    </row>
    <row r="14" spans="1:42" s="64" customFormat="1" ht="20" customHeight="1" x14ac:dyDescent="0.35">
      <c r="A14" s="62"/>
      <c r="B14" s="231" t="s">
        <v>131</v>
      </c>
      <c r="C14" s="220" t="s">
        <v>454</v>
      </c>
      <c r="D14" s="220"/>
      <c r="E14" s="220">
        <v>1</v>
      </c>
      <c r="F14" s="243">
        <f t="shared" si="0"/>
        <v>2.5</v>
      </c>
      <c r="G14" s="250">
        <f t="shared" si="5"/>
        <v>2.5</v>
      </c>
      <c r="H14" s="243">
        <v>50</v>
      </c>
      <c r="I14" s="243">
        <f t="shared" si="1"/>
        <v>50</v>
      </c>
      <c r="J14" s="243">
        <f t="shared" si="2"/>
        <v>57.999999999999993</v>
      </c>
      <c r="K14" s="63">
        <f t="shared" si="3"/>
        <v>2.5</v>
      </c>
      <c r="L14" s="243">
        <v>0</v>
      </c>
      <c r="M14" s="243">
        <f>+$G$14</f>
        <v>2.5</v>
      </c>
      <c r="N14" s="243">
        <f t="shared" ref="N14:Y14" si="12">+$G$14</f>
        <v>2.5</v>
      </c>
      <c r="O14" s="243">
        <f t="shared" si="12"/>
        <v>2.5</v>
      </c>
      <c r="P14" s="243">
        <f t="shared" si="12"/>
        <v>2.5</v>
      </c>
      <c r="Q14" s="243">
        <f t="shared" si="12"/>
        <v>2.5</v>
      </c>
      <c r="R14" s="243">
        <f t="shared" si="12"/>
        <v>2.5</v>
      </c>
      <c r="S14" s="243">
        <f t="shared" si="12"/>
        <v>2.5</v>
      </c>
      <c r="T14" s="243">
        <f t="shared" si="12"/>
        <v>2.5</v>
      </c>
      <c r="U14" s="243">
        <f t="shared" si="12"/>
        <v>2.5</v>
      </c>
      <c r="V14" s="243">
        <f t="shared" si="12"/>
        <v>2.5</v>
      </c>
      <c r="W14" s="243">
        <f t="shared" si="12"/>
        <v>2.5</v>
      </c>
      <c r="X14" s="243">
        <f t="shared" si="12"/>
        <v>2.5</v>
      </c>
      <c r="Y14" s="243">
        <f t="shared" si="12"/>
        <v>2.5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449</v>
      </c>
      <c r="D16" s="220"/>
      <c r="E16" s="220">
        <v>1</v>
      </c>
      <c r="F16" s="243">
        <f t="shared" si="0"/>
        <v>32.575000000000003</v>
      </c>
      <c r="G16" s="250">
        <f t="shared" si="5"/>
        <v>32.575000000000003</v>
      </c>
      <c r="H16" s="243">
        <v>651.5</v>
      </c>
      <c r="I16" s="243">
        <f t="shared" si="1"/>
        <v>651.5</v>
      </c>
      <c r="J16" s="243">
        <f t="shared" si="2"/>
        <v>755.7399999999999</v>
      </c>
      <c r="K16" s="63">
        <f t="shared" si="3"/>
        <v>32.575000000000003</v>
      </c>
      <c r="L16" s="243">
        <v>0</v>
      </c>
      <c r="M16" s="243">
        <f>+$G$16</f>
        <v>32.575000000000003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32.575000000000003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32.575000000000003</v>
      </c>
      <c r="Y16" s="243">
        <f t="shared" si="14"/>
        <v>32.575000000000003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455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431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456</v>
      </c>
      <c r="D21" s="220"/>
      <c r="E21" s="220">
        <v>1</v>
      </c>
      <c r="F21" s="243">
        <f t="shared" si="0"/>
        <v>750</v>
      </c>
      <c r="G21" s="250">
        <f t="shared" si="5"/>
        <v>750</v>
      </c>
      <c r="H21" s="243">
        <v>15000</v>
      </c>
      <c r="I21" s="243">
        <f t="shared" si="1"/>
        <v>15000</v>
      </c>
      <c r="J21" s="243">
        <f t="shared" si="2"/>
        <v>17400</v>
      </c>
      <c r="K21" s="63">
        <f t="shared" si="3"/>
        <v>750</v>
      </c>
      <c r="L21" s="243">
        <v>0</v>
      </c>
      <c r="M21" s="243">
        <f>+$G$21</f>
        <v>750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750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750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457</v>
      </c>
      <c r="D23" s="220"/>
      <c r="E23" s="220">
        <v>1</v>
      </c>
      <c r="F23" s="243">
        <f t="shared" si="0"/>
        <v>300</v>
      </c>
      <c r="G23" s="250">
        <f t="shared" si="5"/>
        <v>300</v>
      </c>
      <c r="H23" s="243">
        <v>6000</v>
      </c>
      <c r="I23" s="243">
        <f t="shared" si="1"/>
        <v>6000</v>
      </c>
      <c r="J23" s="243">
        <f t="shared" si="2"/>
        <v>6959.9999999999991</v>
      </c>
      <c r="K23" s="63">
        <f t="shared" si="3"/>
        <v>300</v>
      </c>
      <c r="L23" s="243">
        <v>0</v>
      </c>
      <c r="M23" s="243">
        <f>+$G$23</f>
        <v>300</v>
      </c>
      <c r="N23" s="243">
        <f t="shared" ref="N23:Y23" si="21">+$G$23</f>
        <v>300</v>
      </c>
      <c r="O23" s="243">
        <f t="shared" si="21"/>
        <v>300</v>
      </c>
      <c r="P23" s="243">
        <f t="shared" si="21"/>
        <v>300</v>
      </c>
      <c r="Q23" s="243">
        <f t="shared" si="21"/>
        <v>300</v>
      </c>
      <c r="R23" s="243">
        <f t="shared" si="21"/>
        <v>300</v>
      </c>
      <c r="S23" s="243">
        <f t="shared" si="21"/>
        <v>300</v>
      </c>
      <c r="T23" s="243">
        <f t="shared" si="21"/>
        <v>300</v>
      </c>
      <c r="U23" s="243">
        <f t="shared" si="21"/>
        <v>300</v>
      </c>
      <c r="V23" s="243">
        <f t="shared" si="21"/>
        <v>300</v>
      </c>
      <c r="W23" s="243">
        <f t="shared" si="21"/>
        <v>300</v>
      </c>
      <c r="X23" s="243">
        <f t="shared" si="21"/>
        <v>300</v>
      </c>
      <c r="Y23" s="243">
        <f t="shared" si="21"/>
        <v>300</v>
      </c>
    </row>
    <row r="24" spans="1:25" s="64" customFormat="1" ht="20" customHeight="1" x14ac:dyDescent="0.35">
      <c r="A24" s="62"/>
      <c r="B24" s="231" t="s">
        <v>140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140</v>
      </c>
      <c r="C25" s="220" t="s">
        <v>467</v>
      </c>
      <c r="D25" s="220"/>
      <c r="E25" s="220">
        <v>1</v>
      </c>
      <c r="F25" s="243">
        <f t="shared" si="0"/>
        <v>0</v>
      </c>
      <c r="G25" s="250">
        <f t="shared" si="5"/>
        <v>0</v>
      </c>
      <c r="H25" s="243">
        <v>0</v>
      </c>
      <c r="I25" s="243">
        <f t="shared" si="1"/>
        <v>0</v>
      </c>
      <c r="J25" s="243">
        <f t="shared" si="2"/>
        <v>0</v>
      </c>
      <c r="K25" s="63">
        <f t="shared" si="3"/>
        <v>0</v>
      </c>
      <c r="L25" s="243">
        <v>0</v>
      </c>
      <c r="M25" s="243">
        <f>+$G$25</f>
        <v>0</v>
      </c>
      <c r="N25" s="243">
        <f t="shared" ref="N25:Y25" si="23">+$G$25</f>
        <v>0</v>
      </c>
      <c r="O25" s="243">
        <f t="shared" si="23"/>
        <v>0</v>
      </c>
      <c r="P25" s="243">
        <f t="shared" si="23"/>
        <v>0</v>
      </c>
      <c r="Q25" s="243">
        <f t="shared" si="23"/>
        <v>0</v>
      </c>
      <c r="R25" s="243">
        <f t="shared" si="23"/>
        <v>0</v>
      </c>
      <c r="S25" s="243">
        <f t="shared" si="23"/>
        <v>0</v>
      </c>
      <c r="T25" s="243">
        <f t="shared" si="23"/>
        <v>0</v>
      </c>
      <c r="U25" s="243">
        <f t="shared" si="23"/>
        <v>0</v>
      </c>
      <c r="V25" s="243">
        <f t="shared" si="23"/>
        <v>0</v>
      </c>
      <c r="W25" s="243">
        <f t="shared" si="23"/>
        <v>0</v>
      </c>
      <c r="X25" s="243">
        <f t="shared" si="23"/>
        <v>0</v>
      </c>
      <c r="Y25" s="243">
        <f t="shared" si="23"/>
        <v>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 t="s">
        <v>466</v>
      </c>
      <c r="D27" s="220"/>
      <c r="E27" s="220">
        <v>1</v>
      </c>
      <c r="F27" s="243">
        <f t="shared" si="0"/>
        <v>0</v>
      </c>
      <c r="G27" s="250">
        <f t="shared" si="5"/>
        <v>0</v>
      </c>
      <c r="H27" s="243">
        <v>0</v>
      </c>
      <c r="I27" s="243">
        <f t="shared" si="1"/>
        <v>0</v>
      </c>
      <c r="J27" s="243">
        <f t="shared" si="2"/>
        <v>0</v>
      </c>
      <c r="K27" s="63">
        <f t="shared" si="3"/>
        <v>0</v>
      </c>
      <c r="L27" s="243">
        <v>0</v>
      </c>
      <c r="M27" s="243">
        <f>+$G$27</f>
        <v>0</v>
      </c>
      <c r="N27" s="243">
        <f t="shared" ref="N27:Y27" si="25">+$G$27</f>
        <v>0</v>
      </c>
      <c r="O27" s="243">
        <f t="shared" si="25"/>
        <v>0</v>
      </c>
      <c r="P27" s="243">
        <f t="shared" si="25"/>
        <v>0</v>
      </c>
      <c r="Q27" s="243">
        <f t="shared" si="25"/>
        <v>0</v>
      </c>
      <c r="R27" s="243">
        <f t="shared" si="25"/>
        <v>0</v>
      </c>
      <c r="S27" s="243">
        <f t="shared" si="25"/>
        <v>0</v>
      </c>
      <c r="T27" s="243">
        <f t="shared" si="25"/>
        <v>0</v>
      </c>
      <c r="U27" s="243">
        <f t="shared" si="25"/>
        <v>0</v>
      </c>
      <c r="V27" s="243">
        <f t="shared" si="25"/>
        <v>0</v>
      </c>
      <c r="W27" s="243">
        <f t="shared" si="25"/>
        <v>0</v>
      </c>
      <c r="X27" s="243">
        <f t="shared" si="25"/>
        <v>0</v>
      </c>
      <c r="Y27" s="243">
        <f t="shared" si="25"/>
        <v>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</v>
      </c>
      <c r="G29" s="250">
        <f t="shared" si="5"/>
        <v>90</v>
      </c>
      <c r="H29" s="243">
        <v>1800</v>
      </c>
      <c r="I29" s="243">
        <f t="shared" si="1"/>
        <v>1800</v>
      </c>
      <c r="J29" s="243">
        <f t="shared" si="2"/>
        <v>2088</v>
      </c>
      <c r="K29" s="63">
        <f t="shared" si="3"/>
        <v>90</v>
      </c>
      <c r="L29" s="243">
        <v>0</v>
      </c>
      <c r="M29" s="243">
        <f>+$G$29</f>
        <v>90</v>
      </c>
      <c r="N29" s="243">
        <f t="shared" ref="N29:Y29" si="27">+$G$29</f>
        <v>90</v>
      </c>
      <c r="O29" s="243">
        <f t="shared" si="27"/>
        <v>90</v>
      </c>
      <c r="P29" s="243">
        <f t="shared" si="27"/>
        <v>90</v>
      </c>
      <c r="Q29" s="243">
        <f t="shared" si="27"/>
        <v>90</v>
      </c>
      <c r="R29" s="243">
        <f t="shared" si="27"/>
        <v>90</v>
      </c>
      <c r="S29" s="243">
        <f t="shared" si="27"/>
        <v>90</v>
      </c>
      <c r="T29" s="243">
        <f t="shared" si="27"/>
        <v>90</v>
      </c>
      <c r="U29" s="243">
        <f t="shared" si="27"/>
        <v>90</v>
      </c>
      <c r="V29" s="243">
        <f t="shared" si="27"/>
        <v>90</v>
      </c>
      <c r="W29" s="243">
        <f t="shared" si="27"/>
        <v>90</v>
      </c>
      <c r="X29" s="243">
        <f t="shared" si="27"/>
        <v>90</v>
      </c>
      <c r="Y29" s="243">
        <f t="shared" si="27"/>
        <v>90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458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459</v>
      </c>
      <c r="D34" s="220"/>
      <c r="E34" s="220">
        <v>1</v>
      </c>
      <c r="F34" s="243">
        <f t="shared" si="0"/>
        <v>288</v>
      </c>
      <c r="G34" s="250">
        <f t="shared" si="5"/>
        <v>288</v>
      </c>
      <c r="H34" s="243">
        <v>5760</v>
      </c>
      <c r="I34" s="243">
        <f t="shared" si="1"/>
        <v>5760</v>
      </c>
      <c r="J34" s="243">
        <f t="shared" si="2"/>
        <v>6681.5999999999995</v>
      </c>
      <c r="K34" s="63">
        <f t="shared" si="3"/>
        <v>288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288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432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468</v>
      </c>
      <c r="D36" s="220"/>
      <c r="E36" s="220">
        <v>1</v>
      </c>
      <c r="F36" s="243">
        <f t="shared" si="0"/>
        <v>0</v>
      </c>
      <c r="G36" s="250">
        <f t="shared" si="5"/>
        <v>0</v>
      </c>
      <c r="H36" s="242">
        <v>0</v>
      </c>
      <c r="I36" s="243">
        <f t="shared" si="1"/>
        <v>0</v>
      </c>
      <c r="J36" s="243">
        <f t="shared" si="2"/>
        <v>0</v>
      </c>
      <c r="K36" s="63">
        <f t="shared" si="3"/>
        <v>0</v>
      </c>
      <c r="L36" s="243">
        <v>0</v>
      </c>
      <c r="M36" s="243">
        <f>+$G$36</f>
        <v>0</v>
      </c>
      <c r="N36" s="243">
        <f t="shared" ref="N36:Y36" si="34">+$G$36</f>
        <v>0</v>
      </c>
      <c r="O36" s="243">
        <f t="shared" si="34"/>
        <v>0</v>
      </c>
      <c r="P36" s="243">
        <f t="shared" si="34"/>
        <v>0</v>
      </c>
      <c r="Q36" s="243">
        <f t="shared" si="34"/>
        <v>0</v>
      </c>
      <c r="R36" s="243">
        <f t="shared" si="34"/>
        <v>0</v>
      </c>
      <c r="S36" s="243">
        <f t="shared" si="34"/>
        <v>0</v>
      </c>
      <c r="T36" s="243">
        <f t="shared" si="34"/>
        <v>0</v>
      </c>
      <c r="U36" s="243">
        <f t="shared" si="34"/>
        <v>0</v>
      </c>
      <c r="V36" s="243">
        <f t="shared" si="34"/>
        <v>0</v>
      </c>
      <c r="W36" s="243">
        <f t="shared" si="34"/>
        <v>0</v>
      </c>
      <c r="X36" s="243">
        <f t="shared" si="34"/>
        <v>0</v>
      </c>
      <c r="Y36" s="243">
        <f t="shared" si="34"/>
        <v>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6" t="s">
        <v>402</v>
      </c>
      <c r="J43" s="327"/>
      <c r="K43" s="95"/>
      <c r="L43" s="210">
        <f t="shared" ref="L43:Y43" si="40">SUM(L7:L41)</f>
        <v>0</v>
      </c>
      <c r="M43" s="210">
        <f t="shared" si="40"/>
        <v>2511.4210000000003</v>
      </c>
      <c r="N43" s="210">
        <f t="shared" si="40"/>
        <v>782.5</v>
      </c>
      <c r="O43" s="210">
        <f t="shared" si="40"/>
        <v>864.89850000000001</v>
      </c>
      <c r="P43" s="210">
        <f t="shared" si="40"/>
        <v>3317.5</v>
      </c>
      <c r="Q43" s="210">
        <f t="shared" si="40"/>
        <v>864.89850000000001</v>
      </c>
      <c r="R43" s="210">
        <f t="shared" si="40"/>
        <v>1768.075</v>
      </c>
      <c r="S43" s="210">
        <f t="shared" si="40"/>
        <v>1728.846</v>
      </c>
      <c r="T43" s="210">
        <f t="shared" si="40"/>
        <v>1070.5</v>
      </c>
      <c r="U43" s="210">
        <f t="shared" si="40"/>
        <v>864.89850000000001</v>
      </c>
      <c r="V43" s="210">
        <f t="shared" si="40"/>
        <v>1067.5</v>
      </c>
      <c r="W43" s="210">
        <f t="shared" si="40"/>
        <v>864.89850000000001</v>
      </c>
      <c r="X43" s="210">
        <f t="shared" si="40"/>
        <v>1565.075</v>
      </c>
      <c r="Y43" s="210">
        <f t="shared" si="40"/>
        <v>1761.421</v>
      </c>
    </row>
    <row r="44" spans="1:25" ht="20" customHeight="1" x14ac:dyDescent="0.35">
      <c r="I44" s="328" t="s">
        <v>397</v>
      </c>
      <c r="J44" s="329"/>
      <c r="K44" s="95"/>
      <c r="L44" s="211">
        <f>L43*$J$49</f>
        <v>0</v>
      </c>
      <c r="M44" s="211">
        <f t="shared" ref="M44:Y44" si="41">M43*$J$49</f>
        <v>50228.420000000006</v>
      </c>
      <c r="N44" s="211">
        <f t="shared" si="41"/>
        <v>15650</v>
      </c>
      <c r="O44" s="211">
        <f t="shared" si="41"/>
        <v>17297.97</v>
      </c>
      <c r="P44" s="211">
        <f t="shared" si="41"/>
        <v>66350</v>
      </c>
      <c r="Q44" s="211">
        <f t="shared" si="41"/>
        <v>17297.97</v>
      </c>
      <c r="R44" s="211">
        <f t="shared" si="41"/>
        <v>35361.5</v>
      </c>
      <c r="S44" s="211">
        <f t="shared" si="41"/>
        <v>34576.92</v>
      </c>
      <c r="T44" s="211">
        <f t="shared" si="41"/>
        <v>21410</v>
      </c>
      <c r="U44" s="211">
        <f t="shared" si="41"/>
        <v>17297.97</v>
      </c>
      <c r="V44" s="211">
        <f t="shared" si="41"/>
        <v>21350</v>
      </c>
      <c r="W44" s="211">
        <f t="shared" si="41"/>
        <v>17297.97</v>
      </c>
      <c r="X44" s="211">
        <f t="shared" si="41"/>
        <v>31301.5</v>
      </c>
      <c r="Y44" s="211">
        <f t="shared" si="41"/>
        <v>35228.42</v>
      </c>
    </row>
    <row r="45" spans="1:25" ht="20" customHeight="1" x14ac:dyDescent="0.35">
      <c r="I45" s="326" t="s">
        <v>403</v>
      </c>
      <c r="J45" s="327"/>
      <c r="K45" s="95"/>
      <c r="L45" s="210">
        <f>SUM(L43:Y43)</f>
        <v>19032.431999999997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8" t="s">
        <v>256</v>
      </c>
      <c r="J46" s="329"/>
      <c r="K46" s="95"/>
      <c r="L46" s="226">
        <f>SUM(L44:Y44)</f>
        <v>380648.63999999996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1"/>
      <c r="J48" s="352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30" t="s">
        <v>345</v>
      </c>
      <c r="J55" s="331"/>
    </row>
    <row r="56" spans="9:14" ht="20" customHeight="1" thickBot="1" x14ac:dyDescent="0.4">
      <c r="I56" s="332"/>
      <c r="J56" s="333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H86" sqref="H86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6" t="s">
        <v>402</v>
      </c>
      <c r="J16" s="327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8" t="s">
        <v>397</v>
      </c>
      <c r="J17" s="329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6" t="s">
        <v>403</v>
      </c>
      <c r="J18" s="327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8" t="s">
        <v>256</v>
      </c>
      <c r="J19" s="329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7">
        <f>EGRESOS!R26</f>
        <v>750.24950000000001</v>
      </c>
      <c r="G21" s="358" t="s">
        <v>275</v>
      </c>
      <c r="H21" s="358"/>
      <c r="I21" s="359" t="s">
        <v>402</v>
      </c>
      <c r="J21" s="327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58"/>
      <c r="G22" s="358"/>
      <c r="H22" s="358"/>
      <c r="I22" s="360" t="s">
        <v>397</v>
      </c>
      <c r="J22" s="329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58"/>
      <c r="G23" s="358"/>
      <c r="H23" s="358"/>
      <c r="I23" s="359" t="s">
        <v>403</v>
      </c>
      <c r="J23" s="327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58"/>
      <c r="G24" s="358"/>
      <c r="H24" s="358"/>
      <c r="I24" s="360" t="s">
        <v>256</v>
      </c>
      <c r="J24" s="329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6" t="s">
        <v>85</v>
      </c>
      <c r="C27" s="356"/>
      <c r="D27" s="356"/>
      <c r="E27" s="356"/>
      <c r="F27" s="356"/>
      <c r="G27" s="356"/>
      <c r="H27" s="356"/>
      <c r="I27" s="356"/>
      <c r="J27" s="356"/>
      <c r="K27" s="24"/>
      <c r="Z27" s="2"/>
      <c r="AA27" s="2"/>
    </row>
    <row r="28" spans="1:27" ht="20" customHeight="1" x14ac:dyDescent="0.45">
      <c r="A28" s="62"/>
      <c r="B28" s="353" t="s">
        <v>407</v>
      </c>
      <c r="C28" s="353" t="s">
        <v>408</v>
      </c>
      <c r="D28" s="353" t="s">
        <v>23</v>
      </c>
      <c r="E28" s="353" t="s">
        <v>244</v>
      </c>
      <c r="F28" s="353" t="s">
        <v>239</v>
      </c>
      <c r="G28" s="353" t="s">
        <v>344</v>
      </c>
      <c r="H28" s="353" t="s">
        <v>240</v>
      </c>
      <c r="I28" s="353" t="s">
        <v>256</v>
      </c>
      <c r="J28" s="354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7"/>
      <c r="C29" s="337"/>
      <c r="D29" s="337"/>
      <c r="E29" s="337" t="s">
        <v>244</v>
      </c>
      <c r="F29" s="337"/>
      <c r="G29" s="337" t="s">
        <v>344</v>
      </c>
      <c r="H29" s="337" t="s">
        <v>240</v>
      </c>
      <c r="I29" s="337" t="s">
        <v>256</v>
      </c>
      <c r="J29" s="355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8"/>
      <c r="C30" s="338"/>
      <c r="D30" s="338"/>
      <c r="E30" s="338"/>
      <c r="F30" s="338"/>
      <c r="G30" s="338" t="s">
        <v>242</v>
      </c>
      <c r="H30" s="338" t="s">
        <v>243</v>
      </c>
      <c r="I30" s="338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433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434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435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6" t="s">
        <v>402</v>
      </c>
      <c r="J38" s="327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8" t="s">
        <v>397</v>
      </c>
      <c r="J39" s="329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6" t="s">
        <v>403</v>
      </c>
      <c r="J40" s="327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8" t="s">
        <v>256</v>
      </c>
      <c r="J41" s="329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7">
        <f>SERVICIO!B32</f>
        <v>750.24950000000001</v>
      </c>
      <c r="G43" s="358" t="s">
        <v>275</v>
      </c>
      <c r="H43" s="358"/>
      <c r="I43" s="326" t="s">
        <v>402</v>
      </c>
      <c r="J43" s="327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58"/>
      <c r="G44" s="358"/>
      <c r="H44" s="358"/>
      <c r="I44" s="328" t="s">
        <v>397</v>
      </c>
      <c r="J44" s="329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58"/>
      <c r="G45" s="358"/>
      <c r="H45" s="358"/>
      <c r="I45" s="326" t="s">
        <v>403</v>
      </c>
      <c r="J45" s="327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58"/>
      <c r="G46" s="358"/>
      <c r="H46" s="358"/>
      <c r="I46" s="328" t="s">
        <v>256</v>
      </c>
      <c r="J46" s="329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6" t="s">
        <v>4</v>
      </c>
      <c r="C48" s="356"/>
      <c r="D48" s="356"/>
      <c r="E48" s="356"/>
      <c r="F48" s="356"/>
      <c r="G48" s="356"/>
      <c r="H48" s="356"/>
      <c r="I48" s="356"/>
      <c r="J48" s="356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3" t="s">
        <v>407</v>
      </c>
      <c r="C49" s="353" t="s">
        <v>408</v>
      </c>
      <c r="D49" s="353" t="s">
        <v>23</v>
      </c>
      <c r="E49" s="353" t="s">
        <v>244</v>
      </c>
      <c r="F49" s="353" t="s">
        <v>239</v>
      </c>
      <c r="G49" s="353" t="s">
        <v>344</v>
      </c>
      <c r="H49" s="353" t="s">
        <v>240</v>
      </c>
      <c r="I49" s="353" t="s">
        <v>256</v>
      </c>
      <c r="J49" s="354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7"/>
      <c r="C50" s="337"/>
      <c r="D50" s="337"/>
      <c r="E50" s="337" t="s">
        <v>244</v>
      </c>
      <c r="F50" s="337"/>
      <c r="G50" s="337" t="s">
        <v>344</v>
      </c>
      <c r="H50" s="337" t="s">
        <v>240</v>
      </c>
      <c r="I50" s="337" t="s">
        <v>256</v>
      </c>
      <c r="J50" s="355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8"/>
      <c r="C51" s="338"/>
      <c r="D51" s="338"/>
      <c r="E51" s="338"/>
      <c r="F51" s="338"/>
      <c r="G51" s="338" t="s">
        <v>242</v>
      </c>
      <c r="H51" s="338" t="s">
        <v>243</v>
      </c>
      <c r="I51" s="338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21450</v>
      </c>
      <c r="G86" s="261">
        <f t="shared" si="64"/>
        <v>21450</v>
      </c>
      <c r="H86" s="242">
        <v>429000</v>
      </c>
      <c r="I86" s="242">
        <f t="shared" si="68"/>
        <v>429000</v>
      </c>
      <c r="J86" s="242">
        <f t="shared" si="69"/>
        <v>497639.99999999994</v>
      </c>
      <c r="K86" s="24"/>
      <c r="L86" s="243">
        <v>0</v>
      </c>
      <c r="M86" s="243">
        <f>$G$86</f>
        <v>21450</v>
      </c>
      <c r="N86" s="243">
        <f t="shared" ref="N86:Y86" si="103">$G$86</f>
        <v>21450</v>
      </c>
      <c r="O86" s="243">
        <f t="shared" si="103"/>
        <v>21450</v>
      </c>
      <c r="P86" s="243">
        <f t="shared" si="103"/>
        <v>21450</v>
      </c>
      <c r="Q86" s="243">
        <f t="shared" si="103"/>
        <v>21450</v>
      </c>
      <c r="R86" s="243">
        <f t="shared" si="103"/>
        <v>21450</v>
      </c>
      <c r="S86" s="243">
        <f t="shared" si="103"/>
        <v>21450</v>
      </c>
      <c r="T86" s="243">
        <f t="shared" si="103"/>
        <v>21450</v>
      </c>
      <c r="U86" s="243">
        <f t="shared" si="103"/>
        <v>21450</v>
      </c>
      <c r="V86" s="243">
        <f t="shared" si="103"/>
        <v>21450</v>
      </c>
      <c r="W86" s="243">
        <f t="shared" si="103"/>
        <v>21450</v>
      </c>
      <c r="X86" s="243">
        <f t="shared" si="103"/>
        <v>21450</v>
      </c>
      <c r="Y86" s="243">
        <f t="shared" si="103"/>
        <v>21450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460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436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7">
        <f>EGRESOS!R22</f>
        <v>368892.5</v>
      </c>
      <c r="G116" s="358" t="s">
        <v>276</v>
      </c>
      <c r="H116" s="358"/>
      <c r="I116" s="326" t="s">
        <v>402</v>
      </c>
      <c r="J116" s="327"/>
      <c r="K116" s="24"/>
      <c r="L116" s="210">
        <f>SUM(L52:L114)</f>
        <v>0</v>
      </c>
      <c r="M116" s="210">
        <f t="shared" ref="M116:W116" si="132">SUM(M52:M114)</f>
        <v>28072.5</v>
      </c>
      <c r="N116" s="210">
        <f t="shared" si="132"/>
        <v>28372.5</v>
      </c>
      <c r="O116" s="210">
        <f t="shared" si="132"/>
        <v>27922.5</v>
      </c>
      <c r="P116" s="210">
        <f t="shared" si="132"/>
        <v>27922.5</v>
      </c>
      <c r="Q116" s="210">
        <f t="shared" si="132"/>
        <v>27922.5</v>
      </c>
      <c r="R116" s="210">
        <f t="shared" si="132"/>
        <v>28072.5</v>
      </c>
      <c r="S116" s="210">
        <f t="shared" si="132"/>
        <v>27922.5</v>
      </c>
      <c r="T116" s="210">
        <f t="shared" si="132"/>
        <v>27922.5</v>
      </c>
      <c r="U116" s="210">
        <f t="shared" si="132"/>
        <v>27922.5</v>
      </c>
      <c r="V116" s="210">
        <f t="shared" si="132"/>
        <v>27922.5</v>
      </c>
      <c r="W116" s="210">
        <f t="shared" si="132"/>
        <v>27922.5</v>
      </c>
      <c r="X116" s="210">
        <f>SUM(X52:X114)</f>
        <v>28072.5</v>
      </c>
      <c r="Y116" s="210">
        <f>SUM(Y52:Y114)</f>
        <v>32922.5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58"/>
      <c r="G117" s="358"/>
      <c r="H117" s="358"/>
      <c r="I117" s="328" t="s">
        <v>397</v>
      </c>
      <c r="J117" s="329"/>
      <c r="K117" s="24"/>
      <c r="L117" s="211">
        <f>L116/$J$199</f>
        <v>0</v>
      </c>
      <c r="M117" s="211">
        <f t="shared" ref="M117" si="133">M116/$J$199</f>
        <v>1403.625</v>
      </c>
      <c r="N117" s="211">
        <f t="shared" ref="N117" si="134">N116/$J$199</f>
        <v>1418.625</v>
      </c>
      <c r="O117" s="211">
        <f t="shared" ref="O117" si="135">O116/$J$199</f>
        <v>1396.125</v>
      </c>
      <c r="P117" s="211">
        <f t="shared" ref="P117" si="136">P116/$J$199</f>
        <v>1396.125</v>
      </c>
      <c r="Q117" s="211">
        <f t="shared" ref="Q117" si="137">Q116/$J$199</f>
        <v>1396.125</v>
      </c>
      <c r="R117" s="211">
        <f t="shared" ref="R117" si="138">R116/$J$199</f>
        <v>1403.625</v>
      </c>
      <c r="S117" s="211">
        <f t="shared" ref="S117" si="139">S116/$J$199</f>
        <v>1396.125</v>
      </c>
      <c r="T117" s="211">
        <f t="shared" ref="T117" si="140">T116/$J$199</f>
        <v>1396.125</v>
      </c>
      <c r="U117" s="211">
        <f t="shared" ref="U117" si="141">U116/$J$199</f>
        <v>1396.125</v>
      </c>
      <c r="V117" s="211">
        <f t="shared" ref="V117" si="142">V116/$J$199</f>
        <v>1396.125</v>
      </c>
      <c r="W117" s="211">
        <f t="shared" ref="W117" si="143">W116/$J$199</f>
        <v>1396.125</v>
      </c>
      <c r="X117" s="211">
        <f t="shared" ref="X117" si="144">X116/$J$199</f>
        <v>1403.625</v>
      </c>
      <c r="Y117" s="211">
        <f t="shared" ref="Y117" si="145">Y116/$J$199</f>
        <v>1646.125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58"/>
      <c r="G118" s="358"/>
      <c r="H118" s="358"/>
      <c r="I118" s="326" t="s">
        <v>403</v>
      </c>
      <c r="J118" s="327"/>
      <c r="K118" s="24"/>
      <c r="L118" s="210">
        <f>SUM(L116:Y116)</f>
        <v>368892.5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58"/>
      <c r="G119" s="358"/>
      <c r="H119" s="358"/>
      <c r="I119" s="328" t="s">
        <v>256</v>
      </c>
      <c r="J119" s="329"/>
      <c r="K119" s="24"/>
      <c r="L119" s="262">
        <f>SUM(L117:Y117)</f>
        <v>18444.625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6" t="s">
        <v>86</v>
      </c>
      <c r="C121" s="356"/>
      <c r="D121" s="356"/>
      <c r="E121" s="356"/>
      <c r="F121" s="356"/>
      <c r="G121" s="356"/>
      <c r="H121" s="356"/>
      <c r="I121" s="356"/>
      <c r="J121" s="356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3" t="s">
        <v>407</v>
      </c>
      <c r="C122" s="353" t="s">
        <v>408</v>
      </c>
      <c r="D122" s="353" t="s">
        <v>23</v>
      </c>
      <c r="E122" s="353" t="s">
        <v>244</v>
      </c>
      <c r="F122" s="353" t="s">
        <v>239</v>
      </c>
      <c r="G122" s="353" t="s">
        <v>344</v>
      </c>
      <c r="H122" s="353" t="s">
        <v>240</v>
      </c>
      <c r="I122" s="353" t="s">
        <v>256</v>
      </c>
      <c r="J122" s="354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7"/>
      <c r="C123" s="337"/>
      <c r="D123" s="337"/>
      <c r="E123" s="337" t="s">
        <v>244</v>
      </c>
      <c r="F123" s="337"/>
      <c r="G123" s="337" t="s">
        <v>344</v>
      </c>
      <c r="H123" s="337" t="s">
        <v>240</v>
      </c>
      <c r="I123" s="337" t="s">
        <v>256</v>
      </c>
      <c r="J123" s="355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8"/>
      <c r="C124" s="338"/>
      <c r="D124" s="338"/>
      <c r="E124" s="338"/>
      <c r="F124" s="338"/>
      <c r="G124" s="338" t="s">
        <v>242</v>
      </c>
      <c r="H124" s="338" t="s">
        <v>243</v>
      </c>
      <c r="I124" s="338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6" t="s">
        <v>402</v>
      </c>
      <c r="J130" s="327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8" t="s">
        <v>397</v>
      </c>
      <c r="J131" s="329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6" t="s">
        <v>403</v>
      </c>
      <c r="J132" s="327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8" t="s">
        <v>256</v>
      </c>
      <c r="J133" s="329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6" t="s">
        <v>87</v>
      </c>
      <c r="C135" s="356"/>
      <c r="D135" s="356"/>
      <c r="E135" s="356"/>
      <c r="F135" s="356"/>
      <c r="G135" s="356"/>
      <c r="H135" s="356"/>
      <c r="I135" s="356"/>
      <c r="J135" s="356"/>
      <c r="K135" s="24"/>
      <c r="Z135" s="2"/>
      <c r="AA135" s="2"/>
    </row>
    <row r="136" spans="1:37" s="4" customFormat="1" ht="20" customHeight="1" x14ac:dyDescent="0.45">
      <c r="A136" s="62"/>
      <c r="B136" s="353" t="s">
        <v>407</v>
      </c>
      <c r="C136" s="353" t="s">
        <v>408</v>
      </c>
      <c r="D136" s="353" t="s">
        <v>23</v>
      </c>
      <c r="E136" s="353" t="s">
        <v>244</v>
      </c>
      <c r="F136" s="353" t="s">
        <v>239</v>
      </c>
      <c r="G136" s="353" t="s">
        <v>344</v>
      </c>
      <c r="H136" s="353" t="s">
        <v>240</v>
      </c>
      <c r="I136" s="353" t="s">
        <v>256</v>
      </c>
      <c r="J136" s="354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7"/>
      <c r="C137" s="337"/>
      <c r="D137" s="337"/>
      <c r="E137" s="337" t="s">
        <v>244</v>
      </c>
      <c r="F137" s="337"/>
      <c r="G137" s="337" t="s">
        <v>344</v>
      </c>
      <c r="H137" s="337" t="s">
        <v>240</v>
      </c>
      <c r="I137" s="337" t="s">
        <v>256</v>
      </c>
      <c r="J137" s="355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8"/>
      <c r="C138" s="338"/>
      <c r="D138" s="338"/>
      <c r="E138" s="338"/>
      <c r="F138" s="338"/>
      <c r="G138" s="338" t="s">
        <v>242</v>
      </c>
      <c r="H138" s="338" t="s">
        <v>243</v>
      </c>
      <c r="I138" s="338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6" t="s">
        <v>402</v>
      </c>
      <c r="J142" s="327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8" t="s">
        <v>397</v>
      </c>
      <c r="J143" s="329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6" t="s">
        <v>403</v>
      </c>
      <c r="J144" s="327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8" t="s">
        <v>256</v>
      </c>
      <c r="J145" s="329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6" t="s">
        <v>88</v>
      </c>
      <c r="C147" s="356"/>
      <c r="D147" s="356"/>
      <c r="E147" s="356"/>
      <c r="F147" s="356"/>
      <c r="G147" s="356"/>
      <c r="H147" s="356"/>
      <c r="I147" s="356"/>
      <c r="J147" s="356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3" t="s">
        <v>407</v>
      </c>
      <c r="C148" s="353" t="s">
        <v>408</v>
      </c>
      <c r="D148" s="353" t="s">
        <v>23</v>
      </c>
      <c r="E148" s="353" t="s">
        <v>244</v>
      </c>
      <c r="F148" s="353" t="s">
        <v>239</v>
      </c>
      <c r="G148" s="353" t="s">
        <v>344</v>
      </c>
      <c r="H148" s="353" t="s">
        <v>240</v>
      </c>
      <c r="I148" s="353" t="s">
        <v>256</v>
      </c>
      <c r="J148" s="354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7"/>
      <c r="C149" s="337"/>
      <c r="D149" s="337"/>
      <c r="E149" s="337" t="s">
        <v>244</v>
      </c>
      <c r="F149" s="337"/>
      <c r="G149" s="337" t="s">
        <v>344</v>
      </c>
      <c r="H149" s="337" t="s">
        <v>240</v>
      </c>
      <c r="I149" s="337" t="s">
        <v>256</v>
      </c>
      <c r="J149" s="355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8"/>
      <c r="C150" s="338"/>
      <c r="D150" s="338"/>
      <c r="E150" s="338"/>
      <c r="F150" s="338"/>
      <c r="G150" s="338" t="s">
        <v>242</v>
      </c>
      <c r="H150" s="338" t="s">
        <v>243</v>
      </c>
      <c r="I150" s="338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437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6" t="s">
        <v>402</v>
      </c>
      <c r="J162" s="327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8" t="s">
        <v>397</v>
      </c>
      <c r="J163" s="329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6" t="s">
        <v>403</v>
      </c>
      <c r="J164" s="327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8" t="s">
        <v>256</v>
      </c>
      <c r="J165" s="329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6" t="s">
        <v>90</v>
      </c>
      <c r="C167" s="356"/>
      <c r="D167" s="356"/>
      <c r="E167" s="356"/>
      <c r="F167" s="356"/>
      <c r="G167" s="356"/>
      <c r="H167" s="356"/>
      <c r="I167" s="356"/>
      <c r="J167" s="356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3" t="s">
        <v>407</v>
      </c>
      <c r="C168" s="353" t="s">
        <v>408</v>
      </c>
      <c r="D168" s="353" t="s">
        <v>23</v>
      </c>
      <c r="E168" s="353" t="s">
        <v>244</v>
      </c>
      <c r="F168" s="353" t="s">
        <v>239</v>
      </c>
      <c r="G168" s="353" t="s">
        <v>344</v>
      </c>
      <c r="H168" s="353" t="s">
        <v>240</v>
      </c>
      <c r="I168" s="353" t="s">
        <v>256</v>
      </c>
      <c r="J168" s="354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7"/>
      <c r="C169" s="337"/>
      <c r="D169" s="337"/>
      <c r="E169" s="337" t="s">
        <v>244</v>
      </c>
      <c r="F169" s="337"/>
      <c r="G169" s="337" t="s">
        <v>344</v>
      </c>
      <c r="H169" s="337" t="s">
        <v>240</v>
      </c>
      <c r="I169" s="337" t="s">
        <v>256</v>
      </c>
      <c r="J169" s="355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8"/>
      <c r="C170" s="338"/>
      <c r="D170" s="338"/>
      <c r="E170" s="338"/>
      <c r="F170" s="338"/>
      <c r="G170" s="338" t="s">
        <v>242</v>
      </c>
      <c r="H170" s="338" t="s">
        <v>243</v>
      </c>
      <c r="I170" s="338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6" t="s">
        <v>402</v>
      </c>
      <c r="J174" s="327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8" t="s">
        <v>397</v>
      </c>
      <c r="J175" s="329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6" t="s">
        <v>403</v>
      </c>
      <c r="J176" s="327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8" t="s">
        <v>256</v>
      </c>
      <c r="J177" s="329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6" t="s">
        <v>91</v>
      </c>
      <c r="C179" s="356"/>
      <c r="D179" s="356"/>
      <c r="E179" s="356"/>
      <c r="F179" s="356"/>
      <c r="G179" s="356"/>
      <c r="H179" s="356"/>
      <c r="I179" s="356"/>
      <c r="J179" s="356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3" t="s">
        <v>407</v>
      </c>
      <c r="C180" s="353" t="s">
        <v>408</v>
      </c>
      <c r="D180" s="353" t="s">
        <v>23</v>
      </c>
      <c r="E180" s="353" t="s">
        <v>244</v>
      </c>
      <c r="F180" s="353" t="s">
        <v>239</v>
      </c>
      <c r="G180" s="353" t="s">
        <v>344</v>
      </c>
      <c r="H180" s="353" t="s">
        <v>240</v>
      </c>
      <c r="I180" s="353" t="s">
        <v>256</v>
      </c>
      <c r="J180" s="354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7"/>
      <c r="C181" s="337"/>
      <c r="D181" s="337"/>
      <c r="E181" s="337" t="s">
        <v>244</v>
      </c>
      <c r="F181" s="337"/>
      <c r="G181" s="337" t="s">
        <v>344</v>
      </c>
      <c r="H181" s="337" t="s">
        <v>240</v>
      </c>
      <c r="I181" s="337" t="s">
        <v>256</v>
      </c>
      <c r="J181" s="355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8"/>
      <c r="C182" s="338"/>
      <c r="D182" s="338"/>
      <c r="E182" s="338"/>
      <c r="F182" s="338"/>
      <c r="G182" s="338" t="s">
        <v>242</v>
      </c>
      <c r="H182" s="338" t="s">
        <v>243</v>
      </c>
      <c r="I182" s="338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6" t="s">
        <v>402</v>
      </c>
      <c r="J187" s="327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8" t="s">
        <v>397</v>
      </c>
      <c r="J188" s="329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6" t="s">
        <v>403</v>
      </c>
      <c r="J189" s="327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8" t="s">
        <v>256</v>
      </c>
      <c r="J190" s="329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7">
        <f>EGRESOS!R28</f>
        <v>5694.4419999999991</v>
      </c>
      <c r="G193" s="358" t="s">
        <v>277</v>
      </c>
      <c r="H193" s="358"/>
      <c r="I193" s="326" t="s">
        <v>402</v>
      </c>
      <c r="J193" s="327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58"/>
      <c r="G194" s="358"/>
      <c r="H194" s="358"/>
      <c r="I194" s="328" t="s">
        <v>397</v>
      </c>
      <c r="J194" s="329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58"/>
      <c r="G195" s="358"/>
      <c r="H195" s="358"/>
      <c r="I195" s="326" t="s">
        <v>403</v>
      </c>
      <c r="J195" s="327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58"/>
      <c r="G196" s="358"/>
      <c r="H196" s="358"/>
      <c r="I196" s="328" t="s">
        <v>256</v>
      </c>
      <c r="J196" s="329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1"/>
      <c r="J198" s="352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30" t="s">
        <v>345</v>
      </c>
      <c r="J205" s="331"/>
    </row>
    <row r="206" spans="1:25" ht="20" customHeight="1" thickBot="1" x14ac:dyDescent="0.4">
      <c r="D206" s="66"/>
      <c r="E206" s="66"/>
      <c r="F206" s="66"/>
      <c r="I206" s="332"/>
      <c r="J206" s="333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F136:F138"/>
    <mergeCell ref="G136:G138"/>
    <mergeCell ref="H136:H138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E49:E51"/>
    <mergeCell ref="F43:F46"/>
    <mergeCell ref="G43:H46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  <mergeCell ref="C122:C124"/>
    <mergeCell ref="B122:B124"/>
    <mergeCell ref="J49:J50"/>
    <mergeCell ref="I119:J119"/>
    <mergeCell ref="H122:H124"/>
    <mergeCell ref="I122:I124"/>
    <mergeCell ref="D49:D51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2024-11-19T14:47:27Z</dcterms:modified>
</cp:coreProperties>
</file>