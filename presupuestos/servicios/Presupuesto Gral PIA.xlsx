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lcazart\Desktop\GEOLIS SALVADOR\08.- PRESUPUESTOS\2.- 2025\01.- POR ESTACIÓN\"/>
    </mc:Choice>
  </mc:AlternateContent>
  <xr:revisionPtr revIDLastSave="0" documentId="13_ncr:1_{AE3DBDD7-7993-4C7E-A612-70C47C701062}" xr6:coauthVersionLast="47" xr6:coauthVersionMax="47" xr10:uidLastSave="{00000000-0000-0000-0000-000000000000}"/>
  <bookViews>
    <workbookView xWindow="-110" yWindow="-110" windowWidth="19420" windowHeight="11620" tabRatio="900" xr2:uid="{00000000-000D-0000-FFFF-FFFF00000000}"/>
  </bookViews>
  <sheets>
    <sheet name="SERVICIO" sheetId="34" r:id="rId1"/>
    <sheet name="GRÁFICA" sheetId="24" r:id="rId2"/>
    <sheet name="GRÁFICA II" sheetId="27" r:id="rId3"/>
    <sheet name="FLUJO" sheetId="23" r:id="rId4"/>
    <sheet name="EGRESOS" sheetId="18" r:id="rId5"/>
    <sheet name="PREMISAS" sheetId="21" r:id="rId6"/>
    <sheet name="F08 INGRESOS" sheetId="11" r:id="rId7"/>
    <sheet name="F00 INVERSIÓN" sheetId="22" r:id="rId8"/>
    <sheet name="NOMINA" sheetId="4" r:id="rId9"/>
    <sheet name="F01 EPP" sheetId="33" r:id="rId10"/>
    <sheet name="F01 UNIFORMES" sheetId="32" r:id="rId11"/>
    <sheet name="F02 INMUEBLES Y S" sheetId="5" r:id="rId12"/>
    <sheet name="F03 COM Y EQ COM" sheetId="6" r:id="rId13"/>
    <sheet name="F04 VEHÍCULOS Y COMB. " sheetId="7" r:id="rId14"/>
    <sheet name="F05 VIÁTICOS" sheetId="8" r:id="rId15"/>
    <sheet name="F06 (MAT,SERV &amp; EQUIPO)" sheetId="20" r:id="rId16"/>
    <sheet name="F07 OPERAC. (MAT,SERV &amp; EQUIPO)" sheetId="10" r:id="rId17"/>
    <sheet name="Hoja1" sheetId="39" r:id="rId18"/>
    <sheet name="Hoja2" sheetId="36" r:id="rId19"/>
  </sheets>
  <externalReferences>
    <externalReference r:id="rId20"/>
    <externalReference r:id="rId21"/>
  </externalReferences>
  <definedNames>
    <definedName name="_xlnm.Print_Area" localSheetId="7">'F00 INVERSIÓN'!#REF!</definedName>
    <definedName name="_xlnm.Print_Area" localSheetId="9">'F01 EPP'!$C$2:$C$2</definedName>
    <definedName name="_xlnm.Print_Area" localSheetId="10">'F01 UNIFORMES'!#REF!</definedName>
    <definedName name="_xlnm.Print_Area" localSheetId="8">NOMINA!$L$2:$L$3</definedName>
    <definedName name="Departamentos">'[1]BD Competencias'!$F$14:$F$41</definedName>
    <definedName name="Display_Week">[2]ProjectSchedule!$I$3</definedName>
    <definedName name="Project_Start">[2]ProjectSchedule!$I$2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6" i="34" l="1"/>
  <c r="B194" i="34"/>
  <c r="B193" i="34"/>
  <c r="B192" i="34"/>
  <c r="B191" i="34"/>
  <c r="B188" i="34"/>
  <c r="B186" i="34"/>
  <c r="B185" i="34"/>
  <c r="B184" i="34"/>
  <c r="B183" i="34"/>
  <c r="B182" i="34"/>
  <c r="B181" i="34"/>
  <c r="B179" i="34"/>
  <c r="E196" i="34"/>
  <c r="F196" i="34"/>
  <c r="G196" i="34"/>
  <c r="H196" i="34"/>
  <c r="I196" i="34"/>
  <c r="J196" i="34"/>
  <c r="K196" i="34"/>
  <c r="L196" i="34"/>
  <c r="M196" i="34"/>
  <c r="N196" i="34"/>
  <c r="O196" i="34"/>
  <c r="P196" i="34"/>
  <c r="D196" i="34"/>
  <c r="E194" i="34"/>
  <c r="F194" i="34"/>
  <c r="G194" i="34"/>
  <c r="H194" i="34"/>
  <c r="I194" i="34"/>
  <c r="J194" i="34"/>
  <c r="K194" i="34"/>
  <c r="L194" i="34"/>
  <c r="M194" i="34"/>
  <c r="N194" i="34"/>
  <c r="O194" i="34"/>
  <c r="P194" i="34"/>
  <c r="D194" i="34"/>
  <c r="E193" i="34"/>
  <c r="F193" i="34"/>
  <c r="G193" i="34"/>
  <c r="H193" i="34"/>
  <c r="I193" i="34"/>
  <c r="J193" i="34"/>
  <c r="K193" i="34"/>
  <c r="L193" i="34"/>
  <c r="M193" i="34"/>
  <c r="N193" i="34"/>
  <c r="O193" i="34"/>
  <c r="P193" i="34"/>
  <c r="D193" i="34"/>
  <c r="C183" i="34"/>
  <c r="E192" i="34"/>
  <c r="F192" i="34"/>
  <c r="G192" i="34"/>
  <c r="H192" i="34"/>
  <c r="I192" i="34"/>
  <c r="J192" i="34"/>
  <c r="K192" i="34"/>
  <c r="L192" i="34"/>
  <c r="M192" i="34"/>
  <c r="N192" i="34"/>
  <c r="O192" i="34"/>
  <c r="P192" i="34"/>
  <c r="D192" i="34"/>
  <c r="E191" i="34"/>
  <c r="F191" i="34"/>
  <c r="G191" i="34"/>
  <c r="H191" i="34"/>
  <c r="I191" i="34"/>
  <c r="J191" i="34"/>
  <c r="K191" i="34"/>
  <c r="L191" i="34"/>
  <c r="M191" i="34"/>
  <c r="N191" i="34"/>
  <c r="O191" i="34"/>
  <c r="P191" i="34"/>
  <c r="D191" i="34"/>
  <c r="E188" i="34"/>
  <c r="F188" i="34"/>
  <c r="G188" i="34"/>
  <c r="H188" i="34"/>
  <c r="I188" i="34"/>
  <c r="J188" i="34"/>
  <c r="K188" i="34"/>
  <c r="L188" i="34"/>
  <c r="M188" i="34"/>
  <c r="N188" i="34"/>
  <c r="O188" i="34"/>
  <c r="P188" i="34"/>
  <c r="D188" i="34"/>
  <c r="E186" i="34"/>
  <c r="F186" i="34"/>
  <c r="G186" i="34"/>
  <c r="H186" i="34"/>
  <c r="I186" i="34"/>
  <c r="J186" i="34"/>
  <c r="K186" i="34"/>
  <c r="L186" i="34"/>
  <c r="M186" i="34"/>
  <c r="N186" i="34"/>
  <c r="O186" i="34"/>
  <c r="P186" i="34"/>
  <c r="D186" i="34"/>
  <c r="E185" i="34"/>
  <c r="F185" i="34"/>
  <c r="G185" i="34"/>
  <c r="H185" i="34"/>
  <c r="I185" i="34"/>
  <c r="J185" i="34"/>
  <c r="K185" i="34"/>
  <c r="L185" i="34"/>
  <c r="M185" i="34"/>
  <c r="N185" i="34"/>
  <c r="O185" i="34"/>
  <c r="P185" i="34"/>
  <c r="D185" i="34"/>
  <c r="E184" i="34"/>
  <c r="F184" i="34"/>
  <c r="G184" i="34"/>
  <c r="H184" i="34"/>
  <c r="I184" i="34"/>
  <c r="J184" i="34"/>
  <c r="K184" i="34"/>
  <c r="L184" i="34"/>
  <c r="M184" i="34"/>
  <c r="N184" i="34"/>
  <c r="O184" i="34"/>
  <c r="P184" i="34"/>
  <c r="D184" i="34"/>
  <c r="D183" i="34"/>
  <c r="E183" i="34"/>
  <c r="F183" i="34"/>
  <c r="G183" i="34"/>
  <c r="H183" i="34"/>
  <c r="I183" i="34"/>
  <c r="J183" i="34"/>
  <c r="K183" i="34"/>
  <c r="L183" i="34"/>
  <c r="M183" i="34"/>
  <c r="N183" i="34"/>
  <c r="O183" i="34"/>
  <c r="P183" i="34"/>
  <c r="E182" i="34"/>
  <c r="F182" i="34"/>
  <c r="G182" i="34"/>
  <c r="H182" i="34"/>
  <c r="I182" i="34"/>
  <c r="J182" i="34"/>
  <c r="K182" i="34"/>
  <c r="L182" i="34"/>
  <c r="M182" i="34"/>
  <c r="N182" i="34"/>
  <c r="O182" i="34"/>
  <c r="P182" i="34"/>
  <c r="D182" i="34"/>
  <c r="C181" i="34"/>
  <c r="D181" i="34"/>
  <c r="E181" i="34"/>
  <c r="F181" i="34"/>
  <c r="G181" i="34"/>
  <c r="H181" i="34"/>
  <c r="I181" i="34"/>
  <c r="J181" i="34"/>
  <c r="K181" i="34"/>
  <c r="L181" i="34"/>
  <c r="M181" i="34"/>
  <c r="N181" i="34"/>
  <c r="O181" i="34"/>
  <c r="P181" i="34"/>
  <c r="C182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79" i="34"/>
  <c r="D179" i="34"/>
  <c r="E179" i="34"/>
  <c r="F179" i="34"/>
  <c r="G179" i="34"/>
  <c r="H179" i="34"/>
  <c r="I179" i="34"/>
  <c r="J179" i="34"/>
  <c r="K179" i="34"/>
  <c r="L179" i="34"/>
  <c r="M179" i="34"/>
  <c r="N179" i="34"/>
  <c r="O179" i="34"/>
  <c r="P179" i="34"/>
  <c r="F114" i="10"/>
  <c r="F97" i="10"/>
  <c r="F90" i="10"/>
  <c r="R18" i="20"/>
  <c r="N7" i="22"/>
  <c r="G14" i="21"/>
  <c r="H12" i="11" s="1"/>
  <c r="H14" i="21"/>
  <c r="I14" i="21" s="1"/>
  <c r="J12" i="11" s="1"/>
  <c r="K12" i="11" s="1"/>
  <c r="E12" i="11"/>
  <c r="F12" i="11"/>
  <c r="G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I12" i="11" l="1"/>
  <c r="O8" i="4" l="1"/>
  <c r="O9" i="4"/>
  <c r="O10" i="4"/>
  <c r="O11" i="4"/>
  <c r="O12" i="4"/>
  <c r="O13" i="4"/>
  <c r="O14" i="4"/>
  <c r="O15" i="4"/>
  <c r="O16" i="4"/>
  <c r="O17" i="4"/>
  <c r="O7" i="4"/>
  <c r="M7" i="4"/>
  <c r="K7" i="4"/>
  <c r="L7" i="4" s="1"/>
  <c r="H91" i="10"/>
  <c r="N7" i="7"/>
  <c r="N8" i="7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43" i="18" l="1"/>
  <c r="E44" i="18"/>
  <c r="E45" i="18"/>
  <c r="E46" i="18"/>
  <c r="E47" i="18"/>
  <c r="E42" i="18"/>
  <c r="I56" i="6" a="1"/>
  <c r="I56" i="6" s="1"/>
  <c r="M8" i="11"/>
  <c r="M9" i="11"/>
  <c r="M10" i="11"/>
  <c r="M11" i="11"/>
  <c r="E8" i="11"/>
  <c r="F8" i="11"/>
  <c r="G8" i="11"/>
  <c r="E9" i="11"/>
  <c r="F9" i="11"/>
  <c r="G9" i="11"/>
  <c r="E10" i="11"/>
  <c r="F10" i="11"/>
  <c r="G10" i="11"/>
  <c r="E11" i="11"/>
  <c r="F11" i="11"/>
  <c r="G11" i="11"/>
  <c r="D8" i="11"/>
  <c r="D9" i="11"/>
  <c r="D10" i="11"/>
  <c r="D11" i="11"/>
  <c r="H10" i="21"/>
  <c r="I10" i="21" s="1"/>
  <c r="J8" i="11" s="1"/>
  <c r="K8" i="11" s="1"/>
  <c r="H11" i="21"/>
  <c r="I9" i="11" s="1"/>
  <c r="H12" i="21"/>
  <c r="I10" i="11" s="1"/>
  <c r="I12" i="21"/>
  <c r="J10" i="11" s="1"/>
  <c r="K10" i="11" s="1"/>
  <c r="H13" i="21"/>
  <c r="I11" i="11" s="1"/>
  <c r="I13" i="21"/>
  <c r="J11" i="11" s="1"/>
  <c r="K11" i="11" s="1"/>
  <c r="G10" i="21"/>
  <c r="H8" i="11" s="1"/>
  <c r="G11" i="21"/>
  <c r="H9" i="11" s="1"/>
  <c r="G12" i="21"/>
  <c r="G13" i="21"/>
  <c r="O13" i="21" s="1"/>
  <c r="Q11" i="11" s="1"/>
  <c r="E7" i="11"/>
  <c r="F7" i="11"/>
  <c r="G7" i="11"/>
  <c r="M7" i="11"/>
  <c r="X13" i="21" l="1"/>
  <c r="Z11" i="11" s="1"/>
  <c r="I11" i="21"/>
  <c r="J9" i="11" s="1"/>
  <c r="K9" i="11" s="1"/>
  <c r="N13" i="21"/>
  <c r="P11" i="11" s="1"/>
  <c r="M12" i="21"/>
  <c r="O10" i="11" s="1"/>
  <c r="L13" i="21"/>
  <c r="N11" i="11" s="1"/>
  <c r="M13" i="21"/>
  <c r="O11" i="11" s="1"/>
  <c r="T13" i="21"/>
  <c r="V11" i="11" s="1"/>
  <c r="I8" i="11"/>
  <c r="H11" i="11"/>
  <c r="S13" i="21"/>
  <c r="U11" i="11" s="1"/>
  <c r="V13" i="21"/>
  <c r="X11" i="11" s="1"/>
  <c r="W13" i="21"/>
  <c r="Y11" i="11" s="1"/>
  <c r="R13" i="21"/>
  <c r="T11" i="11" s="1"/>
  <c r="Q13" i="21"/>
  <c r="S11" i="11" s="1"/>
  <c r="U13" i="21"/>
  <c r="W11" i="11" s="1"/>
  <c r="P13" i="21"/>
  <c r="R11" i="11" s="1"/>
  <c r="H10" i="11"/>
  <c r="R12" i="21"/>
  <c r="T10" i="11" s="1"/>
  <c r="Q12" i="21"/>
  <c r="S10" i="11" s="1"/>
  <c r="P12" i="21"/>
  <c r="R10" i="11" s="1"/>
  <c r="T12" i="21"/>
  <c r="V10" i="11" s="1"/>
  <c r="S12" i="21"/>
  <c r="U10" i="11" s="1"/>
  <c r="L12" i="21"/>
  <c r="N10" i="11" s="1"/>
  <c r="X12" i="21"/>
  <c r="Z10" i="11" s="1"/>
  <c r="W12" i="21"/>
  <c r="Y10" i="11" s="1"/>
  <c r="O12" i="21"/>
  <c r="Q10" i="11" s="1"/>
  <c r="V12" i="21"/>
  <c r="X10" i="11" s="1"/>
  <c r="N12" i="21"/>
  <c r="P10" i="11" s="1"/>
  <c r="U12" i="21"/>
  <c r="W10" i="11" s="1"/>
  <c r="D26" i="18"/>
  <c r="D24" i="18"/>
  <c r="D28" i="18"/>
  <c r="D30" i="18"/>
  <c r="D22" i="18"/>
  <c r="D20" i="18"/>
  <c r="D18" i="18"/>
  <c r="D16" i="18"/>
  <c r="D14" i="18"/>
  <c r="D12" i="18"/>
  <c r="L8" i="18"/>
  <c r="M8" i="18"/>
  <c r="N8" i="18"/>
  <c r="O8" i="18"/>
  <c r="P8" i="18"/>
  <c r="Q8" i="18"/>
  <c r="D8" i="18"/>
  <c r="R30" i="7"/>
  <c r="T10" i="22"/>
  <c r="S9" i="22"/>
  <c r="R8" i="22"/>
  <c r="Q7" i="22"/>
  <c r="C150" i="34"/>
  <c r="C149" i="34"/>
  <c r="C79" i="34"/>
  <c r="C80" i="34"/>
  <c r="C31" i="34"/>
  <c r="C32" i="34" s="1"/>
  <c r="C153" i="34"/>
  <c r="C154" i="34" s="1"/>
  <c r="C164" i="34"/>
  <c r="C163" i="34"/>
  <c r="C159" i="34"/>
  <c r="C160" i="34"/>
  <c r="C161" i="34"/>
  <c r="C162" i="34"/>
  <c r="C158" i="34"/>
  <c r="C156" i="34"/>
  <c r="C155" i="34"/>
  <c r="C151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85" i="34"/>
  <c r="C83" i="34"/>
  <c r="C82" i="34"/>
  <c r="C81" i="34"/>
  <c r="C77" i="34"/>
  <c r="C78" i="34" s="1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41" i="34"/>
  <c r="C39" i="34"/>
  <c r="C38" i="34"/>
  <c r="C34" i="34"/>
  <c r="C35" i="34"/>
  <c r="C36" i="34"/>
  <c r="C33" i="34"/>
  <c r="L43" i="10"/>
  <c r="C29" i="34"/>
  <c r="C27" i="34"/>
  <c r="C26" i="34"/>
  <c r="C24" i="34"/>
  <c r="C15" i="34"/>
  <c r="C16" i="34"/>
  <c r="C17" i="34"/>
  <c r="C18" i="34"/>
  <c r="C19" i="34"/>
  <c r="C20" i="34"/>
  <c r="C21" i="34"/>
  <c r="C22" i="34"/>
  <c r="C14" i="34"/>
  <c r="L8" i="34"/>
  <c r="M8" i="34"/>
  <c r="N8" i="34"/>
  <c r="O8" i="34"/>
  <c r="P8" i="34"/>
  <c r="H9" i="34"/>
  <c r="I9" i="34"/>
  <c r="J9" i="34"/>
  <c r="K9" i="34"/>
  <c r="L9" i="34"/>
  <c r="M9" i="34"/>
  <c r="N9" i="34"/>
  <c r="O9" i="34"/>
  <c r="P9" i="34"/>
  <c r="K10" i="34"/>
  <c r="L10" i="34"/>
  <c r="M10" i="34"/>
  <c r="N10" i="34"/>
  <c r="O10" i="34"/>
  <c r="P10" i="34"/>
  <c r="H11" i="34"/>
  <c r="I11" i="34"/>
  <c r="J11" i="34"/>
  <c r="K11" i="34"/>
  <c r="L11" i="34"/>
  <c r="M11" i="34"/>
  <c r="N11" i="34"/>
  <c r="O11" i="34"/>
  <c r="P11" i="34"/>
  <c r="H12" i="34"/>
  <c r="I12" i="34"/>
  <c r="J12" i="34"/>
  <c r="K12" i="34"/>
  <c r="L12" i="34"/>
  <c r="M12" i="34"/>
  <c r="N12" i="34"/>
  <c r="O12" i="34"/>
  <c r="P12" i="34"/>
  <c r="C12" i="34"/>
  <c r="C11" i="34"/>
  <c r="C10" i="34"/>
  <c r="C9" i="34"/>
  <c r="C8" i="34"/>
  <c r="I127" i="10"/>
  <c r="J127" i="10" s="1"/>
  <c r="I153" i="10"/>
  <c r="J153" i="10"/>
  <c r="I155" i="10"/>
  <c r="J155" i="10" s="1"/>
  <c r="I156" i="10"/>
  <c r="J156" i="10" s="1"/>
  <c r="I157" i="10"/>
  <c r="J157" i="10" s="1"/>
  <c r="I158" i="10"/>
  <c r="J158" i="10" s="1"/>
  <c r="I159" i="10"/>
  <c r="J159" i="10" s="1"/>
  <c r="I185" i="10"/>
  <c r="J185" i="10" s="1"/>
  <c r="I184" i="10"/>
  <c r="J184" i="10" s="1"/>
  <c r="I183" i="10"/>
  <c r="J183" i="10" s="1"/>
  <c r="I172" i="10"/>
  <c r="J172" i="10" s="1"/>
  <c r="I171" i="10"/>
  <c r="J171" i="10" s="1"/>
  <c r="I152" i="10"/>
  <c r="J152" i="10" s="1"/>
  <c r="I151" i="10"/>
  <c r="J151" i="10" s="1"/>
  <c r="I140" i="10"/>
  <c r="J140" i="10" s="1"/>
  <c r="I139" i="10"/>
  <c r="J139" i="10" s="1"/>
  <c r="I126" i="10"/>
  <c r="J126" i="10" s="1"/>
  <c r="I125" i="10"/>
  <c r="J125" i="10" s="1"/>
  <c r="I54" i="10"/>
  <c r="J54" i="10" s="1"/>
  <c r="I55" i="10"/>
  <c r="J55" i="10" s="1"/>
  <c r="I56" i="10"/>
  <c r="J56" i="10" s="1"/>
  <c r="I57" i="10"/>
  <c r="J57" i="10" s="1"/>
  <c r="I58" i="10"/>
  <c r="J58" i="10" s="1"/>
  <c r="I59" i="10"/>
  <c r="J59" i="10" s="1"/>
  <c r="I60" i="10"/>
  <c r="J60" i="10" s="1"/>
  <c r="I61" i="10"/>
  <c r="J61" i="10" s="1"/>
  <c r="I62" i="10"/>
  <c r="J62" i="10" s="1"/>
  <c r="I63" i="10"/>
  <c r="J63" i="10"/>
  <c r="I64" i="10"/>
  <c r="J64" i="10" s="1"/>
  <c r="I65" i="10"/>
  <c r="J65" i="10" s="1"/>
  <c r="I66" i="10"/>
  <c r="J66" i="10" s="1"/>
  <c r="I67" i="10"/>
  <c r="J67" i="10" s="1"/>
  <c r="I68" i="10"/>
  <c r="J68" i="10" s="1"/>
  <c r="I70" i="10"/>
  <c r="J70" i="10" s="1"/>
  <c r="I71" i="10"/>
  <c r="J71" i="10" s="1"/>
  <c r="I72" i="10"/>
  <c r="J72" i="10" s="1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J79" i="10" s="1"/>
  <c r="I80" i="10"/>
  <c r="J80" i="10" s="1"/>
  <c r="I81" i="10"/>
  <c r="J81" i="10" s="1"/>
  <c r="I82" i="10"/>
  <c r="J82" i="10" s="1"/>
  <c r="I83" i="10"/>
  <c r="J83" i="10" s="1"/>
  <c r="I84" i="10"/>
  <c r="J84" i="10" s="1"/>
  <c r="I86" i="10"/>
  <c r="J86" i="10" s="1"/>
  <c r="I87" i="10"/>
  <c r="J87" i="10" s="1"/>
  <c r="I88" i="10"/>
  <c r="J88" i="10" s="1"/>
  <c r="I89" i="10"/>
  <c r="J89" i="10" s="1"/>
  <c r="I90" i="10"/>
  <c r="J90" i="10" s="1"/>
  <c r="I91" i="10"/>
  <c r="J91" i="10" s="1"/>
  <c r="I92" i="10"/>
  <c r="J92" i="10" s="1"/>
  <c r="I93" i="10"/>
  <c r="J93" i="10" s="1"/>
  <c r="I94" i="10"/>
  <c r="J94" i="10" s="1"/>
  <c r="I95" i="10"/>
  <c r="J95" i="10" s="1"/>
  <c r="I96" i="10"/>
  <c r="J96" i="10" s="1"/>
  <c r="I97" i="10"/>
  <c r="J97" i="10" s="1"/>
  <c r="I98" i="10"/>
  <c r="J98" i="10" s="1"/>
  <c r="I99" i="10"/>
  <c r="J99" i="10" s="1"/>
  <c r="I100" i="10"/>
  <c r="J100" i="10" s="1"/>
  <c r="I102" i="10"/>
  <c r="J102" i="10" s="1"/>
  <c r="I103" i="10"/>
  <c r="J103" i="10" s="1"/>
  <c r="I104" i="10"/>
  <c r="J104" i="10" s="1"/>
  <c r="I105" i="10"/>
  <c r="J105" i="10" s="1"/>
  <c r="I106" i="10"/>
  <c r="J106" i="10"/>
  <c r="I107" i="10"/>
  <c r="J107" i="10" s="1"/>
  <c r="I108" i="10"/>
  <c r="J108" i="10" s="1"/>
  <c r="I109" i="10"/>
  <c r="J109" i="10" s="1"/>
  <c r="I110" i="10"/>
  <c r="J110" i="10" s="1"/>
  <c r="I111" i="10"/>
  <c r="J111" i="10" s="1"/>
  <c r="I112" i="10"/>
  <c r="J112" i="10" s="1"/>
  <c r="I113" i="10"/>
  <c r="J113" i="10" s="1"/>
  <c r="I114" i="10"/>
  <c r="J114" i="10" s="1"/>
  <c r="I53" i="10"/>
  <c r="J53" i="10" s="1"/>
  <c r="I52" i="10"/>
  <c r="J52" i="10" s="1"/>
  <c r="I33" i="10"/>
  <c r="J33" i="10" s="1"/>
  <c r="I34" i="10"/>
  <c r="J34" i="10" s="1"/>
  <c r="I35" i="10"/>
  <c r="J35" i="10" s="1"/>
  <c r="I36" i="10"/>
  <c r="J36" i="10" s="1"/>
  <c r="I32" i="10"/>
  <c r="J32" i="10" s="1"/>
  <c r="I31" i="10"/>
  <c r="J31" i="10" s="1"/>
  <c r="L187" i="10"/>
  <c r="L174" i="10"/>
  <c r="L162" i="10"/>
  <c r="L43" i="20"/>
  <c r="H20" i="8"/>
  <c r="H19" i="8"/>
  <c r="K27" i="8"/>
  <c r="K22" i="8"/>
  <c r="K13" i="8"/>
  <c r="R25" i="7"/>
  <c r="R11" i="7"/>
  <c r="O8" i="7"/>
  <c r="P8" i="7" s="1"/>
  <c r="N9" i="7"/>
  <c r="O9" i="7" s="1"/>
  <c r="P9" i="7" s="1"/>
  <c r="O7" i="7"/>
  <c r="P7" i="7" s="1"/>
  <c r="N21" i="7"/>
  <c r="O21" i="7" s="1"/>
  <c r="P21" i="7" s="1"/>
  <c r="E22" i="7"/>
  <c r="F22" i="7" s="1"/>
  <c r="N22" i="7" s="1"/>
  <c r="O22" i="7" s="1"/>
  <c r="P22" i="7" s="1"/>
  <c r="F23" i="7"/>
  <c r="N23" i="7" s="1"/>
  <c r="O23" i="7" s="1"/>
  <c r="P23" i="7" s="1"/>
  <c r="E21" i="7"/>
  <c r="F21" i="7" s="1"/>
  <c r="L50" i="6"/>
  <c r="L35" i="6"/>
  <c r="L29" i="6"/>
  <c r="L20" i="6"/>
  <c r="L11" i="6"/>
  <c r="O16" i="5"/>
  <c r="P16" i="5"/>
  <c r="Q16" i="5"/>
  <c r="R16" i="5"/>
  <c r="S16" i="5"/>
  <c r="T16" i="5"/>
  <c r="U16" i="5"/>
  <c r="V16" i="5"/>
  <c r="W16" i="5"/>
  <c r="X16" i="5"/>
  <c r="Y16" i="5"/>
  <c r="Z16" i="5"/>
  <c r="O17" i="5"/>
  <c r="P17" i="5"/>
  <c r="Q17" i="5"/>
  <c r="R17" i="5"/>
  <c r="S17" i="5"/>
  <c r="T17" i="5"/>
  <c r="U17" i="5"/>
  <c r="V17" i="5"/>
  <c r="W17" i="5"/>
  <c r="X17" i="5"/>
  <c r="Y17" i="5"/>
  <c r="Z17" i="5"/>
  <c r="N17" i="5"/>
  <c r="N16" i="5"/>
  <c r="M20" i="5"/>
  <c r="M19" i="5"/>
  <c r="M12" i="32"/>
  <c r="D10" i="18" s="1"/>
  <c r="M19" i="33"/>
  <c r="M8" i="4"/>
  <c r="M9" i="4"/>
  <c r="M10" i="4"/>
  <c r="M11" i="4"/>
  <c r="M12" i="4"/>
  <c r="M13" i="4"/>
  <c r="M14" i="4"/>
  <c r="M15" i="4"/>
  <c r="M16" i="4"/>
  <c r="M17" i="4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K16" i="4"/>
  <c r="L16" i="4"/>
  <c r="K17" i="4"/>
  <c r="L17" i="4" s="1"/>
  <c r="V19" i="4"/>
  <c r="L41" i="22"/>
  <c r="U40" i="22"/>
  <c r="V40" i="22"/>
  <c r="W40" i="22"/>
  <c r="X40" i="22"/>
  <c r="Y40" i="22"/>
  <c r="T16" i="22"/>
  <c r="S15" i="22"/>
  <c r="R14" i="22"/>
  <c r="Q13" i="22"/>
  <c r="L40" i="22"/>
  <c r="I48" i="6"/>
  <c r="I47" i="6"/>
  <c r="I27" i="6"/>
  <c r="I26" i="6"/>
  <c r="J26" i="6" s="1"/>
  <c r="I25" i="6"/>
  <c r="I18" i="6"/>
  <c r="I17" i="6"/>
  <c r="I16" i="6"/>
  <c r="I9" i="6"/>
  <c r="I8" i="6"/>
  <c r="I7" i="6"/>
  <c r="I15" i="5"/>
  <c r="J15" i="5" s="1"/>
  <c r="K15" i="5" s="1"/>
  <c r="I14" i="5"/>
  <c r="J14" i="5" s="1"/>
  <c r="K14" i="5" s="1"/>
  <c r="I13" i="5"/>
  <c r="F13" i="5" s="1"/>
  <c r="I12" i="5"/>
  <c r="I11" i="5"/>
  <c r="J11" i="5" s="1"/>
  <c r="K11" i="5" s="1"/>
  <c r="I10" i="5"/>
  <c r="J10" i="5" s="1"/>
  <c r="K10" i="5" s="1"/>
  <c r="I9" i="5"/>
  <c r="J9" i="5" s="1"/>
  <c r="K9" i="5" s="1"/>
  <c r="I8" i="5"/>
  <c r="J8" i="5" s="1"/>
  <c r="K8" i="5" s="1"/>
  <c r="I7" i="5"/>
  <c r="P13" i="34" l="1"/>
  <c r="C84" i="34"/>
  <c r="O13" i="34"/>
  <c r="N13" i="34"/>
  <c r="L13" i="34"/>
  <c r="M13" i="34"/>
  <c r="C76" i="34"/>
  <c r="I128" i="10"/>
  <c r="J128" i="10" s="1"/>
  <c r="I154" i="10"/>
  <c r="J154" i="10" s="1"/>
  <c r="I101" i="10"/>
  <c r="J101" i="10" s="1"/>
  <c r="I85" i="10"/>
  <c r="J85" i="10" s="1"/>
  <c r="I69" i="10"/>
  <c r="J69" i="10" s="1"/>
  <c r="I7" i="10"/>
  <c r="J7" i="10" s="1"/>
  <c r="M13" i="32"/>
  <c r="L15" i="4"/>
  <c r="J48" i="6"/>
  <c r="J25" i="6"/>
  <c r="J47" i="6"/>
  <c r="J27" i="6"/>
  <c r="J16" i="6"/>
  <c r="J9" i="6"/>
  <c r="J17" i="6"/>
  <c r="J18" i="6"/>
  <c r="J7" i="6"/>
  <c r="J8" i="6"/>
  <c r="J7" i="5"/>
  <c r="J12" i="5"/>
  <c r="J13" i="5"/>
  <c r="J10" i="32"/>
  <c r="J9" i="32"/>
  <c r="J8" i="32"/>
  <c r="J7" i="32"/>
  <c r="I8" i="10" l="1"/>
  <c r="J8" i="10" s="1"/>
  <c r="K7" i="32"/>
  <c r="K9" i="32"/>
  <c r="K10" i="32"/>
  <c r="K8" i="32"/>
  <c r="K12" i="5"/>
  <c r="K13" i="5"/>
  <c r="K7" i="5"/>
  <c r="J8" i="33" l="1"/>
  <c r="J9" i="33"/>
  <c r="J10" i="33"/>
  <c r="J11" i="33"/>
  <c r="J12" i="33"/>
  <c r="J13" i="33"/>
  <c r="K13" i="33" s="1"/>
  <c r="J14" i="33"/>
  <c r="K14" i="33" s="1"/>
  <c r="J15" i="33"/>
  <c r="J16" i="33"/>
  <c r="J17" i="33"/>
  <c r="J7" i="33"/>
  <c r="K11" i="33" l="1"/>
  <c r="K12" i="33"/>
  <c r="K10" i="33"/>
  <c r="K17" i="33"/>
  <c r="K16" i="33"/>
  <c r="K7" i="33"/>
  <c r="K8" i="33"/>
  <c r="K9" i="33"/>
  <c r="K15" i="33"/>
  <c r="K17" i="21" l="1"/>
  <c r="K18" i="21" s="1"/>
  <c r="Q38" i="22"/>
  <c r="R38" i="22"/>
  <c r="S38" i="22"/>
  <c r="T38" i="22"/>
  <c r="U38" i="22"/>
  <c r="V38" i="22"/>
  <c r="W38" i="22"/>
  <c r="X38" i="22"/>
  <c r="Y38" i="22"/>
  <c r="Q32" i="22"/>
  <c r="R32" i="22"/>
  <c r="S32" i="22"/>
  <c r="T32" i="22"/>
  <c r="U32" i="22"/>
  <c r="V32" i="22"/>
  <c r="W32" i="22"/>
  <c r="X32" i="22"/>
  <c r="Y32" i="22"/>
  <c r="T26" i="22"/>
  <c r="U26" i="22"/>
  <c r="V26" i="22"/>
  <c r="W26" i="22"/>
  <c r="X26" i="22"/>
  <c r="Y26" i="22"/>
  <c r="Q17" i="22"/>
  <c r="R17" i="22"/>
  <c r="S17" i="22"/>
  <c r="T17" i="22"/>
  <c r="U17" i="22"/>
  <c r="V17" i="22"/>
  <c r="W17" i="22"/>
  <c r="X17" i="22"/>
  <c r="Y17" i="22"/>
  <c r="Q11" i="22"/>
  <c r="R11" i="22"/>
  <c r="S11" i="22"/>
  <c r="T11" i="22"/>
  <c r="U11" i="22"/>
  <c r="V11" i="22"/>
  <c r="W11" i="22"/>
  <c r="X11" i="22"/>
  <c r="Y11" i="22"/>
  <c r="D7" i="11"/>
  <c r="J20" i="11"/>
  <c r="J21" i="11"/>
  <c r="J22" i="11"/>
  <c r="J23" i="11"/>
  <c r="J24" i="11"/>
  <c r="J25" i="11"/>
  <c r="J26" i="11"/>
  <c r="D174" i="34"/>
  <c r="E174" i="34"/>
  <c r="F174" i="34"/>
  <c r="G174" i="34"/>
  <c r="H174" i="34"/>
  <c r="I174" i="34"/>
  <c r="J174" i="34"/>
  <c r="K174" i="34"/>
  <c r="L174" i="34"/>
  <c r="M174" i="34"/>
  <c r="N174" i="34"/>
  <c r="O174" i="34"/>
  <c r="P174" i="34"/>
  <c r="D173" i="34"/>
  <c r="E173" i="34"/>
  <c r="F173" i="34"/>
  <c r="G173" i="34"/>
  <c r="H173" i="34"/>
  <c r="I173" i="34"/>
  <c r="J173" i="34"/>
  <c r="K173" i="34"/>
  <c r="L173" i="34"/>
  <c r="M173" i="34"/>
  <c r="N173" i="34"/>
  <c r="O173" i="34"/>
  <c r="P173" i="34"/>
  <c r="C173" i="34"/>
  <c r="C174" i="34"/>
  <c r="M15" i="11" l="1"/>
  <c r="J8" i="34"/>
  <c r="I8" i="34"/>
  <c r="T40" i="22"/>
  <c r="K8" i="34"/>
  <c r="K13" i="34" s="1"/>
  <c r="H8" i="34"/>
  <c r="G30" i="22" l="1"/>
  <c r="Q5" i="34" l="1"/>
  <c r="G20" i="22"/>
  <c r="G21" i="22"/>
  <c r="G22" i="22"/>
  <c r="G23" i="22"/>
  <c r="G24" i="22"/>
  <c r="G25" i="22"/>
  <c r="G19" i="22"/>
  <c r="M19" i="22" s="1"/>
  <c r="G13" i="22"/>
  <c r="M13" i="22" s="1"/>
  <c r="G37" i="22"/>
  <c r="G36" i="22"/>
  <c r="G35" i="22"/>
  <c r="G34" i="22"/>
  <c r="M34" i="22" s="1"/>
  <c r="G31" i="22"/>
  <c r="G8" i="22"/>
  <c r="G9" i="22"/>
  <c r="G10" i="22"/>
  <c r="L38" i="22"/>
  <c r="L17" i="22"/>
  <c r="L11" i="22"/>
  <c r="G16" i="22"/>
  <c r="G15" i="22"/>
  <c r="G14" i="22"/>
  <c r="G7" i="22"/>
  <c r="C6" i="23"/>
  <c r="C8" i="23"/>
  <c r="C9" i="23"/>
  <c r="E37" i="23"/>
  <c r="G9" i="21"/>
  <c r="H7" i="11" s="1"/>
  <c r="M15" i="21" l="1"/>
  <c r="U15" i="21"/>
  <c r="W15" i="21"/>
  <c r="L15" i="21"/>
  <c r="N15" i="21"/>
  <c r="O15" i="21"/>
  <c r="P15" i="21"/>
  <c r="Q15" i="21"/>
  <c r="R15" i="21"/>
  <c r="S15" i="21"/>
  <c r="T15" i="21"/>
  <c r="V15" i="21"/>
  <c r="X15" i="21"/>
  <c r="M11" i="21"/>
  <c r="O9" i="11" s="1"/>
  <c r="U11" i="21"/>
  <c r="W9" i="11" s="1"/>
  <c r="N11" i="21"/>
  <c r="P9" i="11" s="1"/>
  <c r="V11" i="21"/>
  <c r="X9" i="11" s="1"/>
  <c r="Q11" i="21"/>
  <c r="S9" i="11" s="1"/>
  <c r="R11" i="21"/>
  <c r="T9" i="11" s="1"/>
  <c r="S11" i="21"/>
  <c r="U9" i="11" s="1"/>
  <c r="L11" i="21"/>
  <c r="N9" i="11" s="1"/>
  <c r="T11" i="21"/>
  <c r="V9" i="11" s="1"/>
  <c r="O11" i="21"/>
  <c r="Q9" i="11" s="1"/>
  <c r="W11" i="21"/>
  <c r="Y9" i="11" s="1"/>
  <c r="P11" i="21"/>
  <c r="R9" i="11" s="1"/>
  <c r="X11" i="21"/>
  <c r="Z9" i="11" s="1"/>
  <c r="M10" i="21"/>
  <c r="O8" i="11" s="1"/>
  <c r="U10" i="21"/>
  <c r="W8" i="11" s="1"/>
  <c r="V10" i="21"/>
  <c r="X8" i="11" s="1"/>
  <c r="W10" i="21"/>
  <c r="Y8" i="11" s="1"/>
  <c r="X10" i="21"/>
  <c r="Z8" i="11" s="1"/>
  <c r="L10" i="21"/>
  <c r="N8" i="11" s="1"/>
  <c r="Q10" i="21"/>
  <c r="S8" i="11" s="1"/>
  <c r="N10" i="21"/>
  <c r="P8" i="11" s="1"/>
  <c r="O10" i="21"/>
  <c r="Q8" i="11" s="1"/>
  <c r="P10" i="21"/>
  <c r="R8" i="11" s="1"/>
  <c r="R10" i="21"/>
  <c r="T8" i="11" s="1"/>
  <c r="S10" i="21"/>
  <c r="U8" i="11" s="1"/>
  <c r="T10" i="21"/>
  <c r="V8" i="11" s="1"/>
  <c r="T9" i="21"/>
  <c r="V7" i="11" s="1"/>
  <c r="O9" i="21"/>
  <c r="Q7" i="11" s="1"/>
  <c r="P9" i="21"/>
  <c r="R7" i="11" s="1"/>
  <c r="Q9" i="21"/>
  <c r="S7" i="11" s="1"/>
  <c r="M9" i="21"/>
  <c r="O7" i="11" s="1"/>
  <c r="R9" i="21"/>
  <c r="T7" i="11" s="1"/>
  <c r="W9" i="21"/>
  <c r="Y7" i="11" s="1"/>
  <c r="S9" i="21"/>
  <c r="U7" i="11" s="1"/>
  <c r="U9" i="21"/>
  <c r="W7" i="11" s="1"/>
  <c r="L9" i="21"/>
  <c r="N7" i="11" s="1"/>
  <c r="N9" i="21"/>
  <c r="V9" i="21"/>
  <c r="X7" i="11" s="1"/>
  <c r="X9" i="21"/>
  <c r="Z7" i="11" s="1"/>
  <c r="C7" i="23"/>
  <c r="N17" i="21" l="1"/>
  <c r="N18" i="21" s="1"/>
  <c r="P7" i="11"/>
  <c r="M17" i="21"/>
  <c r="M18" i="21" s="1"/>
  <c r="T17" i="21"/>
  <c r="T18" i="21" s="1"/>
  <c r="U17" i="21"/>
  <c r="U18" i="21" s="1"/>
  <c r="P17" i="21"/>
  <c r="P18" i="21" s="1"/>
  <c r="W17" i="21"/>
  <c r="W18" i="21" s="1"/>
  <c r="O17" i="21"/>
  <c r="O18" i="21" s="1"/>
  <c r="R17" i="21"/>
  <c r="R18" i="21" s="1"/>
  <c r="S17" i="21"/>
  <c r="S18" i="21" s="1"/>
  <c r="V17" i="21"/>
  <c r="V18" i="21" s="1"/>
  <c r="X17" i="21"/>
  <c r="X18" i="21" s="1"/>
  <c r="Q17" i="21"/>
  <c r="Q18" i="21" s="1"/>
  <c r="D8" i="23"/>
  <c r="H9" i="21" l="1"/>
  <c r="I7" i="11" s="1"/>
  <c r="D7" i="23" l="1"/>
  <c r="K7" i="23"/>
  <c r="I9" i="21"/>
  <c r="J7" i="11" s="1"/>
  <c r="K7" i="11" s="1"/>
  <c r="P7" i="23" l="1"/>
  <c r="J7" i="23"/>
  <c r="L7" i="23"/>
  <c r="M7" i="23"/>
  <c r="G7" i="23"/>
  <c r="N7" i="23"/>
  <c r="F7" i="23"/>
  <c r="I7" i="23"/>
  <c r="E7" i="23"/>
  <c r="O7" i="23"/>
  <c r="H7" i="23"/>
  <c r="H7" i="4" l="1"/>
  <c r="I7" i="4" s="1"/>
  <c r="H8" i="4"/>
  <c r="H9" i="4"/>
  <c r="H10" i="4"/>
  <c r="H11" i="4"/>
  <c r="H12" i="4"/>
  <c r="H13" i="4"/>
  <c r="H14" i="4"/>
  <c r="H15" i="4"/>
  <c r="H16" i="4"/>
  <c r="H17" i="4"/>
  <c r="R7" i="4" l="1"/>
  <c r="D6" i="23"/>
  <c r="E6" i="23"/>
  <c r="P6" i="23"/>
  <c r="N6" i="23"/>
  <c r="O6" i="23"/>
  <c r="K6" i="23"/>
  <c r="J6" i="23"/>
  <c r="I6" i="23"/>
  <c r="M6" i="23"/>
  <c r="F6" i="23"/>
  <c r="G6" i="23"/>
  <c r="L6" i="23"/>
  <c r="H6" i="23"/>
  <c r="L16" i="10"/>
  <c r="L21" i="10" s="1"/>
  <c r="R39" i="18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S7" i="4" l="1"/>
  <c r="R6" i="23"/>
  <c r="A7" i="23" l="1"/>
  <c r="A8" i="23"/>
  <c r="A9" i="23"/>
  <c r="A6" i="23"/>
  <c r="I15" i="4"/>
  <c r="R15" i="4" l="1"/>
  <c r="S15" i="4" s="1"/>
  <c r="I8" i="4"/>
  <c r="I9" i="4"/>
  <c r="I10" i="4"/>
  <c r="I11" i="4"/>
  <c r="I12" i="4"/>
  <c r="I13" i="4"/>
  <c r="I14" i="4"/>
  <c r="B203" i="34"/>
  <c r="B204" i="34"/>
  <c r="B205" i="34"/>
  <c r="B206" i="34"/>
  <c r="B207" i="34"/>
  <c r="B202" i="34"/>
  <c r="A164" i="34"/>
  <c r="A163" i="34"/>
  <c r="I16" i="4"/>
  <c r="I17" i="4"/>
  <c r="R14" i="4" l="1"/>
  <c r="S14" i="4" s="1"/>
  <c r="R13" i="4"/>
  <c r="S13" i="4" s="1"/>
  <c r="R17" i="4"/>
  <c r="S17" i="4" s="1"/>
  <c r="R11" i="4"/>
  <c r="S11" i="4" s="1"/>
  <c r="R9" i="4"/>
  <c r="S9" i="4" s="1"/>
  <c r="R12" i="4"/>
  <c r="S12" i="4" s="1"/>
  <c r="R8" i="4"/>
  <c r="S8" i="4" s="1"/>
  <c r="R16" i="4"/>
  <c r="S16" i="4" s="1"/>
  <c r="R10" i="4"/>
  <c r="S10" i="4" s="1"/>
  <c r="T15" i="4"/>
  <c r="I20" i="8"/>
  <c r="I19" i="8"/>
  <c r="T17" i="4" l="1"/>
  <c r="T9" i="4"/>
  <c r="T14" i="4"/>
  <c r="T7" i="4"/>
  <c r="T13" i="4" l="1"/>
  <c r="T11" i="4"/>
  <c r="T16" i="4"/>
  <c r="T12" i="4"/>
  <c r="T10" i="4"/>
  <c r="T8" i="4"/>
  <c r="C165" i="34"/>
  <c r="I9" i="23" l="1"/>
  <c r="D9" i="23"/>
  <c r="N9" i="23"/>
  <c r="O9" i="23"/>
  <c r="P9" i="23"/>
  <c r="J9" i="23"/>
  <c r="E9" i="23"/>
  <c r="F9" i="23"/>
  <c r="K9" i="23"/>
  <c r="H9" i="23"/>
  <c r="L9" i="23"/>
  <c r="M9" i="23"/>
  <c r="G9" i="23"/>
  <c r="N8" i="23"/>
  <c r="C49" i="27"/>
  <c r="Q47" i="27"/>
  <c r="L17" i="21" l="1"/>
  <c r="L18" i="21" s="1"/>
  <c r="Q15" i="11"/>
  <c r="Z15" i="11"/>
  <c r="V15" i="11"/>
  <c r="Y15" i="11"/>
  <c r="U15" i="11"/>
  <c r="N11" i="23"/>
  <c r="N13" i="23" s="1"/>
  <c r="P15" i="11"/>
  <c r="X15" i="11"/>
  <c r="T15" i="11"/>
  <c r="R15" i="11"/>
  <c r="S15" i="11"/>
  <c r="W15" i="11"/>
  <c r="E8" i="23"/>
  <c r="E11" i="23" s="1"/>
  <c r="E13" i="23" s="1"/>
  <c r="P8" i="23"/>
  <c r="P11" i="23" s="1"/>
  <c r="P13" i="23" s="1"/>
  <c r="I8" i="23"/>
  <c r="I11" i="23" s="1"/>
  <c r="I13" i="23" s="1"/>
  <c r="L8" i="23"/>
  <c r="L11" i="23" s="1"/>
  <c r="L13" i="23" s="1"/>
  <c r="M8" i="23"/>
  <c r="M11" i="23" s="1"/>
  <c r="M13" i="23" s="1"/>
  <c r="J8" i="23"/>
  <c r="J11" i="23" s="1"/>
  <c r="J13" i="23" s="1"/>
  <c r="F8" i="23"/>
  <c r="F11" i="23" s="1"/>
  <c r="F13" i="23" s="1"/>
  <c r="O8" i="23"/>
  <c r="O11" i="23" s="1"/>
  <c r="O13" i="23" s="1"/>
  <c r="H8" i="23"/>
  <c r="H11" i="23" s="1"/>
  <c r="H13" i="23" s="1"/>
  <c r="G8" i="23"/>
  <c r="G11" i="23" s="1"/>
  <c r="G13" i="23" s="1"/>
  <c r="K8" i="23"/>
  <c r="K11" i="23" s="1"/>
  <c r="K13" i="23" s="1"/>
  <c r="O15" i="11" l="1"/>
  <c r="N15" i="11"/>
  <c r="K20" i="21"/>
  <c r="K19" i="21"/>
  <c r="E5" i="34" l="1"/>
  <c r="E175" i="34" s="1"/>
  <c r="M17" i="11"/>
  <c r="S5" i="34" s="1"/>
  <c r="D5" i="34"/>
  <c r="D175" i="34" s="1"/>
  <c r="Q42" i="27" l="1"/>
  <c r="Q45" i="27" l="1"/>
  <c r="Q40" i="27"/>
  <c r="L38" i="10"/>
  <c r="Q46" i="27" l="1"/>
  <c r="Q49" i="27"/>
  <c r="Q43" i="27"/>
  <c r="Q41" i="27" l="1"/>
  <c r="C37" i="27"/>
  <c r="C30" i="34"/>
  <c r="C36" i="27" s="1"/>
  <c r="Q37" i="27" l="1"/>
  <c r="K22" i="11" l="1"/>
  <c r="J47" i="22" s="1"/>
  <c r="K21" i="11"/>
  <c r="S16" i="11" l="1"/>
  <c r="Z16" i="11"/>
  <c r="R16" i="11"/>
  <c r="V16" i="11"/>
  <c r="W16" i="11"/>
  <c r="Q16" i="11"/>
  <c r="Y16" i="11"/>
  <c r="X16" i="11"/>
  <c r="T16" i="11"/>
  <c r="P16" i="11"/>
  <c r="U16" i="11"/>
  <c r="N16" i="11"/>
  <c r="O16" i="11"/>
  <c r="M16" i="11"/>
  <c r="Q39" i="27"/>
  <c r="Q38" i="27"/>
  <c r="J46" i="22"/>
  <c r="X41" i="22" l="1"/>
  <c r="U41" i="22"/>
  <c r="V41" i="22"/>
  <c r="W41" i="22"/>
  <c r="Y41" i="22"/>
  <c r="T41" i="22"/>
  <c r="M18" i="11"/>
  <c r="H30" i="22"/>
  <c r="H8" i="22"/>
  <c r="H20" i="22"/>
  <c r="H10" i="22"/>
  <c r="H31" i="22"/>
  <c r="H23" i="22"/>
  <c r="H9" i="22"/>
  <c r="H21" i="22"/>
  <c r="H22" i="22"/>
  <c r="H13" i="22"/>
  <c r="I13" i="22" s="1"/>
  <c r="M17" i="22" s="1"/>
  <c r="D9" i="34" s="1"/>
  <c r="H34" i="22"/>
  <c r="I34" i="22" s="1"/>
  <c r="H14" i="22"/>
  <c r="H24" i="22"/>
  <c r="H35" i="22"/>
  <c r="H16" i="22"/>
  <c r="H37" i="22"/>
  <c r="H19" i="22"/>
  <c r="I19" i="22" s="1"/>
  <c r="M26" i="22" s="1"/>
  <c r="D10" i="34" s="1"/>
  <c r="H15" i="22"/>
  <c r="H36" i="22"/>
  <c r="H25" i="22"/>
  <c r="H7" i="22"/>
  <c r="I7" i="22" s="1"/>
  <c r="M11" i="22" s="1"/>
  <c r="D8" i="34" s="1"/>
  <c r="I36" i="22" l="1"/>
  <c r="O36" i="22"/>
  <c r="O38" i="22" s="1"/>
  <c r="F12" i="34" s="1"/>
  <c r="I35" i="22"/>
  <c r="J35" i="22" s="1"/>
  <c r="N35" i="22"/>
  <c r="N38" i="22" s="1"/>
  <c r="E12" i="34" s="1"/>
  <c r="I37" i="22"/>
  <c r="J37" i="22" s="1"/>
  <c r="P37" i="22"/>
  <c r="P38" i="22" s="1"/>
  <c r="G12" i="34" s="1"/>
  <c r="I31" i="22"/>
  <c r="P31" i="22"/>
  <c r="I30" i="22"/>
  <c r="J30" i="22" s="1"/>
  <c r="O30" i="22"/>
  <c r="I24" i="22"/>
  <c r="J24" i="22" s="1"/>
  <c r="R24" i="22"/>
  <c r="R26" i="22" s="1"/>
  <c r="I23" i="22"/>
  <c r="J23" i="22" s="1"/>
  <c r="Q23" i="22"/>
  <c r="Q26" i="22" s="1"/>
  <c r="I25" i="22"/>
  <c r="J25" i="22" s="1"/>
  <c r="S25" i="22"/>
  <c r="S26" i="22" s="1"/>
  <c r="I20" i="22"/>
  <c r="N20" i="22"/>
  <c r="N26" i="22" s="1"/>
  <c r="E10" i="34" s="1"/>
  <c r="I22" i="22"/>
  <c r="J22" i="22" s="1"/>
  <c r="P22" i="22"/>
  <c r="P26" i="22" s="1"/>
  <c r="G10" i="34" s="1"/>
  <c r="I21" i="22"/>
  <c r="J21" i="22" s="1"/>
  <c r="O21" i="22"/>
  <c r="O26" i="22" s="1"/>
  <c r="F10" i="34" s="1"/>
  <c r="I16" i="22"/>
  <c r="P16" i="22"/>
  <c r="I14" i="22"/>
  <c r="N14" i="22"/>
  <c r="I15" i="22"/>
  <c r="O15" i="22"/>
  <c r="I10" i="22"/>
  <c r="J10" i="22" s="1"/>
  <c r="P10" i="22"/>
  <c r="P11" i="22" s="1"/>
  <c r="I9" i="22"/>
  <c r="J9" i="22" s="1"/>
  <c r="O9" i="22"/>
  <c r="O11" i="22" s="1"/>
  <c r="I8" i="22"/>
  <c r="J8" i="22" s="1"/>
  <c r="N8" i="22"/>
  <c r="N11" i="22" s="1"/>
  <c r="J36" i="22"/>
  <c r="J34" i="22"/>
  <c r="M38" i="22"/>
  <c r="J7" i="22"/>
  <c r="L26" i="22"/>
  <c r="J19" i="22"/>
  <c r="G28" i="22"/>
  <c r="M28" i="22" s="1"/>
  <c r="H28" i="22"/>
  <c r="I28" i="22" s="1"/>
  <c r="J20" i="22"/>
  <c r="H29" i="22"/>
  <c r="G29" i="22"/>
  <c r="F5" i="34"/>
  <c r="F175" i="34" s="1"/>
  <c r="G5" i="34"/>
  <c r="G175" i="34" s="1"/>
  <c r="R9" i="23"/>
  <c r="V9" i="23" s="1"/>
  <c r="Q35" i="27"/>
  <c r="D11" i="23"/>
  <c r="C5" i="34"/>
  <c r="C175" i="34" s="1"/>
  <c r="L130" i="10"/>
  <c r="M32" i="22" l="1"/>
  <c r="D11" i="34" s="1"/>
  <c r="P32" i="22"/>
  <c r="G11" i="34" s="1"/>
  <c r="J31" i="22"/>
  <c r="M40" i="22"/>
  <c r="D12" i="34"/>
  <c r="D13" i="34" s="1"/>
  <c r="O32" i="22"/>
  <c r="F11" i="34" s="1"/>
  <c r="I29" i="22"/>
  <c r="J29" i="22" s="1"/>
  <c r="N29" i="22"/>
  <c r="I10" i="34"/>
  <c r="I13" i="34" s="1"/>
  <c r="R40" i="22"/>
  <c r="J10" i="34"/>
  <c r="J13" i="34" s="1"/>
  <c r="S40" i="22"/>
  <c r="H10" i="34"/>
  <c r="H13" i="34" s="1"/>
  <c r="Q40" i="22"/>
  <c r="N17" i="22"/>
  <c r="E9" i="34" s="1"/>
  <c r="O17" i="22"/>
  <c r="F9" i="34" s="1"/>
  <c r="J14" i="22"/>
  <c r="P17" i="22"/>
  <c r="G9" i="34" s="1"/>
  <c r="G8" i="34"/>
  <c r="F8" i="34"/>
  <c r="E8" i="34"/>
  <c r="J28" i="22"/>
  <c r="R8" i="23"/>
  <c r="V8" i="23" s="1"/>
  <c r="X8" i="23" s="1"/>
  <c r="T9" i="23"/>
  <c r="R7" i="23"/>
  <c r="D13" i="23"/>
  <c r="X9" i="23"/>
  <c r="C11" i="23"/>
  <c r="C37" i="34"/>
  <c r="P40" i="22" l="1"/>
  <c r="M41" i="22"/>
  <c r="E8" i="18"/>
  <c r="F13" i="34"/>
  <c r="Q41" i="22"/>
  <c r="I8" i="18"/>
  <c r="S41" i="22"/>
  <c r="K8" i="18"/>
  <c r="O40" i="22"/>
  <c r="P41" i="22"/>
  <c r="H8" i="18"/>
  <c r="R41" i="22"/>
  <c r="J8" i="18"/>
  <c r="N32" i="22"/>
  <c r="G13" i="34"/>
  <c r="R3" i="23"/>
  <c r="L32" i="22"/>
  <c r="R11" i="23"/>
  <c r="V7" i="23"/>
  <c r="X7" i="23" s="1"/>
  <c r="T8" i="23"/>
  <c r="T7" i="23"/>
  <c r="Q36" i="27"/>
  <c r="C38" i="27"/>
  <c r="O41" i="22" l="1"/>
  <c r="G8" i="18"/>
  <c r="E11" i="34"/>
  <c r="E13" i="34" s="1"/>
  <c r="N40" i="22"/>
  <c r="F8" i="18" s="1"/>
  <c r="T3" i="23"/>
  <c r="V3" i="23"/>
  <c r="X3" i="23" s="1"/>
  <c r="C152" i="34"/>
  <c r="C41" i="27"/>
  <c r="N41" i="22" l="1"/>
  <c r="L43" i="22" s="1"/>
  <c r="L42" i="22"/>
  <c r="C46" i="27"/>
  <c r="C45" i="27"/>
  <c r="S13" i="34" l="1"/>
  <c r="V8" i="18"/>
  <c r="C40" i="27"/>
  <c r="I46" i="22" l="1"/>
  <c r="S25" i="4" s="1"/>
  <c r="I47" i="22"/>
  <c r="S26" i="4" s="1"/>
  <c r="T26" i="4"/>
  <c r="I48" i="22"/>
  <c r="S27" i="4" s="1"/>
  <c r="K23" i="11"/>
  <c r="I49" i="22"/>
  <c r="S28" i="4" s="1"/>
  <c r="K24" i="11"/>
  <c r="I50" i="22"/>
  <c r="S29" i="4" s="1"/>
  <c r="K25" i="11"/>
  <c r="I51" i="22"/>
  <c r="S30" i="4" s="1"/>
  <c r="K26" i="11"/>
  <c r="I45" i="22"/>
  <c r="S24" i="4" s="1"/>
  <c r="K26" i="33" l="1"/>
  <c r="K19" i="32"/>
  <c r="J26" i="33"/>
  <c r="J19" i="32"/>
  <c r="J26" i="5" s="1" a="1"/>
  <c r="J25" i="33"/>
  <c r="J18" i="32"/>
  <c r="J30" i="33"/>
  <c r="J23" i="32"/>
  <c r="J29" i="33"/>
  <c r="J22" i="32"/>
  <c r="J28" i="33"/>
  <c r="J21" i="32"/>
  <c r="J24" i="33"/>
  <c r="J17" i="32"/>
  <c r="J27" i="33"/>
  <c r="J20" i="32"/>
  <c r="Q33" i="27"/>
  <c r="J51" i="22"/>
  <c r="T30" i="4" s="1"/>
  <c r="J50" i="22"/>
  <c r="T29" i="4" s="1"/>
  <c r="J48" i="22"/>
  <c r="T27" i="4" s="1"/>
  <c r="J49" i="22"/>
  <c r="T28" i="4" s="1"/>
  <c r="J16" i="22"/>
  <c r="J15" i="22"/>
  <c r="J13" i="22"/>
  <c r="J26" i="5" l="1"/>
  <c r="I34" i="8"/>
  <c r="J50" i="20" s="1"/>
  <c r="J200" i="10" s="1"/>
  <c r="K29" i="33"/>
  <c r="K22" i="32"/>
  <c r="J29" i="5" a="1"/>
  <c r="K30" i="33"/>
  <c r="K23" i="32"/>
  <c r="J30" i="5" s="1" a="1"/>
  <c r="K27" i="33"/>
  <c r="K20" i="32"/>
  <c r="J27" i="5" s="1" a="1"/>
  <c r="K28" i="33"/>
  <c r="K21" i="32"/>
  <c r="J28" i="5" s="1" a="1"/>
  <c r="T25" i="4"/>
  <c r="J30" i="5" l="1"/>
  <c r="I38" i="8"/>
  <c r="J54" i="20" s="1"/>
  <c r="J204" i="10" s="1"/>
  <c r="J29" i="5"/>
  <c r="I37" i="8"/>
  <c r="J53" i="20" s="1"/>
  <c r="J203" i="10" s="1"/>
  <c r="P13" i="4"/>
  <c r="Q13" i="4" s="1"/>
  <c r="V20" i="4"/>
  <c r="P10" i="4"/>
  <c r="Q10" i="4" s="1"/>
  <c r="P7" i="4"/>
  <c r="Q7" i="4" s="1"/>
  <c r="P17" i="4"/>
  <c r="Q17" i="4" s="1"/>
  <c r="P8" i="4"/>
  <c r="Q8" i="4" s="1"/>
  <c r="P9" i="4"/>
  <c r="Q9" i="4" s="1"/>
  <c r="P11" i="4"/>
  <c r="Q11" i="4" s="1"/>
  <c r="P14" i="4"/>
  <c r="Q14" i="4" s="1"/>
  <c r="P12" i="4"/>
  <c r="Q12" i="4" s="1"/>
  <c r="P15" i="4"/>
  <c r="Q15" i="4" s="1"/>
  <c r="P16" i="4"/>
  <c r="Q16" i="4" s="1"/>
  <c r="J28" i="5"/>
  <c r="I36" i="8"/>
  <c r="J52" i="20" s="1"/>
  <c r="J202" i="10" s="1"/>
  <c r="J27" i="5"/>
  <c r="I35" i="8"/>
  <c r="J51" i="20" s="1"/>
  <c r="J201" i="10" s="1"/>
  <c r="I58" i="6" a="1"/>
  <c r="H34" i="8"/>
  <c r="I50" i="20" s="1"/>
  <c r="I200" i="10" s="1"/>
  <c r="K25" i="33"/>
  <c r="M20" i="33" s="1"/>
  <c r="K18" i="32"/>
  <c r="AH7" i="4" l="1"/>
  <c r="AE7" i="4"/>
  <c r="Y7" i="4"/>
  <c r="X7" i="4"/>
  <c r="W7" i="4"/>
  <c r="Z7" i="4"/>
  <c r="AI7" i="4"/>
  <c r="AC7" i="4"/>
  <c r="AD7" i="4"/>
  <c r="AB7" i="4"/>
  <c r="AF7" i="4"/>
  <c r="AA7" i="4"/>
  <c r="AG7" i="4"/>
  <c r="AD12" i="4"/>
  <c r="Z12" i="4"/>
  <c r="W12" i="4"/>
  <c r="X12" i="4"/>
  <c r="AF12" i="4"/>
  <c r="AG12" i="4"/>
  <c r="AC12" i="4"/>
  <c r="AB12" i="4"/>
  <c r="Y12" i="4"/>
  <c r="AI12" i="4"/>
  <c r="AE12" i="4"/>
  <c r="AA12" i="4"/>
  <c r="AH12" i="4"/>
  <c r="AI16" i="4"/>
  <c r="AE16" i="4"/>
  <c r="W16" i="4"/>
  <c r="AC16" i="4"/>
  <c r="AB16" i="4"/>
  <c r="AA16" i="4"/>
  <c r="AG16" i="4"/>
  <c r="X16" i="4"/>
  <c r="Y16" i="4"/>
  <c r="AH16" i="4"/>
  <c r="AD16" i="4"/>
  <c r="AF16" i="4"/>
  <c r="Z16" i="4"/>
  <c r="AE15" i="4"/>
  <c r="Y15" i="4"/>
  <c r="AD15" i="4"/>
  <c r="AF15" i="4"/>
  <c r="AG15" i="4"/>
  <c r="X15" i="4"/>
  <c r="W15" i="4"/>
  <c r="Z15" i="4"/>
  <c r="AI15" i="4"/>
  <c r="AB15" i="4"/>
  <c r="AC15" i="4"/>
  <c r="AA15" i="4"/>
  <c r="AH15" i="4"/>
  <c r="AI13" i="4"/>
  <c r="AG13" i="4"/>
  <c r="AD13" i="4"/>
  <c r="AC13" i="4"/>
  <c r="AE13" i="4"/>
  <c r="AF13" i="4"/>
  <c r="Y13" i="4"/>
  <c r="Z13" i="4"/>
  <c r="AB13" i="4"/>
  <c r="W13" i="4"/>
  <c r="X13" i="4"/>
  <c r="AH13" i="4"/>
  <c r="AA13" i="4"/>
  <c r="AF11" i="4"/>
  <c r="Z11" i="4"/>
  <c r="AC11" i="4"/>
  <c r="AE11" i="4"/>
  <c r="Y11" i="4"/>
  <c r="AD11" i="4"/>
  <c r="X11" i="4"/>
  <c r="AG11" i="4"/>
  <c r="AI11" i="4"/>
  <c r="AB11" i="4"/>
  <c r="W11" i="4"/>
  <c r="AA11" i="4"/>
  <c r="AH11" i="4"/>
  <c r="AF10" i="4"/>
  <c r="X10" i="4"/>
  <c r="AC10" i="4"/>
  <c r="AI10" i="4"/>
  <c r="AH10" i="4"/>
  <c r="AB10" i="4"/>
  <c r="Z10" i="4"/>
  <c r="W10" i="4"/>
  <c r="AD10" i="4"/>
  <c r="AG10" i="4"/>
  <c r="AA10" i="4"/>
  <c r="AE10" i="4"/>
  <c r="Y10" i="4"/>
  <c r="AB14" i="4"/>
  <c r="AG14" i="4"/>
  <c r="Y14" i="4"/>
  <c r="X14" i="4"/>
  <c r="Z14" i="4"/>
  <c r="AC14" i="4"/>
  <c r="W14" i="4"/>
  <c r="AD14" i="4"/>
  <c r="AE14" i="4"/>
  <c r="AI14" i="4"/>
  <c r="AA14" i="4"/>
  <c r="AF14" i="4"/>
  <c r="AH14" i="4"/>
  <c r="AC9" i="4"/>
  <c r="W9" i="4"/>
  <c r="AH9" i="4"/>
  <c r="AB9" i="4"/>
  <c r="X9" i="4"/>
  <c r="AD9" i="4"/>
  <c r="AE9" i="4"/>
  <c r="AF9" i="4"/>
  <c r="AI9" i="4"/>
  <c r="AA9" i="4"/>
  <c r="AG9" i="4"/>
  <c r="Y9" i="4"/>
  <c r="Z9" i="4"/>
  <c r="AI8" i="4"/>
  <c r="AE8" i="4"/>
  <c r="AA8" i="4"/>
  <c r="AG8" i="4"/>
  <c r="AB8" i="4"/>
  <c r="X8" i="4"/>
  <c r="Y8" i="4"/>
  <c r="AD8" i="4"/>
  <c r="AF8" i="4"/>
  <c r="W8" i="4"/>
  <c r="Z8" i="4"/>
  <c r="AC8" i="4"/>
  <c r="AH8" i="4"/>
  <c r="I59" i="6" a="1"/>
  <c r="H35" i="8"/>
  <c r="I51" i="20" s="1"/>
  <c r="I201" i="10" s="1"/>
  <c r="I61" i="6" a="1"/>
  <c r="H37" i="8"/>
  <c r="I53" i="20" s="1"/>
  <c r="I203" i="10" s="1"/>
  <c r="I58" i="6"/>
  <c r="O37" i="7" s="1"/>
  <c r="P37" i="7"/>
  <c r="AC17" i="4"/>
  <c r="AA17" i="4"/>
  <c r="W17" i="4"/>
  <c r="AB17" i="4"/>
  <c r="X17" i="4"/>
  <c r="AE17" i="4"/>
  <c r="Z17" i="4"/>
  <c r="AF17" i="4"/>
  <c r="AG17" i="4"/>
  <c r="AI17" i="4"/>
  <c r="AD17" i="4"/>
  <c r="Y17" i="4"/>
  <c r="AH17" i="4"/>
  <c r="I60" i="6" a="1"/>
  <c r="H36" i="8"/>
  <c r="I52" i="20" s="1"/>
  <c r="I202" i="10" s="1"/>
  <c r="I62" i="6" a="1"/>
  <c r="H38" i="8"/>
  <c r="I54" i="20" s="1"/>
  <c r="I204" i="10" s="1"/>
  <c r="G7" i="32"/>
  <c r="H7" i="32" s="1"/>
  <c r="G9" i="32"/>
  <c r="H9" i="32" s="1"/>
  <c r="G8" i="32"/>
  <c r="H8" i="32" s="1"/>
  <c r="J25" i="5" a="1"/>
  <c r="I33" i="8" s="1"/>
  <c r="G13" i="33"/>
  <c r="H13" i="33" s="1"/>
  <c r="G15" i="33"/>
  <c r="H15" i="33" s="1"/>
  <c r="G7" i="33"/>
  <c r="H7" i="33" s="1"/>
  <c r="G10" i="33"/>
  <c r="H10" i="33" s="1"/>
  <c r="G8" i="33"/>
  <c r="H8" i="33" s="1"/>
  <c r="G12" i="33"/>
  <c r="H12" i="33" s="1"/>
  <c r="G16" i="33"/>
  <c r="H16" i="33" s="1"/>
  <c r="G11" i="33"/>
  <c r="H11" i="33" s="1"/>
  <c r="G17" i="33"/>
  <c r="H17" i="33" s="1"/>
  <c r="G9" i="33"/>
  <c r="H9" i="33" s="1"/>
  <c r="G14" i="33"/>
  <c r="H14" i="33" s="1"/>
  <c r="AG19" i="4" l="1"/>
  <c r="AG20" i="4" s="1"/>
  <c r="W19" i="4"/>
  <c r="AE19" i="4"/>
  <c r="AC19" i="4"/>
  <c r="R13" i="33"/>
  <c r="Z13" i="33"/>
  <c r="Q13" i="33"/>
  <c r="W13" i="33"/>
  <c r="O13" i="33"/>
  <c r="Y13" i="33"/>
  <c r="T13" i="33"/>
  <c r="X13" i="33"/>
  <c r="P13" i="33"/>
  <c r="N13" i="33"/>
  <c r="S13" i="33"/>
  <c r="U13" i="33"/>
  <c r="V13" i="33"/>
  <c r="I60" i="6"/>
  <c r="O39" i="7" s="1"/>
  <c r="P39" i="7"/>
  <c r="AD19" i="4"/>
  <c r="AI19" i="4"/>
  <c r="I61" i="6"/>
  <c r="O40" i="7" s="1"/>
  <c r="P40" i="7"/>
  <c r="Z19" i="4"/>
  <c r="V16" i="33"/>
  <c r="O16" i="33"/>
  <c r="X16" i="33"/>
  <c r="N16" i="33"/>
  <c r="T16" i="33"/>
  <c r="P16" i="33"/>
  <c r="Q16" i="33"/>
  <c r="R16" i="33"/>
  <c r="S16" i="33"/>
  <c r="U16" i="33"/>
  <c r="W16" i="33"/>
  <c r="Y16" i="33"/>
  <c r="Z16" i="33"/>
  <c r="W20" i="4"/>
  <c r="D79" i="34"/>
  <c r="V12" i="33"/>
  <c r="U12" i="33"/>
  <c r="O12" i="33"/>
  <c r="Y12" i="33"/>
  <c r="Q12" i="33"/>
  <c r="T12" i="33"/>
  <c r="S12" i="33"/>
  <c r="W12" i="33"/>
  <c r="X12" i="33"/>
  <c r="Z12" i="33"/>
  <c r="P12" i="33"/>
  <c r="R12" i="33"/>
  <c r="N12" i="33"/>
  <c r="R10" i="32"/>
  <c r="Z10" i="32"/>
  <c r="Q10" i="32"/>
  <c r="Y10" i="32"/>
  <c r="W10" i="32"/>
  <c r="O10" i="32"/>
  <c r="N10" i="32"/>
  <c r="T10" i="32"/>
  <c r="S10" i="32"/>
  <c r="U10" i="32"/>
  <c r="V10" i="32"/>
  <c r="X10" i="32"/>
  <c r="P10" i="32"/>
  <c r="I59" i="6"/>
  <c r="O38" i="7" s="1"/>
  <c r="P38" i="7"/>
  <c r="AH19" i="4"/>
  <c r="X19" i="4"/>
  <c r="V8" i="33"/>
  <c r="U8" i="33"/>
  <c r="S8" i="33"/>
  <c r="N8" i="33"/>
  <c r="W8" i="33"/>
  <c r="P8" i="33"/>
  <c r="Z8" i="33"/>
  <c r="Q8" i="33"/>
  <c r="R8" i="33"/>
  <c r="T8" i="33"/>
  <c r="X8" i="33"/>
  <c r="Y8" i="33"/>
  <c r="O8" i="33"/>
  <c r="AF19" i="4"/>
  <c r="Y19" i="4"/>
  <c r="R9" i="33"/>
  <c r="Z9" i="33"/>
  <c r="Q9" i="33"/>
  <c r="Y9" i="33"/>
  <c r="S9" i="33"/>
  <c r="U9" i="33"/>
  <c r="X9" i="33"/>
  <c r="V9" i="33"/>
  <c r="W9" i="33"/>
  <c r="O9" i="33"/>
  <c r="P9" i="33"/>
  <c r="T9" i="33"/>
  <c r="N9" i="33"/>
  <c r="R15" i="33"/>
  <c r="Z15" i="33"/>
  <c r="Q15" i="33"/>
  <c r="W15" i="33"/>
  <c r="O15" i="33"/>
  <c r="P15" i="33"/>
  <c r="N15" i="33"/>
  <c r="S15" i="33"/>
  <c r="T15" i="33"/>
  <c r="U15" i="33"/>
  <c r="V15" i="33"/>
  <c r="X15" i="33"/>
  <c r="Y15" i="33"/>
  <c r="R11" i="33"/>
  <c r="Z11" i="33"/>
  <c r="Q11" i="33"/>
  <c r="Y11" i="33"/>
  <c r="O11" i="33"/>
  <c r="S11" i="33"/>
  <c r="V11" i="33"/>
  <c r="N11" i="33"/>
  <c r="P11" i="33"/>
  <c r="T11" i="33"/>
  <c r="U11" i="33"/>
  <c r="W11" i="33"/>
  <c r="X11" i="33"/>
  <c r="AA19" i="4"/>
  <c r="V10" i="33"/>
  <c r="U10" i="33"/>
  <c r="Q10" i="33"/>
  <c r="S10" i="33"/>
  <c r="X10" i="33"/>
  <c r="Z10" i="33"/>
  <c r="O10" i="33"/>
  <c r="P10" i="33"/>
  <c r="R10" i="33"/>
  <c r="N10" i="33"/>
  <c r="T10" i="33"/>
  <c r="W10" i="33"/>
  <c r="Y10" i="33"/>
  <c r="T17" i="33"/>
  <c r="Q17" i="33"/>
  <c r="Y17" i="33"/>
  <c r="O17" i="33"/>
  <c r="Z17" i="33"/>
  <c r="P17" i="33"/>
  <c r="N17" i="33"/>
  <c r="R17" i="33"/>
  <c r="S17" i="33"/>
  <c r="U17" i="33"/>
  <c r="W17" i="33"/>
  <c r="X17" i="33"/>
  <c r="V17" i="33"/>
  <c r="E19" i="8"/>
  <c r="F19" i="8" s="1"/>
  <c r="E10" i="8"/>
  <c r="F10" i="8" s="1"/>
  <c r="E11" i="8"/>
  <c r="F11" i="8" s="1"/>
  <c r="E7" i="8"/>
  <c r="F7" i="8" s="1"/>
  <c r="J49" i="20"/>
  <c r="E9" i="8"/>
  <c r="F9" i="8" s="1"/>
  <c r="E20" i="8"/>
  <c r="F20" i="8" s="1"/>
  <c r="K28" i="8"/>
  <c r="K14" i="8"/>
  <c r="E8" i="8"/>
  <c r="F8" i="8" s="1"/>
  <c r="K23" i="8"/>
  <c r="V9" i="32"/>
  <c r="U9" i="32"/>
  <c r="O9" i="32"/>
  <c r="Y9" i="32"/>
  <c r="Q9" i="32"/>
  <c r="T9" i="32"/>
  <c r="P9" i="32"/>
  <c r="R9" i="32"/>
  <c r="W9" i="32"/>
  <c r="N9" i="32"/>
  <c r="S9" i="32"/>
  <c r="Z9" i="32"/>
  <c r="X9" i="32"/>
  <c r="R7" i="32"/>
  <c r="Z7" i="32"/>
  <c r="S7" i="32"/>
  <c r="Q7" i="32"/>
  <c r="Y7" i="32"/>
  <c r="V7" i="32"/>
  <c r="X7" i="32"/>
  <c r="N7" i="32"/>
  <c r="P7" i="32"/>
  <c r="O7" i="32"/>
  <c r="T7" i="32"/>
  <c r="U7" i="32"/>
  <c r="W7" i="32"/>
  <c r="AB19" i="4"/>
  <c r="V14" i="33"/>
  <c r="T14" i="33"/>
  <c r="W14" i="33"/>
  <c r="Q14" i="33"/>
  <c r="Z14" i="33"/>
  <c r="O14" i="33"/>
  <c r="P14" i="33"/>
  <c r="R14" i="33"/>
  <c r="N14" i="33"/>
  <c r="Y14" i="33"/>
  <c r="S14" i="33"/>
  <c r="U14" i="33"/>
  <c r="X14" i="33"/>
  <c r="R7" i="33"/>
  <c r="Z7" i="33"/>
  <c r="Q7" i="33"/>
  <c r="Y7" i="33"/>
  <c r="U7" i="33"/>
  <c r="W7" i="33"/>
  <c r="P7" i="33"/>
  <c r="N7" i="33"/>
  <c r="S7" i="33"/>
  <c r="O7" i="33"/>
  <c r="T7" i="33"/>
  <c r="V7" i="33"/>
  <c r="X7" i="33"/>
  <c r="V8" i="32"/>
  <c r="O8" i="32"/>
  <c r="W8" i="32"/>
  <c r="U8" i="32"/>
  <c r="X8" i="32"/>
  <c r="Z8" i="32"/>
  <c r="R8" i="32"/>
  <c r="T8" i="32"/>
  <c r="N8" i="32"/>
  <c r="Y8" i="32"/>
  <c r="P8" i="32"/>
  <c r="Q8" i="32"/>
  <c r="S8" i="32"/>
  <c r="I62" i="6"/>
  <c r="O41" i="7" s="1"/>
  <c r="P41" i="7"/>
  <c r="J25" i="5"/>
  <c r="G13" i="5"/>
  <c r="F8" i="5"/>
  <c r="G8" i="5" s="1"/>
  <c r="F9" i="5"/>
  <c r="G9" i="5" s="1"/>
  <c r="F15" i="5"/>
  <c r="G15" i="5" s="1"/>
  <c r="F12" i="5"/>
  <c r="G12" i="5" s="1"/>
  <c r="F14" i="5"/>
  <c r="G14" i="5" s="1"/>
  <c r="F10" i="5"/>
  <c r="G10" i="5" s="1"/>
  <c r="F7" i="5"/>
  <c r="G7" i="5" s="1"/>
  <c r="F11" i="5"/>
  <c r="G11" i="5" s="1"/>
  <c r="C42" i="27"/>
  <c r="Q34" i="27"/>
  <c r="H5" i="34"/>
  <c r="H175" i="34" s="1"/>
  <c r="N79" i="34" l="1"/>
  <c r="N80" i="34" s="1"/>
  <c r="N189" i="34" s="1"/>
  <c r="N12" i="32"/>
  <c r="P12" i="32"/>
  <c r="P13" i="32" s="1"/>
  <c r="R12" i="32"/>
  <c r="H153" i="34" s="1"/>
  <c r="H154" i="34" s="1"/>
  <c r="V21" i="4"/>
  <c r="S80" i="34" s="1"/>
  <c r="D153" i="34"/>
  <c r="N13" i="32"/>
  <c r="F153" i="34"/>
  <c r="F154" i="34" s="1"/>
  <c r="S12" i="5"/>
  <c r="I19" i="34" s="1"/>
  <c r="T12" i="5"/>
  <c r="J19" i="34" s="1"/>
  <c r="U12" i="5"/>
  <c r="K19" i="34" s="1"/>
  <c r="R12" i="5"/>
  <c r="H19" i="34" s="1"/>
  <c r="Z12" i="5"/>
  <c r="P19" i="34" s="1"/>
  <c r="X12" i="5"/>
  <c r="N19" i="34" s="1"/>
  <c r="N12" i="5"/>
  <c r="D19" i="34" s="1"/>
  <c r="P12" i="5"/>
  <c r="F19" i="34" s="1"/>
  <c r="W12" i="5"/>
  <c r="M19" i="34" s="1"/>
  <c r="O12" i="5"/>
  <c r="E19" i="34" s="1"/>
  <c r="V12" i="5"/>
  <c r="L19" i="34" s="1"/>
  <c r="Q12" i="5"/>
  <c r="G19" i="34" s="1"/>
  <c r="Y12" i="5"/>
  <c r="O19" i="34" s="1"/>
  <c r="T19" i="33"/>
  <c r="O9" i="5"/>
  <c r="E16" i="34" s="1"/>
  <c r="W9" i="5"/>
  <c r="M16" i="34" s="1"/>
  <c r="N9" i="5"/>
  <c r="D16" i="34" s="1"/>
  <c r="P9" i="5"/>
  <c r="F16" i="34" s="1"/>
  <c r="X9" i="5"/>
  <c r="N16" i="34" s="1"/>
  <c r="Q9" i="5"/>
  <c r="G16" i="34" s="1"/>
  <c r="Y9" i="5"/>
  <c r="O16" i="34" s="1"/>
  <c r="V9" i="5"/>
  <c r="L16" i="34" s="1"/>
  <c r="R9" i="5"/>
  <c r="H16" i="34" s="1"/>
  <c r="T9" i="5"/>
  <c r="J16" i="34" s="1"/>
  <c r="S9" i="5"/>
  <c r="I16" i="34" s="1"/>
  <c r="U9" i="5"/>
  <c r="K16" i="34" s="1"/>
  <c r="Z9" i="5"/>
  <c r="P16" i="34" s="1"/>
  <c r="S19" i="33"/>
  <c r="R19" i="33"/>
  <c r="I10" i="18" s="1"/>
  <c r="U12" i="32"/>
  <c r="Q12" i="32"/>
  <c r="T7" i="8"/>
  <c r="O7" i="8"/>
  <c r="M7" i="8"/>
  <c r="X7" i="8"/>
  <c r="R7" i="8"/>
  <c r="L7" i="8"/>
  <c r="W7" i="8"/>
  <c r="S7" i="8"/>
  <c r="N7" i="8"/>
  <c r="U7" i="8"/>
  <c r="V7" i="8"/>
  <c r="Q7" i="8"/>
  <c r="P7" i="8"/>
  <c r="Y19" i="33"/>
  <c r="AI20" i="4"/>
  <c r="P79" i="34"/>
  <c r="P80" i="34" s="1"/>
  <c r="Q19" i="8"/>
  <c r="R19" i="8"/>
  <c r="M19" i="8"/>
  <c r="W19" i="8"/>
  <c r="O163" i="34" s="1"/>
  <c r="N19" i="8"/>
  <c r="X19" i="8"/>
  <c r="P163" i="34" s="1"/>
  <c r="O19" i="8"/>
  <c r="G163" i="34" s="1"/>
  <c r="V19" i="8"/>
  <c r="P19" i="8"/>
  <c r="H163" i="34" s="1"/>
  <c r="T19" i="8"/>
  <c r="U19" i="8"/>
  <c r="S19" i="8"/>
  <c r="L19" i="8"/>
  <c r="N19" i="33"/>
  <c r="T12" i="32"/>
  <c r="S12" i="32"/>
  <c r="U11" i="8"/>
  <c r="M162" i="34" s="1"/>
  <c r="P11" i="8"/>
  <c r="H162" i="34" s="1"/>
  <c r="L11" i="8"/>
  <c r="D162" i="34" s="1"/>
  <c r="T11" i="8"/>
  <c r="L162" i="34" s="1"/>
  <c r="O11" i="8"/>
  <c r="G162" i="34" s="1"/>
  <c r="Q11" i="8"/>
  <c r="I162" i="34" s="1"/>
  <c r="R11" i="8"/>
  <c r="J162" i="34" s="1"/>
  <c r="V11" i="8"/>
  <c r="N162" i="34" s="1"/>
  <c r="X11" i="8"/>
  <c r="P162" i="34" s="1"/>
  <c r="N11" i="8"/>
  <c r="F162" i="34" s="1"/>
  <c r="S11" i="8"/>
  <c r="K162" i="34" s="1"/>
  <c r="M11" i="8"/>
  <c r="E162" i="34" s="1"/>
  <c r="W11" i="8"/>
  <c r="O162" i="34" s="1"/>
  <c r="X19" i="33"/>
  <c r="AD20" i="4"/>
  <c r="K79" i="34"/>
  <c r="K80" i="34" s="1"/>
  <c r="K189" i="34" s="1"/>
  <c r="Y20" i="4"/>
  <c r="F79" i="34"/>
  <c r="F80" i="34" s="1"/>
  <c r="S14" i="5"/>
  <c r="I21" i="34" s="1"/>
  <c r="T14" i="5"/>
  <c r="J21" i="34" s="1"/>
  <c r="U14" i="5"/>
  <c r="K21" i="34" s="1"/>
  <c r="R14" i="5"/>
  <c r="H21" i="34" s="1"/>
  <c r="Z14" i="5"/>
  <c r="P21" i="34" s="1"/>
  <c r="P14" i="5"/>
  <c r="F21" i="34" s="1"/>
  <c r="V14" i="5"/>
  <c r="L21" i="34" s="1"/>
  <c r="X14" i="5"/>
  <c r="N21" i="34" s="1"/>
  <c r="O14" i="5"/>
  <c r="E21" i="34" s="1"/>
  <c r="N14" i="5"/>
  <c r="D21" i="34" s="1"/>
  <c r="W14" i="5"/>
  <c r="M21" i="34" s="1"/>
  <c r="Q14" i="5"/>
  <c r="G21" i="34" s="1"/>
  <c r="Y14" i="5"/>
  <c r="O21" i="34" s="1"/>
  <c r="X12" i="32"/>
  <c r="S8" i="5"/>
  <c r="I15" i="34" s="1"/>
  <c r="T8" i="5"/>
  <c r="J15" i="34" s="1"/>
  <c r="N8" i="5"/>
  <c r="D15" i="34" s="1"/>
  <c r="U8" i="5"/>
  <c r="K15" i="34" s="1"/>
  <c r="R8" i="5"/>
  <c r="H15" i="34" s="1"/>
  <c r="Z8" i="5"/>
  <c r="P15" i="34" s="1"/>
  <c r="X8" i="5"/>
  <c r="N15" i="34" s="1"/>
  <c r="P8" i="5"/>
  <c r="F15" i="34" s="1"/>
  <c r="W8" i="5"/>
  <c r="M15" i="34" s="1"/>
  <c r="Q8" i="5"/>
  <c r="G15" i="34" s="1"/>
  <c r="V8" i="5"/>
  <c r="L15" i="34" s="1"/>
  <c r="Y8" i="5"/>
  <c r="O15" i="34" s="1"/>
  <c r="O8" i="5"/>
  <c r="E15" i="34" s="1"/>
  <c r="O11" i="5"/>
  <c r="E18" i="34" s="1"/>
  <c r="W11" i="5"/>
  <c r="M18" i="34" s="1"/>
  <c r="P11" i="5"/>
  <c r="F18" i="34" s="1"/>
  <c r="X11" i="5"/>
  <c r="N18" i="34" s="1"/>
  <c r="Q11" i="5"/>
  <c r="G18" i="34" s="1"/>
  <c r="Y11" i="5"/>
  <c r="O18" i="34" s="1"/>
  <c r="V11" i="5"/>
  <c r="L18" i="34" s="1"/>
  <c r="T11" i="5"/>
  <c r="J18" i="34" s="1"/>
  <c r="Z11" i="5"/>
  <c r="P18" i="34" s="1"/>
  <c r="S11" i="5"/>
  <c r="I18" i="34" s="1"/>
  <c r="R11" i="5"/>
  <c r="H18" i="34" s="1"/>
  <c r="U11" i="5"/>
  <c r="K18" i="34" s="1"/>
  <c r="N11" i="5"/>
  <c r="D18" i="34" s="1"/>
  <c r="O13" i="5"/>
  <c r="E20" i="34" s="1"/>
  <c r="W13" i="5"/>
  <c r="M20" i="34" s="1"/>
  <c r="P13" i="5"/>
  <c r="F20" i="34" s="1"/>
  <c r="X13" i="5"/>
  <c r="N20" i="34" s="1"/>
  <c r="Q13" i="5"/>
  <c r="G20" i="34" s="1"/>
  <c r="Y13" i="5"/>
  <c r="O20" i="34" s="1"/>
  <c r="V13" i="5"/>
  <c r="L20" i="34" s="1"/>
  <c r="R13" i="5"/>
  <c r="H20" i="34" s="1"/>
  <c r="T13" i="5"/>
  <c r="J20" i="34" s="1"/>
  <c r="N13" i="5"/>
  <c r="D20" i="34" s="1"/>
  <c r="U13" i="5"/>
  <c r="K20" i="34" s="1"/>
  <c r="Z13" i="5"/>
  <c r="P20" i="34" s="1"/>
  <c r="S13" i="5"/>
  <c r="I20" i="34" s="1"/>
  <c r="O12" i="32"/>
  <c r="Z12" i="32"/>
  <c r="U8" i="8"/>
  <c r="M159" i="34" s="1"/>
  <c r="W8" i="8"/>
  <c r="O159" i="34" s="1"/>
  <c r="M8" i="8"/>
  <c r="E159" i="34" s="1"/>
  <c r="L8" i="8"/>
  <c r="D159" i="34" s="1"/>
  <c r="V8" i="8"/>
  <c r="N159" i="34" s="1"/>
  <c r="R8" i="8"/>
  <c r="J159" i="34" s="1"/>
  <c r="T8" i="8"/>
  <c r="L159" i="34" s="1"/>
  <c r="P8" i="8"/>
  <c r="H159" i="34" s="1"/>
  <c r="X8" i="8"/>
  <c r="P159" i="34" s="1"/>
  <c r="N8" i="8"/>
  <c r="F159" i="34" s="1"/>
  <c r="S8" i="8"/>
  <c r="K159" i="34" s="1"/>
  <c r="O8" i="8"/>
  <c r="G159" i="34" s="1"/>
  <c r="Q8" i="8"/>
  <c r="I159" i="34" s="1"/>
  <c r="T10" i="8"/>
  <c r="L161" i="34" s="1"/>
  <c r="V10" i="8"/>
  <c r="N161" i="34" s="1"/>
  <c r="Q10" i="8"/>
  <c r="I161" i="34" s="1"/>
  <c r="O10" i="8"/>
  <c r="G161" i="34" s="1"/>
  <c r="R10" i="8"/>
  <c r="J161" i="34" s="1"/>
  <c r="U10" i="8"/>
  <c r="M161" i="34" s="1"/>
  <c r="P10" i="8"/>
  <c r="H161" i="34" s="1"/>
  <c r="N10" i="8"/>
  <c r="F161" i="34" s="1"/>
  <c r="X10" i="8"/>
  <c r="P161" i="34" s="1"/>
  <c r="M10" i="8"/>
  <c r="E161" i="34" s="1"/>
  <c r="L10" i="8"/>
  <c r="D161" i="34" s="1"/>
  <c r="S10" i="8"/>
  <c r="K161" i="34" s="1"/>
  <c r="W10" i="8"/>
  <c r="O161" i="34" s="1"/>
  <c r="S10" i="5"/>
  <c r="I17" i="34" s="1"/>
  <c r="T10" i="5"/>
  <c r="J17" i="34" s="1"/>
  <c r="U10" i="5"/>
  <c r="K17" i="34" s="1"/>
  <c r="R10" i="5"/>
  <c r="H17" i="34" s="1"/>
  <c r="Z10" i="5"/>
  <c r="P17" i="34" s="1"/>
  <c r="N10" i="5"/>
  <c r="D17" i="34" s="1"/>
  <c r="P10" i="5"/>
  <c r="F17" i="34" s="1"/>
  <c r="V10" i="5"/>
  <c r="L17" i="34" s="1"/>
  <c r="X10" i="5"/>
  <c r="N17" i="34" s="1"/>
  <c r="O10" i="5"/>
  <c r="E17" i="34" s="1"/>
  <c r="Y10" i="5"/>
  <c r="O17" i="34" s="1"/>
  <c r="W10" i="5"/>
  <c r="M17" i="34" s="1"/>
  <c r="Q10" i="5"/>
  <c r="G17" i="34" s="1"/>
  <c r="U19" i="33"/>
  <c r="AF20" i="4"/>
  <c r="M79" i="34"/>
  <c r="M80" i="34" s="1"/>
  <c r="M189" i="34" s="1"/>
  <c r="Q19" i="33"/>
  <c r="X20" i="4"/>
  <c r="E79" i="34"/>
  <c r="E80" i="34" s="1"/>
  <c r="D80" i="34"/>
  <c r="V19" i="33"/>
  <c r="M20" i="8"/>
  <c r="E164" i="34" s="1"/>
  <c r="U20" i="8"/>
  <c r="M164" i="34" s="1"/>
  <c r="N20" i="8"/>
  <c r="F164" i="34" s="1"/>
  <c r="V20" i="8"/>
  <c r="N164" i="34" s="1"/>
  <c r="W20" i="8"/>
  <c r="O20" i="8"/>
  <c r="X20" i="8"/>
  <c r="T20" i="8"/>
  <c r="L164" i="34" s="1"/>
  <c r="R20" i="8"/>
  <c r="J164" i="34" s="1"/>
  <c r="L20" i="8"/>
  <c r="D164" i="34" s="1"/>
  <c r="Q20" i="8"/>
  <c r="I164" i="34" s="1"/>
  <c r="P20" i="8"/>
  <c r="S20" i="8"/>
  <c r="K164" i="34" s="1"/>
  <c r="AH20" i="4"/>
  <c r="O79" i="34"/>
  <c r="O80" i="34" s="1"/>
  <c r="Z20" i="4"/>
  <c r="G79" i="34"/>
  <c r="G80" i="34" s="1"/>
  <c r="G189" i="34" s="1"/>
  <c r="O7" i="5"/>
  <c r="W7" i="5"/>
  <c r="P7" i="5"/>
  <c r="X7" i="5"/>
  <c r="Q7" i="5"/>
  <c r="Y7" i="5"/>
  <c r="N7" i="5"/>
  <c r="V7" i="5"/>
  <c r="T7" i="5"/>
  <c r="Z7" i="5"/>
  <c r="S7" i="5"/>
  <c r="R7" i="5"/>
  <c r="U7" i="5"/>
  <c r="I57" i="6" a="1"/>
  <c r="F7" i="6" s="1"/>
  <c r="G7" i="6" s="1"/>
  <c r="H33" i="8"/>
  <c r="I49" i="20" s="1"/>
  <c r="I199" i="10" s="1"/>
  <c r="AA20" i="4"/>
  <c r="H79" i="34"/>
  <c r="H80" i="34" s="1"/>
  <c r="H189" i="34" s="1"/>
  <c r="O9" i="8"/>
  <c r="G160" i="34" s="1"/>
  <c r="N9" i="8"/>
  <c r="F160" i="34" s="1"/>
  <c r="V9" i="8"/>
  <c r="N160" i="34" s="1"/>
  <c r="T9" i="8"/>
  <c r="L160" i="34" s="1"/>
  <c r="W9" i="8"/>
  <c r="O160" i="34" s="1"/>
  <c r="M9" i="8"/>
  <c r="E160" i="34" s="1"/>
  <c r="R9" i="8"/>
  <c r="J160" i="34" s="1"/>
  <c r="U9" i="8"/>
  <c r="M160" i="34" s="1"/>
  <c r="X9" i="8"/>
  <c r="P160" i="34" s="1"/>
  <c r="L9" i="8"/>
  <c r="D160" i="34" s="1"/>
  <c r="P9" i="8"/>
  <c r="H160" i="34" s="1"/>
  <c r="Q9" i="8"/>
  <c r="I160" i="34" s="1"/>
  <c r="S9" i="8"/>
  <c r="K160" i="34" s="1"/>
  <c r="P19" i="33"/>
  <c r="G10" i="18" s="1"/>
  <c r="AC20" i="4"/>
  <c r="J79" i="34"/>
  <c r="J80" i="34" s="1"/>
  <c r="J189" i="34" s="1"/>
  <c r="AB20" i="4"/>
  <c r="I79" i="34"/>
  <c r="I80" i="34" s="1"/>
  <c r="I189" i="34" s="1"/>
  <c r="V12" i="32"/>
  <c r="O15" i="5"/>
  <c r="E22" i="34" s="1"/>
  <c r="W15" i="5"/>
  <c r="M22" i="34" s="1"/>
  <c r="P15" i="5"/>
  <c r="F22" i="34" s="1"/>
  <c r="X15" i="5"/>
  <c r="N22" i="34" s="1"/>
  <c r="Q15" i="5"/>
  <c r="G22" i="34" s="1"/>
  <c r="Y15" i="5"/>
  <c r="O22" i="34" s="1"/>
  <c r="N15" i="5"/>
  <c r="D22" i="34" s="1"/>
  <c r="V15" i="5"/>
  <c r="L22" i="34" s="1"/>
  <c r="T15" i="5"/>
  <c r="J22" i="34" s="1"/>
  <c r="Z15" i="5"/>
  <c r="P22" i="34" s="1"/>
  <c r="S15" i="5"/>
  <c r="I22" i="34" s="1"/>
  <c r="R15" i="5"/>
  <c r="H22" i="34" s="1"/>
  <c r="U15" i="5"/>
  <c r="K22" i="34" s="1"/>
  <c r="Z19" i="33"/>
  <c r="W12" i="32"/>
  <c r="Y12" i="32"/>
  <c r="F7" i="20"/>
  <c r="G7" i="20" s="1"/>
  <c r="J199" i="10"/>
  <c r="L44" i="20"/>
  <c r="F8" i="20"/>
  <c r="G8" i="20" s="1"/>
  <c r="F9" i="20"/>
  <c r="G9" i="20" s="1"/>
  <c r="P9" i="20" s="1"/>
  <c r="F10" i="20"/>
  <c r="G10" i="20" s="1"/>
  <c r="F11" i="20"/>
  <c r="G11" i="20" s="1"/>
  <c r="F12" i="20"/>
  <c r="G12" i="20" s="1"/>
  <c r="F13" i="20"/>
  <c r="G13" i="20" s="1"/>
  <c r="F14" i="20"/>
  <c r="G14" i="20" s="1"/>
  <c r="F15" i="20"/>
  <c r="G15" i="20" s="1"/>
  <c r="F16" i="20"/>
  <c r="G16" i="20" s="1"/>
  <c r="M16" i="20" s="1"/>
  <c r="F17" i="20"/>
  <c r="G17" i="20" s="1"/>
  <c r="F18" i="20"/>
  <c r="G18" i="20" s="1"/>
  <c r="F19" i="20"/>
  <c r="G19" i="20" s="1"/>
  <c r="F20" i="20"/>
  <c r="G20" i="20" s="1"/>
  <c r="F21" i="20"/>
  <c r="G21" i="20" s="1"/>
  <c r="F22" i="20"/>
  <c r="G22" i="20" s="1"/>
  <c r="F23" i="20"/>
  <c r="G23" i="20" s="1"/>
  <c r="F24" i="20"/>
  <c r="G24" i="20" s="1"/>
  <c r="F25" i="20"/>
  <c r="G25" i="20" s="1"/>
  <c r="F26" i="20"/>
  <c r="G26" i="20" s="1"/>
  <c r="F27" i="20"/>
  <c r="G27" i="20" s="1"/>
  <c r="F28" i="20"/>
  <c r="G28" i="20" s="1"/>
  <c r="F29" i="20"/>
  <c r="G29" i="20" s="1"/>
  <c r="F30" i="20"/>
  <c r="G30" i="20" s="1"/>
  <c r="F31" i="20"/>
  <c r="G31" i="20" s="1"/>
  <c r="F32" i="20"/>
  <c r="G32" i="20" s="1"/>
  <c r="F33" i="20"/>
  <c r="G33" i="20" s="1"/>
  <c r="F34" i="20"/>
  <c r="G34" i="20" s="1"/>
  <c r="F35" i="20"/>
  <c r="G35" i="20" s="1"/>
  <c r="F36" i="20"/>
  <c r="G36" i="20" s="1"/>
  <c r="F37" i="20"/>
  <c r="G37" i="20" s="1"/>
  <c r="F38" i="20"/>
  <c r="G38" i="20" s="1"/>
  <c r="F39" i="20"/>
  <c r="G39" i="20" s="1"/>
  <c r="F40" i="20"/>
  <c r="G40" i="20" s="1"/>
  <c r="F41" i="20"/>
  <c r="G41" i="20" s="1"/>
  <c r="O19" i="33"/>
  <c r="W19" i="33"/>
  <c r="AE20" i="4"/>
  <c r="L79" i="34"/>
  <c r="L80" i="34" s="1"/>
  <c r="L189" i="34" s="1"/>
  <c r="I5" i="34"/>
  <c r="I175" i="34" s="1"/>
  <c r="P42" i="27" l="1"/>
  <c r="P189" i="34"/>
  <c r="D42" i="27"/>
  <c r="D189" i="34"/>
  <c r="F42" i="27"/>
  <c r="F189" i="34"/>
  <c r="E42" i="27"/>
  <c r="E189" i="34"/>
  <c r="O42" i="27"/>
  <c r="O189" i="34"/>
  <c r="J10" i="18"/>
  <c r="F17" i="6"/>
  <c r="G17" i="6" s="1"/>
  <c r="M26" i="20"/>
  <c r="D60" i="34" s="1"/>
  <c r="Y26" i="20"/>
  <c r="P60" i="34" s="1"/>
  <c r="N26" i="20"/>
  <c r="E60" i="34" s="1"/>
  <c r="O26" i="20"/>
  <c r="F60" i="34" s="1"/>
  <c r="X26" i="20"/>
  <c r="O60" i="34" s="1"/>
  <c r="P26" i="20"/>
  <c r="G60" i="34" s="1"/>
  <c r="Q26" i="20"/>
  <c r="H60" i="34" s="1"/>
  <c r="R26" i="20"/>
  <c r="I60" i="34" s="1"/>
  <c r="S26" i="20"/>
  <c r="J60" i="34" s="1"/>
  <c r="T26" i="20"/>
  <c r="K60" i="34" s="1"/>
  <c r="U26" i="20"/>
  <c r="L60" i="34" s="1"/>
  <c r="V26" i="20"/>
  <c r="M60" i="34" s="1"/>
  <c r="W26" i="20"/>
  <c r="N60" i="34" s="1"/>
  <c r="F27" i="6"/>
  <c r="G27" i="6" s="1"/>
  <c r="M25" i="20"/>
  <c r="D59" i="34" s="1"/>
  <c r="Y25" i="20"/>
  <c r="P59" i="34" s="1"/>
  <c r="N25" i="20"/>
  <c r="E59" i="34" s="1"/>
  <c r="O25" i="20"/>
  <c r="F59" i="34" s="1"/>
  <c r="X25" i="20"/>
  <c r="O59" i="34" s="1"/>
  <c r="P25" i="20"/>
  <c r="G59" i="34" s="1"/>
  <c r="Q25" i="20"/>
  <c r="H59" i="34" s="1"/>
  <c r="R25" i="20"/>
  <c r="I59" i="34" s="1"/>
  <c r="S25" i="20"/>
  <c r="J59" i="34" s="1"/>
  <c r="T25" i="20"/>
  <c r="K59" i="34" s="1"/>
  <c r="U25" i="20"/>
  <c r="L59" i="34" s="1"/>
  <c r="V25" i="20"/>
  <c r="M59" i="34" s="1"/>
  <c r="W25" i="20"/>
  <c r="N59" i="34" s="1"/>
  <c r="M13" i="20"/>
  <c r="D47" i="34" s="1"/>
  <c r="Y13" i="20"/>
  <c r="P47" i="34" s="1"/>
  <c r="E47" i="34"/>
  <c r="O13" i="20"/>
  <c r="F47" i="34" s="1"/>
  <c r="G47" i="34"/>
  <c r="Q13" i="20"/>
  <c r="H47" i="34" s="1"/>
  <c r="I47" i="34"/>
  <c r="O47" i="34"/>
  <c r="S13" i="20"/>
  <c r="J47" i="34" s="1"/>
  <c r="K47" i="34"/>
  <c r="U13" i="20"/>
  <c r="L47" i="34" s="1"/>
  <c r="M47" i="34"/>
  <c r="W13" i="20"/>
  <c r="N47" i="34" s="1"/>
  <c r="F48" i="6"/>
  <c r="G48" i="6" s="1"/>
  <c r="M11" i="20"/>
  <c r="D45" i="34" s="1"/>
  <c r="Y11" i="20"/>
  <c r="P45" i="34" s="1"/>
  <c r="N11" i="20"/>
  <c r="E45" i="34" s="1"/>
  <c r="O11" i="20"/>
  <c r="F45" i="34" s="1"/>
  <c r="X11" i="20"/>
  <c r="O45" i="34" s="1"/>
  <c r="P11" i="20"/>
  <c r="G45" i="34" s="1"/>
  <c r="Q11" i="20"/>
  <c r="H45" i="34" s="1"/>
  <c r="R11" i="20"/>
  <c r="I45" i="34" s="1"/>
  <c r="S11" i="20"/>
  <c r="J45" i="34" s="1"/>
  <c r="T11" i="20"/>
  <c r="K45" i="34" s="1"/>
  <c r="U11" i="20"/>
  <c r="L45" i="34" s="1"/>
  <c r="V11" i="20"/>
  <c r="M45" i="34" s="1"/>
  <c r="W11" i="20"/>
  <c r="N45" i="34" s="1"/>
  <c r="M37" i="20"/>
  <c r="D71" i="34" s="1"/>
  <c r="Y37" i="20"/>
  <c r="P71" i="34" s="1"/>
  <c r="N37" i="20"/>
  <c r="E71" i="34" s="1"/>
  <c r="O37" i="20"/>
  <c r="F71" i="34" s="1"/>
  <c r="P37" i="20"/>
  <c r="G71" i="34" s="1"/>
  <c r="Q37" i="20"/>
  <c r="H71" i="34" s="1"/>
  <c r="R37" i="20"/>
  <c r="I71" i="34" s="1"/>
  <c r="S37" i="20"/>
  <c r="J71" i="34" s="1"/>
  <c r="T37" i="20"/>
  <c r="K71" i="34" s="1"/>
  <c r="U37" i="20"/>
  <c r="L71" i="34" s="1"/>
  <c r="V37" i="20"/>
  <c r="M71" i="34" s="1"/>
  <c r="W37" i="20"/>
  <c r="N71" i="34" s="1"/>
  <c r="X37" i="20"/>
  <c r="O71" i="34" s="1"/>
  <c r="M33" i="20"/>
  <c r="D67" i="34" s="1"/>
  <c r="Y33" i="20"/>
  <c r="P67" i="34" s="1"/>
  <c r="N33" i="20"/>
  <c r="E67" i="34" s="1"/>
  <c r="O33" i="20"/>
  <c r="F67" i="34" s="1"/>
  <c r="X33" i="20"/>
  <c r="O67" i="34" s="1"/>
  <c r="P33" i="20"/>
  <c r="G67" i="34" s="1"/>
  <c r="Q33" i="20"/>
  <c r="H67" i="34" s="1"/>
  <c r="R33" i="20"/>
  <c r="I67" i="34" s="1"/>
  <c r="S33" i="20"/>
  <c r="J67" i="34" s="1"/>
  <c r="T33" i="20"/>
  <c r="K67" i="34" s="1"/>
  <c r="U33" i="20"/>
  <c r="L67" i="34" s="1"/>
  <c r="V33" i="20"/>
  <c r="M67" i="34" s="1"/>
  <c r="W33" i="20"/>
  <c r="N67" i="34" s="1"/>
  <c r="M21" i="20"/>
  <c r="D55" i="34" s="1"/>
  <c r="P55" i="34"/>
  <c r="E55" i="34"/>
  <c r="F55" i="34"/>
  <c r="G55" i="34"/>
  <c r="H55" i="34"/>
  <c r="R21" i="20"/>
  <c r="I55" i="34" s="1"/>
  <c r="J55" i="34"/>
  <c r="K55" i="34"/>
  <c r="X21" i="20"/>
  <c r="O55" i="34" s="1"/>
  <c r="L55" i="34"/>
  <c r="M55" i="34"/>
  <c r="N55" i="34"/>
  <c r="D66" i="34"/>
  <c r="P66" i="34"/>
  <c r="E66" i="34"/>
  <c r="F66" i="34"/>
  <c r="O66" i="34"/>
  <c r="P32" i="20"/>
  <c r="G66" i="34" s="1"/>
  <c r="H66" i="34"/>
  <c r="I66" i="34"/>
  <c r="J66" i="34"/>
  <c r="K66" i="34"/>
  <c r="L66" i="34"/>
  <c r="M66" i="34"/>
  <c r="N66" i="34"/>
  <c r="M20" i="20"/>
  <c r="D54" i="34" s="1"/>
  <c r="Y20" i="20"/>
  <c r="P54" i="34" s="1"/>
  <c r="N20" i="20"/>
  <c r="E54" i="34" s="1"/>
  <c r="O20" i="20"/>
  <c r="F54" i="34" s="1"/>
  <c r="P20" i="20"/>
  <c r="G54" i="34" s="1"/>
  <c r="X20" i="20"/>
  <c r="O54" i="34" s="1"/>
  <c r="Q20" i="20"/>
  <c r="H54" i="34" s="1"/>
  <c r="R20" i="20"/>
  <c r="I54" i="34" s="1"/>
  <c r="S20" i="20"/>
  <c r="J54" i="34" s="1"/>
  <c r="T20" i="20"/>
  <c r="K54" i="34" s="1"/>
  <c r="U20" i="20"/>
  <c r="L54" i="34" s="1"/>
  <c r="V20" i="20"/>
  <c r="M54" i="34" s="1"/>
  <c r="W20" i="20"/>
  <c r="N54" i="34" s="1"/>
  <c r="M31" i="20"/>
  <c r="D65" i="34" s="1"/>
  <c r="Y31" i="20"/>
  <c r="P65" i="34" s="1"/>
  <c r="N31" i="20"/>
  <c r="E65" i="34" s="1"/>
  <c r="O31" i="20"/>
  <c r="F65" i="34" s="1"/>
  <c r="X31" i="20"/>
  <c r="O65" i="34" s="1"/>
  <c r="P31" i="20"/>
  <c r="G65" i="34" s="1"/>
  <c r="Q31" i="20"/>
  <c r="H65" i="34" s="1"/>
  <c r="R31" i="20"/>
  <c r="I65" i="34" s="1"/>
  <c r="S31" i="20"/>
  <c r="J65" i="34" s="1"/>
  <c r="T31" i="20"/>
  <c r="K65" i="34" s="1"/>
  <c r="U31" i="20"/>
  <c r="L65" i="34" s="1"/>
  <c r="V31" i="20"/>
  <c r="M65" i="34" s="1"/>
  <c r="W31" i="20"/>
  <c r="N65" i="34" s="1"/>
  <c r="M30" i="20"/>
  <c r="D64" i="34" s="1"/>
  <c r="Y30" i="20"/>
  <c r="P64" i="34" s="1"/>
  <c r="N30" i="20"/>
  <c r="E64" i="34" s="1"/>
  <c r="O30" i="20"/>
  <c r="F64" i="34" s="1"/>
  <c r="X30" i="20"/>
  <c r="O64" i="34" s="1"/>
  <c r="P30" i="20"/>
  <c r="G64" i="34" s="1"/>
  <c r="Q30" i="20"/>
  <c r="H64" i="34" s="1"/>
  <c r="R30" i="20"/>
  <c r="I64" i="34" s="1"/>
  <c r="S30" i="20"/>
  <c r="J64" i="34" s="1"/>
  <c r="T30" i="20"/>
  <c r="K64" i="34" s="1"/>
  <c r="U30" i="20"/>
  <c r="L64" i="34" s="1"/>
  <c r="V30" i="20"/>
  <c r="M64" i="34" s="1"/>
  <c r="W30" i="20"/>
  <c r="N64" i="34" s="1"/>
  <c r="L44" i="10"/>
  <c r="L39" i="10"/>
  <c r="L22" i="10"/>
  <c r="L17" i="10"/>
  <c r="M41" i="20"/>
  <c r="D75" i="34" s="1"/>
  <c r="Y41" i="20"/>
  <c r="P75" i="34" s="1"/>
  <c r="N41" i="20"/>
  <c r="E75" i="34" s="1"/>
  <c r="O41" i="20"/>
  <c r="F75" i="34" s="1"/>
  <c r="X41" i="20"/>
  <c r="O75" i="34" s="1"/>
  <c r="P41" i="20"/>
  <c r="G75" i="34" s="1"/>
  <c r="Q41" i="20"/>
  <c r="H75" i="34" s="1"/>
  <c r="R41" i="20"/>
  <c r="I75" i="34" s="1"/>
  <c r="S41" i="20"/>
  <c r="J75" i="34" s="1"/>
  <c r="T41" i="20"/>
  <c r="K75" i="34" s="1"/>
  <c r="U41" i="20"/>
  <c r="L75" i="34" s="1"/>
  <c r="V41" i="20"/>
  <c r="M75" i="34" s="1"/>
  <c r="W41" i="20"/>
  <c r="N75" i="34" s="1"/>
  <c r="M17" i="20"/>
  <c r="D51" i="34" s="1"/>
  <c r="Y17" i="20"/>
  <c r="P51" i="34" s="1"/>
  <c r="N17" i="20"/>
  <c r="E51" i="34" s="1"/>
  <c r="O17" i="20"/>
  <c r="F51" i="34" s="1"/>
  <c r="P17" i="20"/>
  <c r="G51" i="34" s="1"/>
  <c r="Q17" i="20"/>
  <c r="H51" i="34" s="1"/>
  <c r="R17" i="20"/>
  <c r="I51" i="34" s="1"/>
  <c r="S17" i="20"/>
  <c r="J51" i="34" s="1"/>
  <c r="T17" i="20"/>
  <c r="K51" i="34" s="1"/>
  <c r="U17" i="20"/>
  <c r="L51" i="34" s="1"/>
  <c r="V17" i="20"/>
  <c r="M51" i="34" s="1"/>
  <c r="W17" i="20"/>
  <c r="N51" i="34" s="1"/>
  <c r="X17" i="20"/>
  <c r="O51" i="34" s="1"/>
  <c r="M40" i="20"/>
  <c r="D74" i="34" s="1"/>
  <c r="Y40" i="20"/>
  <c r="P74" i="34" s="1"/>
  <c r="N40" i="20"/>
  <c r="E74" i="34" s="1"/>
  <c r="X40" i="20"/>
  <c r="O74" i="34" s="1"/>
  <c r="O40" i="20"/>
  <c r="F74" i="34" s="1"/>
  <c r="P40" i="20"/>
  <c r="G74" i="34" s="1"/>
  <c r="Q40" i="20"/>
  <c r="H74" i="34" s="1"/>
  <c r="R40" i="20"/>
  <c r="I74" i="34" s="1"/>
  <c r="S40" i="20"/>
  <c r="J74" i="34" s="1"/>
  <c r="T40" i="20"/>
  <c r="K74" i="34" s="1"/>
  <c r="U40" i="20"/>
  <c r="L74" i="34" s="1"/>
  <c r="V40" i="20"/>
  <c r="M74" i="34" s="1"/>
  <c r="W40" i="20"/>
  <c r="N74" i="34" s="1"/>
  <c r="D50" i="34"/>
  <c r="Y16" i="20"/>
  <c r="P50" i="34" s="1"/>
  <c r="E50" i="34"/>
  <c r="X16" i="20"/>
  <c r="O50" i="34" s="1"/>
  <c r="F50" i="34"/>
  <c r="G50" i="34"/>
  <c r="H50" i="34"/>
  <c r="R16" i="20"/>
  <c r="I50" i="34" s="1"/>
  <c r="J50" i="34"/>
  <c r="K50" i="34"/>
  <c r="L50" i="34"/>
  <c r="M50" i="34"/>
  <c r="N50" i="34"/>
  <c r="F18" i="6"/>
  <c r="G18" i="6" s="1"/>
  <c r="T18" i="6" s="1"/>
  <c r="M39" i="20"/>
  <c r="D73" i="34" s="1"/>
  <c r="Y39" i="20"/>
  <c r="P73" i="34" s="1"/>
  <c r="N39" i="20"/>
  <c r="E73" i="34" s="1"/>
  <c r="O39" i="20"/>
  <c r="F73" i="34" s="1"/>
  <c r="X39" i="20"/>
  <c r="O73" i="34" s="1"/>
  <c r="P39" i="20"/>
  <c r="G73" i="34" s="1"/>
  <c r="Q39" i="20"/>
  <c r="H73" i="34" s="1"/>
  <c r="R39" i="20"/>
  <c r="I73" i="34" s="1"/>
  <c r="S39" i="20"/>
  <c r="J73" i="34" s="1"/>
  <c r="T39" i="20"/>
  <c r="K73" i="34" s="1"/>
  <c r="U39" i="20"/>
  <c r="L73" i="34" s="1"/>
  <c r="V39" i="20"/>
  <c r="M73" i="34" s="1"/>
  <c r="W39" i="20"/>
  <c r="N73" i="34" s="1"/>
  <c r="M38" i="20"/>
  <c r="D72" i="34" s="1"/>
  <c r="Y38" i="20"/>
  <c r="P72" i="34" s="1"/>
  <c r="N38" i="20"/>
  <c r="E72" i="34" s="1"/>
  <c r="O38" i="20"/>
  <c r="F72" i="34" s="1"/>
  <c r="X38" i="20"/>
  <c r="O72" i="34" s="1"/>
  <c r="P38" i="20"/>
  <c r="G72" i="34" s="1"/>
  <c r="Q38" i="20"/>
  <c r="H72" i="34" s="1"/>
  <c r="R38" i="20"/>
  <c r="I72" i="34" s="1"/>
  <c r="S38" i="20"/>
  <c r="J72" i="34" s="1"/>
  <c r="T38" i="20"/>
  <c r="K72" i="34" s="1"/>
  <c r="U38" i="20"/>
  <c r="L72" i="34" s="1"/>
  <c r="V38" i="20"/>
  <c r="M72" i="34" s="1"/>
  <c r="W38" i="20"/>
  <c r="N72" i="34" s="1"/>
  <c r="F26" i="6"/>
  <c r="G26" i="6" s="1"/>
  <c r="O26" i="6" s="1"/>
  <c r="M12" i="20"/>
  <c r="D46" i="34" s="1"/>
  <c r="Y12" i="20"/>
  <c r="P46" i="34" s="1"/>
  <c r="X12" i="20"/>
  <c r="O46" i="34" s="1"/>
  <c r="N12" i="20"/>
  <c r="E46" i="34" s="1"/>
  <c r="O12" i="20"/>
  <c r="F46" i="34" s="1"/>
  <c r="P12" i="20"/>
  <c r="G46" i="34" s="1"/>
  <c r="Q12" i="20"/>
  <c r="H46" i="34" s="1"/>
  <c r="R12" i="20"/>
  <c r="I46" i="34" s="1"/>
  <c r="S12" i="20"/>
  <c r="J46" i="34" s="1"/>
  <c r="T12" i="20"/>
  <c r="K46" i="34" s="1"/>
  <c r="U12" i="20"/>
  <c r="L46" i="34" s="1"/>
  <c r="V12" i="20"/>
  <c r="M46" i="34" s="1"/>
  <c r="W12" i="20"/>
  <c r="N46" i="34" s="1"/>
  <c r="I57" i="6"/>
  <c r="O36" i="7" s="1"/>
  <c r="M10" i="20"/>
  <c r="D44" i="34" s="1"/>
  <c r="Y10" i="20"/>
  <c r="P44" i="34" s="1"/>
  <c r="N10" i="20"/>
  <c r="E44" i="34" s="1"/>
  <c r="O10" i="20"/>
  <c r="F44" i="34" s="1"/>
  <c r="P10" i="20"/>
  <c r="G44" i="34" s="1"/>
  <c r="Q10" i="20"/>
  <c r="H44" i="34" s="1"/>
  <c r="X10" i="20"/>
  <c r="O44" i="34" s="1"/>
  <c r="R10" i="20"/>
  <c r="I44" i="34" s="1"/>
  <c r="S10" i="20"/>
  <c r="J44" i="34" s="1"/>
  <c r="T10" i="20"/>
  <c r="K44" i="34" s="1"/>
  <c r="U10" i="20"/>
  <c r="L44" i="34" s="1"/>
  <c r="V10" i="20"/>
  <c r="M44" i="34" s="1"/>
  <c r="W10" i="20"/>
  <c r="N44" i="34" s="1"/>
  <c r="M36" i="20"/>
  <c r="D70" i="34" s="1"/>
  <c r="U36" i="20"/>
  <c r="L70" i="34" s="1"/>
  <c r="V36" i="20"/>
  <c r="M70" i="34" s="1"/>
  <c r="W36" i="20"/>
  <c r="N70" i="34" s="1"/>
  <c r="X36" i="20"/>
  <c r="O70" i="34" s="1"/>
  <c r="N36" i="20"/>
  <c r="E70" i="34" s="1"/>
  <c r="T36" i="20"/>
  <c r="K70" i="34" s="1"/>
  <c r="O36" i="20"/>
  <c r="F70" i="34" s="1"/>
  <c r="P36" i="20"/>
  <c r="G70" i="34" s="1"/>
  <c r="Q36" i="20"/>
  <c r="H70" i="34" s="1"/>
  <c r="Y36" i="20"/>
  <c r="P70" i="34" s="1"/>
  <c r="R36" i="20"/>
  <c r="I70" i="34" s="1"/>
  <c r="S36" i="20"/>
  <c r="J70" i="34" s="1"/>
  <c r="M35" i="20"/>
  <c r="D69" i="34" s="1"/>
  <c r="R35" i="20"/>
  <c r="I69" i="34" s="1"/>
  <c r="W35" i="20"/>
  <c r="N69" i="34" s="1"/>
  <c r="S35" i="20"/>
  <c r="J69" i="34" s="1"/>
  <c r="V35" i="20"/>
  <c r="M69" i="34" s="1"/>
  <c r="O35" i="20"/>
  <c r="F69" i="34" s="1"/>
  <c r="T35" i="20"/>
  <c r="K69" i="34" s="1"/>
  <c r="U35" i="20"/>
  <c r="L69" i="34" s="1"/>
  <c r="P35" i="20"/>
  <c r="G69" i="34" s="1"/>
  <c r="X35" i="20"/>
  <c r="O69" i="34" s="1"/>
  <c r="Q35" i="20"/>
  <c r="H69" i="34" s="1"/>
  <c r="Y35" i="20"/>
  <c r="P69" i="34" s="1"/>
  <c r="N35" i="20"/>
  <c r="E69" i="34" s="1"/>
  <c r="D68" i="34"/>
  <c r="E68" i="34"/>
  <c r="M68" i="34"/>
  <c r="H68" i="34"/>
  <c r="F68" i="34"/>
  <c r="N68" i="34"/>
  <c r="P68" i="34"/>
  <c r="G68" i="34"/>
  <c r="O68" i="34"/>
  <c r="I68" i="34"/>
  <c r="T34" i="20"/>
  <c r="K68" i="34" s="1"/>
  <c r="L68" i="34"/>
  <c r="J68" i="34"/>
  <c r="M29" i="20"/>
  <c r="D63" i="34" s="1"/>
  <c r="N29" i="20"/>
  <c r="E63" i="34" s="1"/>
  <c r="V29" i="20"/>
  <c r="M63" i="34" s="1"/>
  <c r="T29" i="20"/>
  <c r="K63" i="34" s="1"/>
  <c r="O29" i="20"/>
  <c r="F63" i="34" s="1"/>
  <c r="W29" i="20"/>
  <c r="N63" i="34" s="1"/>
  <c r="P29" i="20"/>
  <c r="G63" i="34" s="1"/>
  <c r="X29" i="20"/>
  <c r="O63" i="34" s="1"/>
  <c r="Y29" i="20"/>
  <c r="P63" i="34" s="1"/>
  <c r="Q29" i="20"/>
  <c r="H63" i="34" s="1"/>
  <c r="R29" i="20"/>
  <c r="I63" i="34" s="1"/>
  <c r="S29" i="20"/>
  <c r="J63" i="34" s="1"/>
  <c r="U29" i="20"/>
  <c r="L63" i="34" s="1"/>
  <c r="M28" i="20"/>
  <c r="D62" i="34" s="1"/>
  <c r="R28" i="20"/>
  <c r="I62" i="34" s="1"/>
  <c r="V28" i="20"/>
  <c r="M62" i="34" s="1"/>
  <c r="O28" i="20"/>
  <c r="F62" i="34" s="1"/>
  <c r="S28" i="20"/>
  <c r="J62" i="34" s="1"/>
  <c r="P28" i="20"/>
  <c r="G62" i="34" s="1"/>
  <c r="T28" i="20"/>
  <c r="K62" i="34" s="1"/>
  <c r="X28" i="20"/>
  <c r="O62" i="34" s="1"/>
  <c r="Q28" i="20"/>
  <c r="H62" i="34" s="1"/>
  <c r="Y28" i="20"/>
  <c r="P62" i="34" s="1"/>
  <c r="U28" i="20"/>
  <c r="L62" i="34" s="1"/>
  <c r="N28" i="20"/>
  <c r="E62" i="34" s="1"/>
  <c r="W28" i="20"/>
  <c r="N62" i="34" s="1"/>
  <c r="M27" i="20"/>
  <c r="D61" i="34" s="1"/>
  <c r="N27" i="20"/>
  <c r="E61" i="34" s="1"/>
  <c r="V27" i="20"/>
  <c r="M61" i="34" s="1"/>
  <c r="Q27" i="20"/>
  <c r="H61" i="34" s="1"/>
  <c r="T27" i="20"/>
  <c r="K61" i="34" s="1"/>
  <c r="O27" i="20"/>
  <c r="F61" i="34" s="1"/>
  <c r="W27" i="20"/>
  <c r="N61" i="34" s="1"/>
  <c r="R27" i="20"/>
  <c r="I61" i="34" s="1"/>
  <c r="P27" i="20"/>
  <c r="G61" i="34" s="1"/>
  <c r="X27" i="20"/>
  <c r="O61" i="34" s="1"/>
  <c r="Y27" i="20"/>
  <c r="P61" i="34" s="1"/>
  <c r="S27" i="20"/>
  <c r="J61" i="34" s="1"/>
  <c r="U27" i="20"/>
  <c r="L61" i="34" s="1"/>
  <c r="M24" i="20"/>
  <c r="D58" i="34" s="1"/>
  <c r="N24" i="20"/>
  <c r="E58" i="34" s="1"/>
  <c r="V24" i="20"/>
  <c r="M58" i="34" s="1"/>
  <c r="T24" i="20"/>
  <c r="K58" i="34" s="1"/>
  <c r="O24" i="20"/>
  <c r="F58" i="34" s="1"/>
  <c r="W24" i="20"/>
  <c r="N58" i="34" s="1"/>
  <c r="X24" i="20"/>
  <c r="O58" i="34" s="1"/>
  <c r="Y24" i="20"/>
  <c r="P58" i="34" s="1"/>
  <c r="R24" i="20"/>
  <c r="I58" i="34" s="1"/>
  <c r="S24" i="20"/>
  <c r="J58" i="34" s="1"/>
  <c r="U24" i="20"/>
  <c r="L58" i="34" s="1"/>
  <c r="P24" i="20"/>
  <c r="G58" i="34" s="1"/>
  <c r="Q24" i="20"/>
  <c r="H58" i="34" s="1"/>
  <c r="M22" i="20"/>
  <c r="D56" i="34" s="1"/>
  <c r="N22" i="20"/>
  <c r="E56" i="34" s="1"/>
  <c r="V22" i="20"/>
  <c r="M56" i="34" s="1"/>
  <c r="O22" i="20"/>
  <c r="F56" i="34" s="1"/>
  <c r="W22" i="20"/>
  <c r="N56" i="34" s="1"/>
  <c r="P22" i="20"/>
  <c r="G56" i="34" s="1"/>
  <c r="Q22" i="20"/>
  <c r="H56" i="34" s="1"/>
  <c r="Y22" i="20"/>
  <c r="P56" i="34" s="1"/>
  <c r="S22" i="20"/>
  <c r="J56" i="34" s="1"/>
  <c r="T22" i="20"/>
  <c r="K56" i="34" s="1"/>
  <c r="U22" i="20"/>
  <c r="L56" i="34" s="1"/>
  <c r="X22" i="20"/>
  <c r="O56" i="34" s="1"/>
  <c r="R22" i="20"/>
  <c r="I56" i="34" s="1"/>
  <c r="M23" i="20"/>
  <c r="D57" i="34" s="1"/>
  <c r="R23" i="20"/>
  <c r="I57" i="34" s="1"/>
  <c r="S23" i="20"/>
  <c r="J57" i="34" s="1"/>
  <c r="U23" i="20"/>
  <c r="L57" i="34" s="1"/>
  <c r="N23" i="20"/>
  <c r="E57" i="34" s="1"/>
  <c r="V23" i="20"/>
  <c r="M57" i="34" s="1"/>
  <c r="O23" i="20"/>
  <c r="F57" i="34" s="1"/>
  <c r="W23" i="20"/>
  <c r="N57" i="34" s="1"/>
  <c r="P23" i="20"/>
  <c r="G57" i="34" s="1"/>
  <c r="X23" i="20"/>
  <c r="O57" i="34" s="1"/>
  <c r="Q23" i="20"/>
  <c r="H57" i="34" s="1"/>
  <c r="Y23" i="20"/>
  <c r="P57" i="34" s="1"/>
  <c r="T23" i="20"/>
  <c r="K57" i="34" s="1"/>
  <c r="M19" i="20"/>
  <c r="D53" i="34" s="1"/>
  <c r="R19" i="20"/>
  <c r="I53" i="34" s="1"/>
  <c r="S19" i="20"/>
  <c r="J53" i="34" s="1"/>
  <c r="U19" i="20"/>
  <c r="L53" i="34" s="1"/>
  <c r="V19" i="20"/>
  <c r="M53" i="34" s="1"/>
  <c r="T19" i="20"/>
  <c r="K53" i="34" s="1"/>
  <c r="N19" i="20"/>
  <c r="E53" i="34" s="1"/>
  <c r="O19" i="20"/>
  <c r="F53" i="34" s="1"/>
  <c r="W19" i="20"/>
  <c r="N53" i="34" s="1"/>
  <c r="P19" i="20"/>
  <c r="G53" i="34" s="1"/>
  <c r="X19" i="20"/>
  <c r="O53" i="34" s="1"/>
  <c r="Q19" i="20"/>
  <c r="H53" i="34" s="1"/>
  <c r="Y19" i="20"/>
  <c r="P53" i="34" s="1"/>
  <c r="D52" i="34"/>
  <c r="E52" i="34"/>
  <c r="M52" i="34"/>
  <c r="H52" i="34"/>
  <c r="I52" i="34"/>
  <c r="F52" i="34"/>
  <c r="N52" i="34"/>
  <c r="G52" i="34"/>
  <c r="O52" i="34"/>
  <c r="P52" i="34"/>
  <c r="J52" i="34"/>
  <c r="K52" i="34"/>
  <c r="L52" i="34"/>
  <c r="M14" i="20"/>
  <c r="D48" i="34" s="1"/>
  <c r="N14" i="20"/>
  <c r="E48" i="34" s="1"/>
  <c r="V14" i="20"/>
  <c r="M48" i="34" s="1"/>
  <c r="Q14" i="20"/>
  <c r="H48" i="34" s="1"/>
  <c r="R14" i="20"/>
  <c r="I48" i="34" s="1"/>
  <c r="S14" i="20"/>
  <c r="J48" i="34" s="1"/>
  <c r="U14" i="20"/>
  <c r="L48" i="34" s="1"/>
  <c r="O14" i="20"/>
  <c r="F48" i="34" s="1"/>
  <c r="W14" i="20"/>
  <c r="N48" i="34" s="1"/>
  <c r="Y14" i="20"/>
  <c r="P48" i="34" s="1"/>
  <c r="P14" i="20"/>
  <c r="G48" i="34" s="1"/>
  <c r="X14" i="20"/>
  <c r="O48" i="34" s="1"/>
  <c r="T14" i="20"/>
  <c r="K48" i="34" s="1"/>
  <c r="M15" i="20"/>
  <c r="D49" i="34" s="1"/>
  <c r="R15" i="20"/>
  <c r="I49" i="34" s="1"/>
  <c r="X15" i="20"/>
  <c r="O49" i="34" s="1"/>
  <c r="S15" i="20"/>
  <c r="J49" i="34" s="1"/>
  <c r="N15" i="20"/>
  <c r="E49" i="34" s="1"/>
  <c r="O15" i="20"/>
  <c r="F49" i="34" s="1"/>
  <c r="P15" i="20"/>
  <c r="G49" i="34" s="1"/>
  <c r="Q15" i="20"/>
  <c r="H49" i="34" s="1"/>
  <c r="T15" i="20"/>
  <c r="K49" i="34" s="1"/>
  <c r="U15" i="20"/>
  <c r="L49" i="34" s="1"/>
  <c r="V15" i="20"/>
  <c r="M49" i="34" s="1"/>
  <c r="W15" i="20"/>
  <c r="N49" i="34" s="1"/>
  <c r="Y15" i="20"/>
  <c r="P49" i="34" s="1"/>
  <c r="M9" i="20"/>
  <c r="D43" i="34" s="1"/>
  <c r="E43" i="34"/>
  <c r="V9" i="20"/>
  <c r="M43" i="34" s="1"/>
  <c r="G43" i="34"/>
  <c r="H43" i="34"/>
  <c r="I43" i="34"/>
  <c r="S9" i="20"/>
  <c r="J43" i="34" s="1"/>
  <c r="L43" i="34"/>
  <c r="F43" i="34"/>
  <c r="N43" i="34"/>
  <c r="O43" i="34"/>
  <c r="Y9" i="20"/>
  <c r="P43" i="34" s="1"/>
  <c r="K43" i="34"/>
  <c r="M8" i="20"/>
  <c r="D42" i="34" s="1"/>
  <c r="E42" i="34"/>
  <c r="M42" i="34"/>
  <c r="N42" i="34"/>
  <c r="Y8" i="20"/>
  <c r="P42" i="34" s="1"/>
  <c r="I42" i="34"/>
  <c r="F42" i="34"/>
  <c r="G42" i="34"/>
  <c r="O42" i="34"/>
  <c r="S8" i="20"/>
  <c r="J42" i="34" s="1"/>
  <c r="H42" i="34"/>
  <c r="K42" i="34"/>
  <c r="L42" i="34"/>
  <c r="M7" i="20"/>
  <c r="D41" i="34" s="1"/>
  <c r="N7" i="20"/>
  <c r="V7" i="20"/>
  <c r="Q7" i="20"/>
  <c r="S7" i="20"/>
  <c r="O7" i="20"/>
  <c r="W7" i="20"/>
  <c r="Y7" i="20"/>
  <c r="T7" i="20"/>
  <c r="U7" i="20"/>
  <c r="P7" i="20"/>
  <c r="X7" i="20"/>
  <c r="R7" i="20"/>
  <c r="M14" i="32"/>
  <c r="S154" i="34" s="1"/>
  <c r="Q10" i="18"/>
  <c r="H10" i="18"/>
  <c r="F25" i="6"/>
  <c r="G25" i="6" s="1"/>
  <c r="U25" i="6" s="1"/>
  <c r="F8" i="6"/>
  <c r="G8" i="6" s="1"/>
  <c r="Y8" i="6" s="1"/>
  <c r="F9" i="6"/>
  <c r="G9" i="6" s="1"/>
  <c r="X9" i="6" s="1"/>
  <c r="K10" i="18"/>
  <c r="F47" i="6"/>
  <c r="G47" i="6" s="1"/>
  <c r="T47" i="6" s="1"/>
  <c r="F16" i="6"/>
  <c r="G16" i="6" s="1"/>
  <c r="T16" i="6" s="1"/>
  <c r="M10" i="18"/>
  <c r="N10" i="18"/>
  <c r="R13" i="32"/>
  <c r="V22" i="4"/>
  <c r="D14" i="34"/>
  <c r="N19" i="5"/>
  <c r="I153" i="34"/>
  <c r="I154" i="34" s="1"/>
  <c r="S13" i="32"/>
  <c r="N163" i="34"/>
  <c r="V22" i="8"/>
  <c r="V23" i="8" s="1"/>
  <c r="F158" i="34"/>
  <c r="N13" i="8"/>
  <c r="L158" i="34"/>
  <c r="T13" i="8"/>
  <c r="M153" i="34"/>
  <c r="M154" i="34" s="1"/>
  <c r="W13" i="32"/>
  <c r="L36" i="6"/>
  <c r="P36" i="7"/>
  <c r="L51" i="6"/>
  <c r="O14" i="34"/>
  <c r="Y19" i="5"/>
  <c r="Q20" i="33"/>
  <c r="G24" i="34"/>
  <c r="J153" i="34"/>
  <c r="J154" i="34" s="1"/>
  <c r="T13" i="32"/>
  <c r="K158" i="34"/>
  <c r="S13" i="8"/>
  <c r="G153" i="34"/>
  <c r="G154" i="34" s="1"/>
  <c r="Q13" i="32"/>
  <c r="Z20" i="33"/>
  <c r="P24" i="34"/>
  <c r="U19" i="5"/>
  <c r="K14" i="34"/>
  <c r="G14" i="34"/>
  <c r="Q19" i="5"/>
  <c r="N24" i="34"/>
  <c r="X20" i="33"/>
  <c r="O10" i="18"/>
  <c r="D24" i="34"/>
  <c r="N20" i="33"/>
  <c r="M21" i="33"/>
  <c r="E10" i="18"/>
  <c r="W13" i="8"/>
  <c r="O158" i="34"/>
  <c r="K153" i="34"/>
  <c r="K154" i="34" s="1"/>
  <c r="U13" i="32"/>
  <c r="J24" i="34"/>
  <c r="T20" i="33"/>
  <c r="R19" i="5"/>
  <c r="H14" i="34"/>
  <c r="N14" i="34"/>
  <c r="X19" i="5"/>
  <c r="L24" i="34"/>
  <c r="V20" i="33"/>
  <c r="D163" i="34"/>
  <c r="L22" i="8"/>
  <c r="F163" i="34"/>
  <c r="N22" i="8"/>
  <c r="N23" i="8" s="1"/>
  <c r="Y20" i="33"/>
  <c r="O24" i="34"/>
  <c r="L13" i="8"/>
  <c r="D158" i="34"/>
  <c r="R20" i="33"/>
  <c r="H24" i="34"/>
  <c r="W26" i="6"/>
  <c r="M26" i="6"/>
  <c r="P26" i="6"/>
  <c r="X26" i="6"/>
  <c r="Q26" i="6"/>
  <c r="Y26" i="6"/>
  <c r="N26" i="6"/>
  <c r="V26" i="6"/>
  <c r="R26" i="6"/>
  <c r="T26" i="6"/>
  <c r="U26" i="6"/>
  <c r="S26" i="6"/>
  <c r="K163" i="34"/>
  <c r="S22" i="8"/>
  <c r="S23" i="8" s="1"/>
  <c r="H158" i="34"/>
  <c r="P13" i="8"/>
  <c r="J158" i="34"/>
  <c r="R13" i="8"/>
  <c r="S20" i="33"/>
  <c r="I24" i="34"/>
  <c r="S7" i="6"/>
  <c r="T7" i="6"/>
  <c r="U7" i="6"/>
  <c r="R7" i="6"/>
  <c r="M7" i="6"/>
  <c r="P7" i="6"/>
  <c r="V7" i="6"/>
  <c r="X7" i="6"/>
  <c r="O7" i="6"/>
  <c r="N7" i="6"/>
  <c r="Q7" i="6"/>
  <c r="W7" i="6"/>
  <c r="Y7" i="6"/>
  <c r="O153" i="34"/>
  <c r="O154" i="34" s="1"/>
  <c r="Y13" i="32"/>
  <c r="L153" i="34"/>
  <c r="L154" i="34" s="1"/>
  <c r="V13" i="32"/>
  <c r="S19" i="5"/>
  <c r="I14" i="34"/>
  <c r="P153" i="34"/>
  <c r="P154" i="34" s="1"/>
  <c r="Z13" i="32"/>
  <c r="M163" i="34"/>
  <c r="U22" i="8"/>
  <c r="U23" i="8" s="1"/>
  <c r="E163" i="34"/>
  <c r="M22" i="8"/>
  <c r="M23" i="8" s="1"/>
  <c r="Q13" i="8"/>
  <c r="I158" i="34"/>
  <c r="X13" i="8"/>
  <c r="P158" i="34"/>
  <c r="D154" i="34"/>
  <c r="Z19" i="5"/>
  <c r="P14" i="34"/>
  <c r="O20" i="33"/>
  <c r="E24" i="34"/>
  <c r="E153" i="34"/>
  <c r="E154" i="34" s="1"/>
  <c r="O13" i="32"/>
  <c r="N153" i="34"/>
  <c r="N154" i="34" s="1"/>
  <c r="X13" i="32"/>
  <c r="L163" i="34"/>
  <c r="T22" i="8"/>
  <c r="T23" i="8" s="1"/>
  <c r="R22" i="8"/>
  <c r="R23" i="8" s="1"/>
  <c r="J163" i="34"/>
  <c r="N158" i="34"/>
  <c r="V13" i="8"/>
  <c r="E158" i="34"/>
  <c r="M13" i="8"/>
  <c r="F14" i="34"/>
  <c r="P19" i="5"/>
  <c r="P10" i="18"/>
  <c r="X22" i="8"/>
  <c r="X23" i="8" s="1"/>
  <c r="P164" i="34"/>
  <c r="B79" i="34"/>
  <c r="B80" i="34" s="1"/>
  <c r="B189" i="34" s="1"/>
  <c r="P16" i="6"/>
  <c r="Q16" i="6"/>
  <c r="Y16" i="6"/>
  <c r="N16" i="6"/>
  <c r="M16" i="6"/>
  <c r="M24" i="34"/>
  <c r="W20" i="33"/>
  <c r="M14" i="34"/>
  <c r="W19" i="5"/>
  <c r="O22" i="8"/>
  <c r="O23" i="8" s="1"/>
  <c r="G164" i="34"/>
  <c r="K24" i="34"/>
  <c r="U20" i="33"/>
  <c r="S17" i="6"/>
  <c r="T17" i="6"/>
  <c r="U17" i="6"/>
  <c r="R17" i="6"/>
  <c r="X17" i="6"/>
  <c r="N17" i="6"/>
  <c r="M17" i="6"/>
  <c r="P17" i="6"/>
  <c r="W17" i="6"/>
  <c r="O17" i="6"/>
  <c r="Q17" i="6"/>
  <c r="V17" i="6"/>
  <c r="Y17" i="6"/>
  <c r="P48" i="6"/>
  <c r="X48" i="6"/>
  <c r="Q48" i="6"/>
  <c r="Y48" i="6"/>
  <c r="R48" i="6"/>
  <c r="I27" i="34" s="1"/>
  <c r="M48" i="6"/>
  <c r="D27" i="34" s="1"/>
  <c r="O48" i="6"/>
  <c r="W48" i="6"/>
  <c r="T48" i="6"/>
  <c r="K27" i="34" s="1"/>
  <c r="V48" i="6"/>
  <c r="S48" i="6"/>
  <c r="J27" i="34" s="1"/>
  <c r="U48" i="6"/>
  <c r="L27" i="34" s="1"/>
  <c r="N48" i="6"/>
  <c r="F153" i="10"/>
  <c r="G153" i="10" s="1"/>
  <c r="F159" i="10"/>
  <c r="G159" i="10" s="1"/>
  <c r="F171" i="10"/>
  <c r="G171" i="10" s="1"/>
  <c r="F57" i="10"/>
  <c r="G57" i="10" s="1"/>
  <c r="F60" i="10"/>
  <c r="G60" i="10" s="1"/>
  <c r="F66" i="10"/>
  <c r="G66" i="10" s="1"/>
  <c r="F70" i="10"/>
  <c r="G70" i="10" s="1"/>
  <c r="F73" i="10"/>
  <c r="G73" i="10" s="1"/>
  <c r="F76" i="10"/>
  <c r="G76" i="10" s="1"/>
  <c r="F88" i="10"/>
  <c r="G88" i="10" s="1"/>
  <c r="F94" i="10"/>
  <c r="G94" i="10" s="1"/>
  <c r="F11" i="10"/>
  <c r="G11" i="10" s="1"/>
  <c r="L194" i="10"/>
  <c r="F157" i="10"/>
  <c r="G157" i="10" s="1"/>
  <c r="F55" i="10"/>
  <c r="G55" i="10" s="1"/>
  <c r="F82" i="10"/>
  <c r="G82" i="10" s="1"/>
  <c r="F86" i="10"/>
  <c r="G86" i="10" s="1"/>
  <c r="F98" i="10"/>
  <c r="G98" i="10" s="1"/>
  <c r="F102" i="10"/>
  <c r="G102" i="10" s="1"/>
  <c r="F35" i="10"/>
  <c r="G35" i="10" s="1"/>
  <c r="F12" i="10"/>
  <c r="G12" i="10" s="1"/>
  <c r="L188" i="10"/>
  <c r="F183" i="10"/>
  <c r="G183" i="10" s="1"/>
  <c r="F139" i="10"/>
  <c r="G139" i="10" s="1"/>
  <c r="F58" i="10"/>
  <c r="G58" i="10" s="1"/>
  <c r="F71" i="10"/>
  <c r="G71" i="10" s="1"/>
  <c r="F74" i="10"/>
  <c r="G74" i="10" s="1"/>
  <c r="F105" i="10"/>
  <c r="G105" i="10" s="1"/>
  <c r="F108" i="10"/>
  <c r="G108" i="10" s="1"/>
  <c r="F111" i="10"/>
  <c r="G111" i="10" s="1"/>
  <c r="F52" i="10"/>
  <c r="G52" i="10" s="1"/>
  <c r="F31" i="10"/>
  <c r="G31" i="10" s="1"/>
  <c r="F13" i="10"/>
  <c r="G13" i="10" s="1"/>
  <c r="L117" i="10"/>
  <c r="F54" i="10"/>
  <c r="G54" i="10" s="1"/>
  <c r="F104" i="10"/>
  <c r="G104" i="10" s="1"/>
  <c r="F110" i="10"/>
  <c r="G110" i="10" s="1"/>
  <c r="F112" i="10"/>
  <c r="G112" i="10" s="1"/>
  <c r="F32" i="10"/>
  <c r="G32" i="10" s="1"/>
  <c r="F7" i="10"/>
  <c r="G7" i="10" s="1"/>
  <c r="F185" i="10"/>
  <c r="G185" i="10" s="1"/>
  <c r="F56" i="10"/>
  <c r="G56" i="10" s="1"/>
  <c r="F72" i="10"/>
  <c r="G72" i="10" s="1"/>
  <c r="G114" i="10"/>
  <c r="F34" i="10"/>
  <c r="G34" i="10" s="1"/>
  <c r="F8" i="10"/>
  <c r="G8" i="10" s="1"/>
  <c r="L175" i="10"/>
  <c r="F68" i="10"/>
  <c r="G68" i="10" s="1"/>
  <c r="F77" i="10"/>
  <c r="G77" i="10" s="1"/>
  <c r="F9" i="10"/>
  <c r="G9" i="10" s="1"/>
  <c r="L163" i="10"/>
  <c r="F158" i="10"/>
  <c r="G158" i="10" s="1"/>
  <c r="F61" i="10"/>
  <c r="G61" i="10" s="1"/>
  <c r="F64" i="10"/>
  <c r="G64" i="10" s="1"/>
  <c r="F80" i="10"/>
  <c r="G80" i="10" s="1"/>
  <c r="F84" i="10"/>
  <c r="G84" i="10" s="1"/>
  <c r="F100" i="10"/>
  <c r="G100" i="10" s="1"/>
  <c r="F87" i="10"/>
  <c r="G87" i="10" s="1"/>
  <c r="G90" i="10"/>
  <c r="F10" i="10"/>
  <c r="G10" i="10" s="1"/>
  <c r="F172" i="10"/>
  <c r="G172" i="10" s="1"/>
  <c r="F140" i="10"/>
  <c r="G140" i="10" s="1"/>
  <c r="F75" i="10"/>
  <c r="G75" i="10" s="1"/>
  <c r="F92" i="10"/>
  <c r="G92" i="10" s="1"/>
  <c r="F96" i="10"/>
  <c r="G96" i="10" s="1"/>
  <c r="F106" i="10"/>
  <c r="G106" i="10" s="1"/>
  <c r="F109" i="10"/>
  <c r="G109" i="10" s="1"/>
  <c r="F155" i="10"/>
  <c r="G155" i="10" s="1"/>
  <c r="F14" i="10"/>
  <c r="G14" i="10" s="1"/>
  <c r="L143" i="10"/>
  <c r="F62" i="10"/>
  <c r="G62" i="10" s="1"/>
  <c r="F89" i="10"/>
  <c r="G89" i="10" s="1"/>
  <c r="F93" i="10"/>
  <c r="G93" i="10" s="1"/>
  <c r="L131" i="10"/>
  <c r="F151" i="10"/>
  <c r="G151" i="10" s="1"/>
  <c r="F125" i="10"/>
  <c r="G125" i="10" s="1"/>
  <c r="F59" i="10"/>
  <c r="G59" i="10" s="1"/>
  <c r="F33" i="10"/>
  <c r="G33" i="10" s="1"/>
  <c r="F103" i="10"/>
  <c r="G103" i="10" s="1"/>
  <c r="F78" i="10"/>
  <c r="G78" i="10" s="1"/>
  <c r="F127" i="10"/>
  <c r="G127" i="10" s="1"/>
  <c r="F81" i="10"/>
  <c r="G81" i="10" s="1"/>
  <c r="F95" i="10"/>
  <c r="G95" i="10" s="1"/>
  <c r="F113" i="10"/>
  <c r="G113" i="10" s="1"/>
  <c r="F126" i="10"/>
  <c r="G126" i="10" s="1"/>
  <c r="G97" i="10"/>
  <c r="F69" i="10"/>
  <c r="G69" i="10" s="1"/>
  <c r="F99" i="10"/>
  <c r="G99" i="10" s="1"/>
  <c r="F79" i="10"/>
  <c r="G79" i="10" s="1"/>
  <c r="F101" i="10"/>
  <c r="G101" i="10" s="1"/>
  <c r="F83" i="10"/>
  <c r="G83" i="10" s="1"/>
  <c r="F63" i="10"/>
  <c r="G63" i="10" s="1"/>
  <c r="F91" i="10"/>
  <c r="G91" i="10" s="1"/>
  <c r="F107" i="10"/>
  <c r="G107" i="10" s="1"/>
  <c r="F65" i="10"/>
  <c r="G65" i="10" s="1"/>
  <c r="F154" i="10"/>
  <c r="G154" i="10" s="1"/>
  <c r="F128" i="10"/>
  <c r="G128" i="10" s="1"/>
  <c r="F85" i="10"/>
  <c r="G85" i="10" s="1"/>
  <c r="F156" i="10"/>
  <c r="G156" i="10" s="1"/>
  <c r="F53" i="10"/>
  <c r="G53" i="10" s="1"/>
  <c r="F36" i="10"/>
  <c r="G36" i="10" s="1"/>
  <c r="F184" i="10"/>
  <c r="G184" i="10" s="1"/>
  <c r="F152" i="10"/>
  <c r="G152" i="10" s="1"/>
  <c r="F67" i="10"/>
  <c r="G67" i="10" s="1"/>
  <c r="T19" i="5"/>
  <c r="J14" i="34"/>
  <c r="E14" i="34"/>
  <c r="O19" i="5"/>
  <c r="W22" i="8"/>
  <c r="W23" i="8" s="1"/>
  <c r="O164" i="34"/>
  <c r="S27" i="6"/>
  <c r="T27" i="6"/>
  <c r="U27" i="6"/>
  <c r="R27" i="6"/>
  <c r="M27" i="6"/>
  <c r="P27" i="6"/>
  <c r="V27" i="6"/>
  <c r="X27" i="6"/>
  <c r="O27" i="6"/>
  <c r="Y27" i="6"/>
  <c r="N27" i="6"/>
  <c r="W27" i="6"/>
  <c r="Q27" i="6"/>
  <c r="P20" i="33"/>
  <c r="F24" i="34"/>
  <c r="L14" i="34"/>
  <c r="V19" i="5"/>
  <c r="P22" i="8"/>
  <c r="P23" i="8" s="1"/>
  <c r="H164" i="34"/>
  <c r="F10" i="18"/>
  <c r="L10" i="18"/>
  <c r="I163" i="34"/>
  <c r="Q22" i="8"/>
  <c r="Q23" i="8" s="1"/>
  <c r="M158" i="34"/>
  <c r="U13" i="8"/>
  <c r="O13" i="8"/>
  <c r="G158" i="34"/>
  <c r="C47" i="27"/>
  <c r="J5" i="34"/>
  <c r="J175" i="34" s="1"/>
  <c r="T25" i="6" l="1"/>
  <c r="V9" i="6"/>
  <c r="U9" i="6"/>
  <c r="V16" i="6"/>
  <c r="O16" i="6"/>
  <c r="R18" i="6"/>
  <c r="V18" i="6"/>
  <c r="Y18" i="6"/>
  <c r="X16" i="6"/>
  <c r="Q18" i="6"/>
  <c r="M18" i="6"/>
  <c r="X18" i="6"/>
  <c r="N18" i="6"/>
  <c r="N20" i="6" s="1"/>
  <c r="P18" i="6"/>
  <c r="W18" i="6"/>
  <c r="S18" i="6"/>
  <c r="U18" i="6"/>
  <c r="O18" i="6"/>
  <c r="O20" i="6" s="1"/>
  <c r="R8" i="6"/>
  <c r="M8" i="6"/>
  <c r="Q8" i="6"/>
  <c r="S25" i="6"/>
  <c r="Y25" i="6"/>
  <c r="Y29" i="6" s="1"/>
  <c r="V25" i="6"/>
  <c r="V29" i="6" s="1"/>
  <c r="W16" i="6"/>
  <c r="W20" i="6" s="1"/>
  <c r="W21" i="6" s="1"/>
  <c r="Q25" i="6"/>
  <c r="Q29" i="6" s="1"/>
  <c r="O25" i="6"/>
  <c r="O29" i="6" s="1"/>
  <c r="W25" i="6"/>
  <c r="P25" i="6"/>
  <c r="P29" i="6" s="1"/>
  <c r="U16" i="6"/>
  <c r="U20" i="6" s="1"/>
  <c r="N25" i="6"/>
  <c r="N29" i="6" s="1"/>
  <c r="R16" i="6"/>
  <c r="X25" i="6"/>
  <c r="R25" i="6"/>
  <c r="S16" i="6"/>
  <c r="S20" i="6" s="1"/>
  <c r="J82" i="34" s="1"/>
  <c r="M25" i="6"/>
  <c r="M29" i="6" s="1"/>
  <c r="D76" i="34"/>
  <c r="M43" i="20"/>
  <c r="E20" i="18" s="1"/>
  <c r="O41" i="34"/>
  <c r="X43" i="20"/>
  <c r="H41" i="34"/>
  <c r="Q43" i="20"/>
  <c r="N41" i="34"/>
  <c r="W43" i="20"/>
  <c r="G41" i="34"/>
  <c r="P43" i="20"/>
  <c r="V43" i="20"/>
  <c r="M41" i="34"/>
  <c r="P41" i="34"/>
  <c r="Y43" i="20"/>
  <c r="J41" i="34"/>
  <c r="S43" i="20"/>
  <c r="L41" i="34"/>
  <c r="U43" i="20"/>
  <c r="N43" i="20"/>
  <c r="E41" i="34"/>
  <c r="F41" i="34"/>
  <c r="O43" i="20"/>
  <c r="I41" i="34"/>
  <c r="R43" i="20"/>
  <c r="K41" i="34"/>
  <c r="T43" i="20"/>
  <c r="V47" i="6"/>
  <c r="M26" i="34" s="1"/>
  <c r="P47" i="6"/>
  <c r="G26" i="34" s="1"/>
  <c r="W47" i="6"/>
  <c r="N26" i="34" s="1"/>
  <c r="Q47" i="6"/>
  <c r="H26" i="34" s="1"/>
  <c r="M47" i="6"/>
  <c r="D26" i="34" s="1"/>
  <c r="N47" i="6"/>
  <c r="E26" i="34" s="1"/>
  <c r="X47" i="6"/>
  <c r="O26" i="34" s="1"/>
  <c r="S47" i="6"/>
  <c r="J26" i="34" s="1"/>
  <c r="O47" i="6"/>
  <c r="F26" i="34" s="1"/>
  <c r="U47" i="6"/>
  <c r="R47" i="6"/>
  <c r="I26" i="34" s="1"/>
  <c r="Y47" i="6"/>
  <c r="P26" i="34" s="1"/>
  <c r="X8" i="6"/>
  <c r="X11" i="6" s="1"/>
  <c r="O81" i="34" s="1"/>
  <c r="P8" i="6"/>
  <c r="U8" i="6"/>
  <c r="Y9" i="6"/>
  <c r="Y11" i="6" s="1"/>
  <c r="P81" i="34" s="1"/>
  <c r="R9" i="6"/>
  <c r="M9" i="6"/>
  <c r="M11" i="6" s="1"/>
  <c r="D81" i="34" s="1"/>
  <c r="T9" i="6"/>
  <c r="W9" i="6"/>
  <c r="P9" i="6"/>
  <c r="Q9" i="6"/>
  <c r="Q11" i="6" s="1"/>
  <c r="H81" i="34" s="1"/>
  <c r="N9" i="6"/>
  <c r="N11" i="6" s="1"/>
  <c r="E81" i="34" s="1"/>
  <c r="S9" i="6"/>
  <c r="O9" i="6"/>
  <c r="T8" i="6"/>
  <c r="O8" i="6"/>
  <c r="V8" i="6"/>
  <c r="V11" i="6" s="1"/>
  <c r="M81" i="34" s="1"/>
  <c r="S8" i="6"/>
  <c r="N8" i="6"/>
  <c r="W8" i="6"/>
  <c r="V20" i="6"/>
  <c r="V21" i="6" s="1"/>
  <c r="M22" i="33"/>
  <c r="B164" i="34"/>
  <c r="R20" i="6"/>
  <c r="I82" i="34" s="1"/>
  <c r="P20" i="6"/>
  <c r="P21" i="6" s="1"/>
  <c r="T36" i="10"/>
  <c r="U36" i="10"/>
  <c r="N36" i="10"/>
  <c r="V36" i="10"/>
  <c r="S36" i="10"/>
  <c r="Q36" i="10"/>
  <c r="R36" i="10"/>
  <c r="W36" i="10"/>
  <c r="P36" i="10"/>
  <c r="O36" i="10"/>
  <c r="X36" i="10"/>
  <c r="M36" i="10"/>
  <c r="Y36" i="10"/>
  <c r="T91" i="10"/>
  <c r="K124" i="34" s="1"/>
  <c r="U91" i="10"/>
  <c r="L124" i="34" s="1"/>
  <c r="N91" i="10"/>
  <c r="E124" i="34" s="1"/>
  <c r="V91" i="10"/>
  <c r="M124" i="34" s="1"/>
  <c r="S91" i="10"/>
  <c r="J124" i="34" s="1"/>
  <c r="Q91" i="10"/>
  <c r="H124" i="34" s="1"/>
  <c r="R91" i="10"/>
  <c r="I124" i="34" s="1"/>
  <c r="W91" i="10"/>
  <c r="N124" i="34" s="1"/>
  <c r="P91" i="10"/>
  <c r="G124" i="34" s="1"/>
  <c r="M91" i="10"/>
  <c r="D124" i="34" s="1"/>
  <c r="O91" i="10"/>
  <c r="F124" i="34" s="1"/>
  <c r="Y91" i="10"/>
  <c r="P124" i="34" s="1"/>
  <c r="X91" i="10"/>
  <c r="O124" i="34" s="1"/>
  <c r="R126" i="10"/>
  <c r="I34" i="34" s="1"/>
  <c r="S126" i="10"/>
  <c r="J34" i="34" s="1"/>
  <c r="T126" i="10"/>
  <c r="K34" i="34" s="1"/>
  <c r="M126" i="10"/>
  <c r="D34" i="34" s="1"/>
  <c r="Q126" i="10"/>
  <c r="H34" i="34" s="1"/>
  <c r="Y126" i="10"/>
  <c r="P34" i="34" s="1"/>
  <c r="X126" i="10"/>
  <c r="O34" i="34" s="1"/>
  <c r="N126" i="10"/>
  <c r="E34" i="34" s="1"/>
  <c r="W126" i="10"/>
  <c r="N34" i="34" s="1"/>
  <c r="O126" i="10"/>
  <c r="F34" i="34" s="1"/>
  <c r="P126" i="10"/>
  <c r="G34" i="34" s="1"/>
  <c r="V126" i="10"/>
  <c r="M34" i="34" s="1"/>
  <c r="U126" i="10"/>
  <c r="L34" i="34" s="1"/>
  <c r="P33" i="10"/>
  <c r="X33" i="10"/>
  <c r="Q33" i="10"/>
  <c r="Y33" i="10"/>
  <c r="R33" i="10"/>
  <c r="O33" i="10"/>
  <c r="W33" i="10"/>
  <c r="U33" i="10"/>
  <c r="V33" i="10"/>
  <c r="T33" i="10"/>
  <c r="M33" i="10"/>
  <c r="N33" i="10"/>
  <c r="S33" i="10"/>
  <c r="R140" i="10"/>
  <c r="I39" i="34" s="1"/>
  <c r="S140" i="10"/>
  <c r="J39" i="34" s="1"/>
  <c r="T140" i="10"/>
  <c r="K39" i="34" s="1"/>
  <c r="Q140" i="10"/>
  <c r="H39" i="34" s="1"/>
  <c r="Y140" i="10"/>
  <c r="P39" i="34" s="1"/>
  <c r="X140" i="10"/>
  <c r="O39" i="34" s="1"/>
  <c r="N140" i="10"/>
  <c r="E39" i="34" s="1"/>
  <c r="W140" i="10"/>
  <c r="N39" i="34" s="1"/>
  <c r="O140" i="10"/>
  <c r="F39" i="34" s="1"/>
  <c r="P140" i="10"/>
  <c r="G39" i="34" s="1"/>
  <c r="M140" i="10"/>
  <c r="D39" i="34" s="1"/>
  <c r="U140" i="10"/>
  <c r="L39" i="34" s="1"/>
  <c r="V140" i="10"/>
  <c r="M39" i="34" s="1"/>
  <c r="P64" i="10"/>
  <c r="G97" i="34" s="1"/>
  <c r="X64" i="10"/>
  <c r="O97" i="34" s="1"/>
  <c r="Q64" i="10"/>
  <c r="H97" i="34" s="1"/>
  <c r="Y64" i="10"/>
  <c r="P97" i="34" s="1"/>
  <c r="R64" i="10"/>
  <c r="I97" i="34" s="1"/>
  <c r="O64" i="10"/>
  <c r="F97" i="34" s="1"/>
  <c r="W64" i="10"/>
  <c r="N97" i="34" s="1"/>
  <c r="U64" i="10"/>
  <c r="L97" i="34" s="1"/>
  <c r="V64" i="10"/>
  <c r="M97" i="34" s="1"/>
  <c r="T64" i="10"/>
  <c r="K97" i="34" s="1"/>
  <c r="M64" i="10"/>
  <c r="D97" i="34" s="1"/>
  <c r="N64" i="10"/>
  <c r="E97" i="34" s="1"/>
  <c r="S64" i="10"/>
  <c r="J97" i="34" s="1"/>
  <c r="T8" i="10"/>
  <c r="U8" i="10"/>
  <c r="N8" i="10"/>
  <c r="V8" i="10"/>
  <c r="S8" i="10"/>
  <c r="Q8" i="10"/>
  <c r="R8" i="10"/>
  <c r="W8" i="10"/>
  <c r="P8" i="10"/>
  <c r="O8" i="10"/>
  <c r="X8" i="10"/>
  <c r="Y8" i="10"/>
  <c r="M8" i="10"/>
  <c r="T32" i="10"/>
  <c r="U32" i="10"/>
  <c r="N32" i="10"/>
  <c r="V32" i="10"/>
  <c r="S32" i="10"/>
  <c r="Q32" i="10"/>
  <c r="R32" i="10"/>
  <c r="W32" i="10"/>
  <c r="P32" i="10"/>
  <c r="M32" i="10"/>
  <c r="O32" i="10"/>
  <c r="X32" i="10"/>
  <c r="Y32" i="10"/>
  <c r="P52" i="10"/>
  <c r="G85" i="34" s="1"/>
  <c r="X52" i="10"/>
  <c r="O85" i="34" s="1"/>
  <c r="Q52" i="10"/>
  <c r="H85" i="34" s="1"/>
  <c r="Y52" i="10"/>
  <c r="P85" i="34" s="1"/>
  <c r="R52" i="10"/>
  <c r="I85" i="34" s="1"/>
  <c r="O52" i="10"/>
  <c r="F85" i="34" s="1"/>
  <c r="W52" i="10"/>
  <c r="N85" i="34" s="1"/>
  <c r="U52" i="10"/>
  <c r="L85" i="34" s="1"/>
  <c r="V52" i="10"/>
  <c r="M85" i="34" s="1"/>
  <c r="M52" i="10"/>
  <c r="D85" i="34" s="1"/>
  <c r="T52" i="10"/>
  <c r="K85" i="34" s="1"/>
  <c r="S52" i="10"/>
  <c r="J85" i="34" s="1"/>
  <c r="N52" i="10"/>
  <c r="E85" i="34" s="1"/>
  <c r="R183" i="10"/>
  <c r="M183" i="10"/>
  <c r="S183" i="10"/>
  <c r="T183" i="10"/>
  <c r="Q183" i="10"/>
  <c r="Y183" i="10"/>
  <c r="X183" i="10"/>
  <c r="N183" i="10"/>
  <c r="W183" i="10"/>
  <c r="O183" i="10"/>
  <c r="P183" i="10"/>
  <c r="V183" i="10"/>
  <c r="U183" i="10"/>
  <c r="T55" i="10"/>
  <c r="K88" i="34" s="1"/>
  <c r="U55" i="10"/>
  <c r="L88" i="34" s="1"/>
  <c r="N55" i="10"/>
  <c r="E88" i="34" s="1"/>
  <c r="V55" i="10"/>
  <c r="M88" i="34" s="1"/>
  <c r="S55" i="10"/>
  <c r="J88" i="34" s="1"/>
  <c r="Q55" i="10"/>
  <c r="H88" i="34" s="1"/>
  <c r="R55" i="10"/>
  <c r="I88" i="34" s="1"/>
  <c r="W55" i="10"/>
  <c r="N88" i="34" s="1"/>
  <c r="P55" i="10"/>
  <c r="G88" i="34" s="1"/>
  <c r="M55" i="10"/>
  <c r="D88" i="34" s="1"/>
  <c r="O55" i="10"/>
  <c r="F88" i="34" s="1"/>
  <c r="X55" i="10"/>
  <c r="O88" i="34" s="1"/>
  <c r="Y55" i="10"/>
  <c r="P88" i="34" s="1"/>
  <c r="T73" i="10"/>
  <c r="K106" i="34" s="1"/>
  <c r="U73" i="10"/>
  <c r="L106" i="34" s="1"/>
  <c r="N73" i="10"/>
  <c r="E106" i="34" s="1"/>
  <c r="V73" i="10"/>
  <c r="M106" i="34" s="1"/>
  <c r="S73" i="10"/>
  <c r="J106" i="34" s="1"/>
  <c r="Y73" i="10"/>
  <c r="P106" i="34" s="1"/>
  <c r="O73" i="10"/>
  <c r="F106" i="34" s="1"/>
  <c r="X73" i="10"/>
  <c r="O106" i="34" s="1"/>
  <c r="W73" i="10"/>
  <c r="N106" i="34" s="1"/>
  <c r="R73" i="10"/>
  <c r="I106" i="34" s="1"/>
  <c r="P73" i="10"/>
  <c r="G106" i="34" s="1"/>
  <c r="Q73" i="10"/>
  <c r="H106" i="34" s="1"/>
  <c r="M73" i="10"/>
  <c r="D106" i="34" s="1"/>
  <c r="S50" i="6"/>
  <c r="Q14" i="8"/>
  <c r="Q27" i="8"/>
  <c r="S20" i="5"/>
  <c r="J12" i="18"/>
  <c r="P20" i="5"/>
  <c r="G12" i="18"/>
  <c r="X29" i="6"/>
  <c r="S14" i="8"/>
  <c r="S27" i="8"/>
  <c r="N27" i="8"/>
  <c r="N14" i="8"/>
  <c r="T80" i="34"/>
  <c r="V14" i="8"/>
  <c r="V27" i="8"/>
  <c r="M15" i="32"/>
  <c r="F25" i="34"/>
  <c r="O20" i="5"/>
  <c r="F12" i="18"/>
  <c r="T53" i="10"/>
  <c r="K86" i="34" s="1"/>
  <c r="U53" i="10"/>
  <c r="L86" i="34" s="1"/>
  <c r="N53" i="10"/>
  <c r="E86" i="34" s="1"/>
  <c r="V53" i="10"/>
  <c r="M86" i="34" s="1"/>
  <c r="S53" i="10"/>
  <c r="J86" i="34" s="1"/>
  <c r="Y53" i="10"/>
  <c r="P86" i="34" s="1"/>
  <c r="M53" i="10"/>
  <c r="D86" i="34" s="1"/>
  <c r="O53" i="10"/>
  <c r="F86" i="34" s="1"/>
  <c r="X53" i="10"/>
  <c r="O86" i="34" s="1"/>
  <c r="P53" i="10"/>
  <c r="G86" i="34" s="1"/>
  <c r="Q53" i="10"/>
  <c r="H86" i="34" s="1"/>
  <c r="R53" i="10"/>
  <c r="I86" i="34" s="1"/>
  <c r="W53" i="10"/>
  <c r="N86" i="34" s="1"/>
  <c r="T63" i="10"/>
  <c r="K96" i="34" s="1"/>
  <c r="U63" i="10"/>
  <c r="L96" i="34" s="1"/>
  <c r="N63" i="10"/>
  <c r="E96" i="34" s="1"/>
  <c r="V63" i="10"/>
  <c r="M96" i="34" s="1"/>
  <c r="S63" i="10"/>
  <c r="J96" i="34" s="1"/>
  <c r="Q63" i="10"/>
  <c r="H96" i="34" s="1"/>
  <c r="R63" i="10"/>
  <c r="I96" i="34" s="1"/>
  <c r="W63" i="10"/>
  <c r="N96" i="34" s="1"/>
  <c r="P63" i="10"/>
  <c r="G96" i="34" s="1"/>
  <c r="M63" i="10"/>
  <c r="D96" i="34" s="1"/>
  <c r="O63" i="10"/>
  <c r="F96" i="34" s="1"/>
  <c r="X63" i="10"/>
  <c r="O96" i="34" s="1"/>
  <c r="Y63" i="10"/>
  <c r="P96" i="34" s="1"/>
  <c r="N113" i="10"/>
  <c r="E146" i="34" s="1"/>
  <c r="V113" i="10"/>
  <c r="M146" i="34" s="1"/>
  <c r="O113" i="10"/>
  <c r="F146" i="34" s="1"/>
  <c r="W113" i="10"/>
  <c r="N146" i="34" s="1"/>
  <c r="P113" i="10"/>
  <c r="G146" i="34" s="1"/>
  <c r="X113" i="10"/>
  <c r="O146" i="34" s="1"/>
  <c r="U113" i="10"/>
  <c r="L146" i="34" s="1"/>
  <c r="Q113" i="10"/>
  <c r="H146" i="34" s="1"/>
  <c r="R113" i="10"/>
  <c r="I146" i="34" s="1"/>
  <c r="M113" i="10"/>
  <c r="D146" i="34" s="1"/>
  <c r="S113" i="10"/>
  <c r="J146" i="34" s="1"/>
  <c r="T113" i="10"/>
  <c r="K146" i="34" s="1"/>
  <c r="Y113" i="10"/>
  <c r="P146" i="34" s="1"/>
  <c r="T59" i="10"/>
  <c r="K92" i="34" s="1"/>
  <c r="U59" i="10"/>
  <c r="L92" i="34" s="1"/>
  <c r="N59" i="10"/>
  <c r="E92" i="34" s="1"/>
  <c r="V59" i="10"/>
  <c r="M92" i="34" s="1"/>
  <c r="S59" i="10"/>
  <c r="J92" i="34" s="1"/>
  <c r="Q59" i="10"/>
  <c r="H92" i="34" s="1"/>
  <c r="R59" i="10"/>
  <c r="I92" i="34" s="1"/>
  <c r="W59" i="10"/>
  <c r="N92" i="34" s="1"/>
  <c r="P59" i="10"/>
  <c r="G92" i="34" s="1"/>
  <c r="M59" i="10"/>
  <c r="D92" i="34" s="1"/>
  <c r="O59" i="10"/>
  <c r="F92" i="34" s="1"/>
  <c r="Y59" i="10"/>
  <c r="P92" i="34" s="1"/>
  <c r="X59" i="10"/>
  <c r="O92" i="34" s="1"/>
  <c r="T14" i="10"/>
  <c r="U14" i="10"/>
  <c r="N14" i="10"/>
  <c r="V14" i="10"/>
  <c r="S14" i="10"/>
  <c r="Y14" i="10"/>
  <c r="O14" i="10"/>
  <c r="X14" i="10"/>
  <c r="P14" i="10"/>
  <c r="Q14" i="10"/>
  <c r="R14" i="10"/>
  <c r="W14" i="10"/>
  <c r="M14" i="10"/>
  <c r="N172" i="10"/>
  <c r="V172" i="10"/>
  <c r="O172" i="10"/>
  <c r="W172" i="10"/>
  <c r="P172" i="10"/>
  <c r="X172" i="10"/>
  <c r="U172" i="10"/>
  <c r="T172" i="10"/>
  <c r="Y172" i="10"/>
  <c r="S172" i="10"/>
  <c r="Q172" i="10"/>
  <c r="R172" i="10"/>
  <c r="M172" i="10"/>
  <c r="T61" i="10"/>
  <c r="K94" i="34" s="1"/>
  <c r="U61" i="10"/>
  <c r="L94" i="34" s="1"/>
  <c r="N61" i="10"/>
  <c r="E94" i="34" s="1"/>
  <c r="V61" i="10"/>
  <c r="M94" i="34" s="1"/>
  <c r="S61" i="10"/>
  <c r="J94" i="34" s="1"/>
  <c r="Y61" i="10"/>
  <c r="P94" i="34" s="1"/>
  <c r="M61" i="10"/>
  <c r="D94" i="34" s="1"/>
  <c r="O61" i="10"/>
  <c r="F94" i="34" s="1"/>
  <c r="X61" i="10"/>
  <c r="O94" i="34" s="1"/>
  <c r="P61" i="10"/>
  <c r="G94" i="34" s="1"/>
  <c r="Q61" i="10"/>
  <c r="H94" i="34" s="1"/>
  <c r="R61" i="10"/>
  <c r="I94" i="34" s="1"/>
  <c r="W61" i="10"/>
  <c r="N94" i="34" s="1"/>
  <c r="T34" i="10"/>
  <c r="U34" i="10"/>
  <c r="N34" i="10"/>
  <c r="V34" i="10"/>
  <c r="S34" i="10"/>
  <c r="Y34" i="10"/>
  <c r="O34" i="10"/>
  <c r="X34" i="10"/>
  <c r="W34" i="10"/>
  <c r="R34" i="10"/>
  <c r="M34" i="10"/>
  <c r="Q34" i="10"/>
  <c r="P34" i="10"/>
  <c r="R112" i="10"/>
  <c r="I145" i="34" s="1"/>
  <c r="S112" i="10"/>
  <c r="J145" i="34" s="1"/>
  <c r="T112" i="10"/>
  <c r="K145" i="34" s="1"/>
  <c r="Q112" i="10"/>
  <c r="H145" i="34" s="1"/>
  <c r="Y112" i="10"/>
  <c r="P145" i="34" s="1"/>
  <c r="X112" i="10"/>
  <c r="O145" i="34" s="1"/>
  <c r="M112" i="10"/>
  <c r="D145" i="34" s="1"/>
  <c r="N112" i="10"/>
  <c r="E145" i="34" s="1"/>
  <c r="W112" i="10"/>
  <c r="N145" i="34" s="1"/>
  <c r="O112" i="10"/>
  <c r="F145" i="34" s="1"/>
  <c r="P112" i="10"/>
  <c r="G145" i="34" s="1"/>
  <c r="U112" i="10"/>
  <c r="L145" i="34" s="1"/>
  <c r="V112" i="10"/>
  <c r="M145" i="34" s="1"/>
  <c r="E144" i="34"/>
  <c r="M144" i="34"/>
  <c r="F144" i="34"/>
  <c r="N144" i="34"/>
  <c r="G144" i="34"/>
  <c r="O144" i="34"/>
  <c r="L144" i="34"/>
  <c r="D144" i="34"/>
  <c r="K144" i="34"/>
  <c r="Y111" i="10"/>
  <c r="P144" i="34" s="1"/>
  <c r="J144" i="34"/>
  <c r="I144" i="34"/>
  <c r="H144" i="34"/>
  <c r="N157" i="10"/>
  <c r="V157" i="10"/>
  <c r="O157" i="10"/>
  <c r="W157" i="10"/>
  <c r="P157" i="10"/>
  <c r="X157" i="10"/>
  <c r="U157" i="10"/>
  <c r="M157" i="10"/>
  <c r="T157" i="10"/>
  <c r="Y157" i="10"/>
  <c r="S157" i="10"/>
  <c r="R157" i="10"/>
  <c r="Q157" i="10"/>
  <c r="P70" i="10"/>
  <c r="G103" i="34" s="1"/>
  <c r="X70" i="10"/>
  <c r="O103" i="34" s="1"/>
  <c r="Q70" i="10"/>
  <c r="H103" i="34" s="1"/>
  <c r="Y70" i="10"/>
  <c r="P103" i="34" s="1"/>
  <c r="R70" i="10"/>
  <c r="I103" i="34" s="1"/>
  <c r="O70" i="10"/>
  <c r="F103" i="34" s="1"/>
  <c r="W70" i="10"/>
  <c r="N103" i="34" s="1"/>
  <c r="M70" i="10"/>
  <c r="D103" i="34" s="1"/>
  <c r="N70" i="10"/>
  <c r="E103" i="34" s="1"/>
  <c r="S70" i="10"/>
  <c r="J103" i="34" s="1"/>
  <c r="V70" i="10"/>
  <c r="M103" i="34" s="1"/>
  <c r="U70" i="10"/>
  <c r="L103" i="34" s="1"/>
  <c r="T70" i="10"/>
  <c r="K103" i="34" s="1"/>
  <c r="N50" i="6"/>
  <c r="E27" i="34"/>
  <c r="R156" i="10"/>
  <c r="M156" i="10"/>
  <c r="S156" i="10"/>
  <c r="T156" i="10"/>
  <c r="Q156" i="10"/>
  <c r="Y156" i="10"/>
  <c r="P156" i="10"/>
  <c r="U156" i="10"/>
  <c r="V156" i="10"/>
  <c r="O156" i="10"/>
  <c r="N156" i="10"/>
  <c r="W156" i="10"/>
  <c r="X156" i="10"/>
  <c r="T83" i="10"/>
  <c r="K116" i="34" s="1"/>
  <c r="U83" i="10"/>
  <c r="L116" i="34" s="1"/>
  <c r="N83" i="10"/>
  <c r="E116" i="34" s="1"/>
  <c r="V83" i="10"/>
  <c r="M116" i="34" s="1"/>
  <c r="S83" i="10"/>
  <c r="J116" i="34" s="1"/>
  <c r="Q83" i="10"/>
  <c r="H116" i="34" s="1"/>
  <c r="R83" i="10"/>
  <c r="I116" i="34" s="1"/>
  <c r="W83" i="10"/>
  <c r="N116" i="34" s="1"/>
  <c r="P83" i="10"/>
  <c r="G116" i="34" s="1"/>
  <c r="O83" i="10"/>
  <c r="F116" i="34" s="1"/>
  <c r="X83" i="10"/>
  <c r="O116" i="34" s="1"/>
  <c r="M83" i="10"/>
  <c r="D116" i="34" s="1"/>
  <c r="Y83" i="10"/>
  <c r="P116" i="34" s="1"/>
  <c r="T95" i="10"/>
  <c r="K128" i="34" s="1"/>
  <c r="U95" i="10"/>
  <c r="L128" i="34" s="1"/>
  <c r="N95" i="10"/>
  <c r="E128" i="34" s="1"/>
  <c r="V95" i="10"/>
  <c r="M128" i="34" s="1"/>
  <c r="S95" i="10"/>
  <c r="J128" i="34" s="1"/>
  <c r="Q95" i="10"/>
  <c r="H128" i="34" s="1"/>
  <c r="R95" i="10"/>
  <c r="I128" i="34" s="1"/>
  <c r="W95" i="10"/>
  <c r="N128" i="34" s="1"/>
  <c r="P95" i="10"/>
  <c r="G128" i="34" s="1"/>
  <c r="M95" i="10"/>
  <c r="D128" i="34" s="1"/>
  <c r="O95" i="10"/>
  <c r="F128" i="34" s="1"/>
  <c r="X95" i="10"/>
  <c r="O128" i="34" s="1"/>
  <c r="Y95" i="10"/>
  <c r="P128" i="34" s="1"/>
  <c r="N125" i="10"/>
  <c r="E33" i="34" s="1"/>
  <c r="V125" i="10"/>
  <c r="M33" i="34" s="1"/>
  <c r="O125" i="10"/>
  <c r="F33" i="34" s="1"/>
  <c r="W125" i="10"/>
  <c r="N33" i="34" s="1"/>
  <c r="P125" i="10"/>
  <c r="G33" i="34" s="1"/>
  <c r="X125" i="10"/>
  <c r="O33" i="34" s="1"/>
  <c r="U125" i="10"/>
  <c r="L33" i="34" s="1"/>
  <c r="T125" i="10"/>
  <c r="K33" i="34" s="1"/>
  <c r="Y125" i="10"/>
  <c r="P33" i="34" s="1"/>
  <c r="S125" i="10"/>
  <c r="J33" i="34" s="1"/>
  <c r="Q125" i="10"/>
  <c r="H33" i="34" s="1"/>
  <c r="M125" i="10"/>
  <c r="R125" i="10"/>
  <c r="I33" i="34" s="1"/>
  <c r="N155" i="10"/>
  <c r="V155" i="10"/>
  <c r="O155" i="10"/>
  <c r="W155" i="10"/>
  <c r="M155" i="10"/>
  <c r="P155" i="10"/>
  <c r="X155" i="10"/>
  <c r="U155" i="10"/>
  <c r="Q155" i="10"/>
  <c r="R155" i="10"/>
  <c r="S155" i="10"/>
  <c r="T155" i="10"/>
  <c r="Y155" i="10"/>
  <c r="R158" i="10"/>
  <c r="S158" i="10"/>
  <c r="T158" i="10"/>
  <c r="Q158" i="10"/>
  <c r="Y158" i="10"/>
  <c r="X158" i="10"/>
  <c r="M158" i="10"/>
  <c r="N158" i="10"/>
  <c r="W158" i="10"/>
  <c r="O158" i="10"/>
  <c r="P158" i="10"/>
  <c r="U158" i="10"/>
  <c r="V158" i="10"/>
  <c r="R114" i="10"/>
  <c r="I147" i="34" s="1"/>
  <c r="S114" i="10"/>
  <c r="J147" i="34" s="1"/>
  <c r="T114" i="10"/>
  <c r="K147" i="34" s="1"/>
  <c r="Q114" i="10"/>
  <c r="H147" i="34" s="1"/>
  <c r="Y114" i="10"/>
  <c r="P147" i="34" s="1"/>
  <c r="P114" i="10"/>
  <c r="G147" i="34" s="1"/>
  <c r="U114" i="10"/>
  <c r="L147" i="34" s="1"/>
  <c r="V114" i="10"/>
  <c r="M147" i="34" s="1"/>
  <c r="O114" i="10"/>
  <c r="F147" i="34" s="1"/>
  <c r="W114" i="10"/>
  <c r="N147" i="34" s="1"/>
  <c r="X114" i="10"/>
  <c r="O147" i="34" s="1"/>
  <c r="N114" i="10"/>
  <c r="E147" i="34" s="1"/>
  <c r="M114" i="10"/>
  <c r="D147" i="34" s="1"/>
  <c r="R110" i="10"/>
  <c r="I143" i="34" s="1"/>
  <c r="M110" i="10"/>
  <c r="D143" i="34" s="1"/>
  <c r="S110" i="10"/>
  <c r="J143" i="34" s="1"/>
  <c r="T110" i="10"/>
  <c r="K143" i="34" s="1"/>
  <c r="Q110" i="10"/>
  <c r="H143" i="34" s="1"/>
  <c r="Y110" i="10"/>
  <c r="P143" i="34" s="1"/>
  <c r="P110" i="10"/>
  <c r="G143" i="34" s="1"/>
  <c r="U110" i="10"/>
  <c r="L143" i="34" s="1"/>
  <c r="V110" i="10"/>
  <c r="M143" i="34" s="1"/>
  <c r="O110" i="10"/>
  <c r="F143" i="34" s="1"/>
  <c r="N110" i="10"/>
  <c r="E143" i="34" s="1"/>
  <c r="W110" i="10"/>
  <c r="N143" i="34" s="1"/>
  <c r="X110" i="10"/>
  <c r="O143" i="34" s="1"/>
  <c r="R108" i="10"/>
  <c r="I141" i="34" s="1"/>
  <c r="S108" i="10"/>
  <c r="J141" i="34" s="1"/>
  <c r="T108" i="10"/>
  <c r="K141" i="34" s="1"/>
  <c r="M108" i="10"/>
  <c r="D141" i="34" s="1"/>
  <c r="Q108" i="10"/>
  <c r="H141" i="34" s="1"/>
  <c r="Y108" i="10"/>
  <c r="P141" i="34" s="1"/>
  <c r="X108" i="10"/>
  <c r="O141" i="34" s="1"/>
  <c r="N108" i="10"/>
  <c r="E141" i="34" s="1"/>
  <c r="W108" i="10"/>
  <c r="N141" i="34" s="1"/>
  <c r="O108" i="10"/>
  <c r="F141" i="34" s="1"/>
  <c r="P108" i="10"/>
  <c r="G141" i="34" s="1"/>
  <c r="V108" i="10"/>
  <c r="M141" i="34" s="1"/>
  <c r="U108" i="10"/>
  <c r="L141" i="34" s="1"/>
  <c r="T12" i="10"/>
  <c r="U12" i="10"/>
  <c r="N12" i="10"/>
  <c r="V12" i="10"/>
  <c r="S12" i="10"/>
  <c r="Q12" i="10"/>
  <c r="M12" i="10"/>
  <c r="R12" i="10"/>
  <c r="W12" i="10"/>
  <c r="P12" i="10"/>
  <c r="O12" i="10"/>
  <c r="Y12" i="10"/>
  <c r="X12" i="10"/>
  <c r="P66" i="10"/>
  <c r="G99" i="34" s="1"/>
  <c r="X66" i="10"/>
  <c r="O99" i="34" s="1"/>
  <c r="Q66" i="10"/>
  <c r="H99" i="34" s="1"/>
  <c r="Y66" i="10"/>
  <c r="P99" i="34" s="1"/>
  <c r="R66" i="10"/>
  <c r="I99" i="34" s="1"/>
  <c r="O66" i="10"/>
  <c r="F99" i="34" s="1"/>
  <c r="W66" i="10"/>
  <c r="N99" i="34" s="1"/>
  <c r="N66" i="10"/>
  <c r="E99" i="34" s="1"/>
  <c r="S66" i="10"/>
  <c r="J99" i="34" s="1"/>
  <c r="T66" i="10"/>
  <c r="K99" i="34" s="1"/>
  <c r="U66" i="10"/>
  <c r="L99" i="34" s="1"/>
  <c r="V66" i="10"/>
  <c r="M99" i="34" s="1"/>
  <c r="M66" i="10"/>
  <c r="D99" i="34" s="1"/>
  <c r="P27" i="34"/>
  <c r="M25" i="34"/>
  <c r="Y20" i="6"/>
  <c r="Z20" i="5"/>
  <c r="Q12" i="18"/>
  <c r="I25" i="34"/>
  <c r="J25" i="34"/>
  <c r="D25" i="34"/>
  <c r="U20" i="5"/>
  <c r="L12" i="18"/>
  <c r="R29" i="6"/>
  <c r="R20" i="5"/>
  <c r="I12" i="18"/>
  <c r="P25" i="34"/>
  <c r="U29" i="6"/>
  <c r="R31" i="7"/>
  <c r="L21" i="7"/>
  <c r="M21" i="7" s="1"/>
  <c r="L8" i="7"/>
  <c r="M8" i="7" s="1"/>
  <c r="M22" i="7"/>
  <c r="L7" i="7"/>
  <c r="M7" i="7" s="1"/>
  <c r="R12" i="7"/>
  <c r="L9" i="7"/>
  <c r="M9" i="7" s="1"/>
  <c r="L23" i="7"/>
  <c r="M23" i="7" s="1"/>
  <c r="R26" i="7"/>
  <c r="R154" i="10"/>
  <c r="S154" i="10"/>
  <c r="T154" i="10"/>
  <c r="M154" i="10"/>
  <c r="Q154" i="10"/>
  <c r="Y154" i="10"/>
  <c r="X154" i="10"/>
  <c r="N154" i="10"/>
  <c r="W154" i="10"/>
  <c r="O154" i="10"/>
  <c r="P154" i="10"/>
  <c r="V154" i="10"/>
  <c r="U154" i="10"/>
  <c r="O27" i="8"/>
  <c r="O14" i="8"/>
  <c r="T85" i="10"/>
  <c r="K118" i="34" s="1"/>
  <c r="U85" i="10"/>
  <c r="L118" i="34" s="1"/>
  <c r="N85" i="10"/>
  <c r="E118" i="34" s="1"/>
  <c r="V85" i="10"/>
  <c r="M118" i="34" s="1"/>
  <c r="S85" i="10"/>
  <c r="J118" i="34" s="1"/>
  <c r="Y85" i="10"/>
  <c r="P118" i="34" s="1"/>
  <c r="M85" i="10"/>
  <c r="D118" i="34" s="1"/>
  <c r="O85" i="10"/>
  <c r="F118" i="34" s="1"/>
  <c r="X85" i="10"/>
  <c r="O118" i="34" s="1"/>
  <c r="P85" i="10"/>
  <c r="G118" i="34" s="1"/>
  <c r="Q85" i="10"/>
  <c r="H118" i="34" s="1"/>
  <c r="R85" i="10"/>
  <c r="I118" i="34" s="1"/>
  <c r="W85" i="10"/>
  <c r="N118" i="34" s="1"/>
  <c r="U101" i="10"/>
  <c r="L134" i="34" s="1"/>
  <c r="N101" i="10"/>
  <c r="E134" i="34" s="1"/>
  <c r="V101" i="10"/>
  <c r="M134" i="34" s="1"/>
  <c r="S101" i="10"/>
  <c r="J134" i="34" s="1"/>
  <c r="Y101" i="10"/>
  <c r="P134" i="34" s="1"/>
  <c r="O101" i="10"/>
  <c r="F134" i="34" s="1"/>
  <c r="M101" i="10"/>
  <c r="D134" i="34" s="1"/>
  <c r="P101" i="10"/>
  <c r="G134" i="34" s="1"/>
  <c r="X101" i="10"/>
  <c r="O134" i="34" s="1"/>
  <c r="W101" i="10"/>
  <c r="N134" i="34" s="1"/>
  <c r="T101" i="10"/>
  <c r="K134" i="34" s="1"/>
  <c r="R101" i="10"/>
  <c r="I134" i="34" s="1"/>
  <c r="Q101" i="10"/>
  <c r="H134" i="34" s="1"/>
  <c r="T81" i="10"/>
  <c r="K114" i="34" s="1"/>
  <c r="U81" i="10"/>
  <c r="L114" i="34" s="1"/>
  <c r="N81" i="10"/>
  <c r="E114" i="34" s="1"/>
  <c r="V81" i="10"/>
  <c r="M114" i="34" s="1"/>
  <c r="S81" i="10"/>
  <c r="J114" i="34" s="1"/>
  <c r="Y81" i="10"/>
  <c r="P114" i="34" s="1"/>
  <c r="O81" i="10"/>
  <c r="F114" i="34" s="1"/>
  <c r="X81" i="10"/>
  <c r="O114" i="34" s="1"/>
  <c r="W81" i="10"/>
  <c r="N114" i="34" s="1"/>
  <c r="R81" i="10"/>
  <c r="I114" i="34" s="1"/>
  <c r="M81" i="10"/>
  <c r="D114" i="34" s="1"/>
  <c r="Q81" i="10"/>
  <c r="H114" i="34" s="1"/>
  <c r="P81" i="10"/>
  <c r="G114" i="34" s="1"/>
  <c r="N151" i="10"/>
  <c r="V151" i="10"/>
  <c r="O151" i="10"/>
  <c r="W151" i="10"/>
  <c r="P151" i="10"/>
  <c r="X151" i="10"/>
  <c r="U151" i="10"/>
  <c r="Q151" i="10"/>
  <c r="R151" i="10"/>
  <c r="M151" i="10"/>
  <c r="S151" i="10"/>
  <c r="T151" i="10"/>
  <c r="Y151" i="10"/>
  <c r="N109" i="10"/>
  <c r="E142" i="34" s="1"/>
  <c r="V109" i="10"/>
  <c r="M142" i="34" s="1"/>
  <c r="O109" i="10"/>
  <c r="F142" i="34" s="1"/>
  <c r="W109" i="10"/>
  <c r="N142" i="34" s="1"/>
  <c r="M109" i="10"/>
  <c r="D142" i="34" s="1"/>
  <c r="P109" i="10"/>
  <c r="G142" i="34" s="1"/>
  <c r="X109" i="10"/>
  <c r="O142" i="34" s="1"/>
  <c r="U109" i="10"/>
  <c r="L142" i="34" s="1"/>
  <c r="Q109" i="10"/>
  <c r="H142" i="34" s="1"/>
  <c r="R109" i="10"/>
  <c r="I142" i="34" s="1"/>
  <c r="S109" i="10"/>
  <c r="J142" i="34" s="1"/>
  <c r="T109" i="10"/>
  <c r="K142" i="34" s="1"/>
  <c r="Y109" i="10"/>
  <c r="P142" i="34" s="1"/>
  <c r="G123" i="34"/>
  <c r="O123" i="34"/>
  <c r="H123" i="34"/>
  <c r="P123" i="34"/>
  <c r="I123" i="34"/>
  <c r="F123" i="34"/>
  <c r="N123" i="34"/>
  <c r="N90" i="10"/>
  <c r="E123" i="34" s="1"/>
  <c r="J123" i="34"/>
  <c r="K123" i="34"/>
  <c r="L123" i="34"/>
  <c r="D123" i="34"/>
  <c r="M123" i="34"/>
  <c r="P72" i="10"/>
  <c r="G105" i="34" s="1"/>
  <c r="X72" i="10"/>
  <c r="O105" i="34" s="1"/>
  <c r="Q72" i="10"/>
  <c r="H105" i="34" s="1"/>
  <c r="Y72" i="10"/>
  <c r="P105" i="34" s="1"/>
  <c r="R72" i="10"/>
  <c r="I105" i="34" s="1"/>
  <c r="O72" i="10"/>
  <c r="F105" i="34" s="1"/>
  <c r="W72" i="10"/>
  <c r="N105" i="34" s="1"/>
  <c r="U72" i="10"/>
  <c r="L105" i="34" s="1"/>
  <c r="V72" i="10"/>
  <c r="M105" i="34" s="1"/>
  <c r="T72" i="10"/>
  <c r="K105" i="34" s="1"/>
  <c r="N72" i="10"/>
  <c r="E105" i="34" s="1"/>
  <c r="S72" i="10"/>
  <c r="J105" i="34" s="1"/>
  <c r="M72" i="10"/>
  <c r="D105" i="34" s="1"/>
  <c r="Q104" i="10"/>
  <c r="H137" i="34" s="1"/>
  <c r="Y104" i="10"/>
  <c r="P137" i="34" s="1"/>
  <c r="R104" i="10"/>
  <c r="I137" i="34" s="1"/>
  <c r="O104" i="10"/>
  <c r="F137" i="34" s="1"/>
  <c r="W104" i="10"/>
  <c r="N137" i="34" s="1"/>
  <c r="N104" i="10"/>
  <c r="E137" i="34" s="1"/>
  <c r="P104" i="10"/>
  <c r="G137" i="34" s="1"/>
  <c r="S104" i="10"/>
  <c r="J137" i="34" s="1"/>
  <c r="T104" i="10"/>
  <c r="K137" i="34" s="1"/>
  <c r="U104" i="10"/>
  <c r="L137" i="34" s="1"/>
  <c r="V104" i="10"/>
  <c r="M137" i="34" s="1"/>
  <c r="X104" i="10"/>
  <c r="O137" i="34" s="1"/>
  <c r="M104" i="10"/>
  <c r="D137" i="34" s="1"/>
  <c r="U105" i="10"/>
  <c r="L138" i="34" s="1"/>
  <c r="N105" i="10"/>
  <c r="E138" i="34" s="1"/>
  <c r="V105" i="10"/>
  <c r="M138" i="34" s="1"/>
  <c r="S105" i="10"/>
  <c r="J138" i="34" s="1"/>
  <c r="P105" i="10"/>
  <c r="G138" i="34" s="1"/>
  <c r="Q105" i="10"/>
  <c r="H138" i="34" s="1"/>
  <c r="R105" i="10"/>
  <c r="I138" i="34" s="1"/>
  <c r="O105" i="10"/>
  <c r="F138" i="34" s="1"/>
  <c r="Y105" i="10"/>
  <c r="P138" i="34" s="1"/>
  <c r="X105" i="10"/>
  <c r="O138" i="34" s="1"/>
  <c r="M105" i="10"/>
  <c r="D138" i="34" s="1"/>
  <c r="W105" i="10"/>
  <c r="N138" i="34" s="1"/>
  <c r="T105" i="10"/>
  <c r="K138" i="34" s="1"/>
  <c r="P35" i="10"/>
  <c r="X35" i="10"/>
  <c r="Q35" i="10"/>
  <c r="Y35" i="10"/>
  <c r="R35" i="10"/>
  <c r="O35" i="10"/>
  <c r="W35" i="10"/>
  <c r="N35" i="10"/>
  <c r="S35" i="10"/>
  <c r="T35" i="10"/>
  <c r="U35" i="10"/>
  <c r="V35" i="10"/>
  <c r="M35" i="10"/>
  <c r="P60" i="10"/>
  <c r="G93" i="34" s="1"/>
  <c r="X60" i="10"/>
  <c r="O93" i="34" s="1"/>
  <c r="Q60" i="10"/>
  <c r="H93" i="34" s="1"/>
  <c r="Y60" i="10"/>
  <c r="P93" i="34" s="1"/>
  <c r="R60" i="10"/>
  <c r="I93" i="34" s="1"/>
  <c r="O60" i="10"/>
  <c r="F93" i="34" s="1"/>
  <c r="W60" i="10"/>
  <c r="N93" i="34" s="1"/>
  <c r="U60" i="10"/>
  <c r="L93" i="34" s="1"/>
  <c r="V60" i="10"/>
  <c r="M93" i="34" s="1"/>
  <c r="M60" i="10"/>
  <c r="D93" i="34" s="1"/>
  <c r="T60" i="10"/>
  <c r="K93" i="34" s="1"/>
  <c r="S60" i="10"/>
  <c r="J93" i="34" s="1"/>
  <c r="N60" i="10"/>
  <c r="E93" i="34" s="1"/>
  <c r="Q50" i="6"/>
  <c r="H27" i="34"/>
  <c r="M20" i="6"/>
  <c r="Q20" i="6"/>
  <c r="L26" i="34"/>
  <c r="U50" i="6"/>
  <c r="M14" i="8"/>
  <c r="M27" i="8"/>
  <c r="B153" i="34"/>
  <c r="B154" i="34" s="1"/>
  <c r="T154" i="34" s="1"/>
  <c r="U27" i="8"/>
  <c r="U14" i="8"/>
  <c r="M12" i="18"/>
  <c r="V20" i="5"/>
  <c r="T20" i="5"/>
  <c r="K12" i="18"/>
  <c r="R128" i="10"/>
  <c r="I36" i="34" s="1"/>
  <c r="M128" i="10"/>
  <c r="D36" i="34" s="1"/>
  <c r="S128" i="10"/>
  <c r="J36" i="34" s="1"/>
  <c r="T128" i="10"/>
  <c r="K36" i="34" s="1"/>
  <c r="Q128" i="10"/>
  <c r="H36" i="34" s="1"/>
  <c r="Y128" i="10"/>
  <c r="P36" i="34" s="1"/>
  <c r="P128" i="10"/>
  <c r="G36" i="34" s="1"/>
  <c r="U128" i="10"/>
  <c r="L36" i="34" s="1"/>
  <c r="V128" i="10"/>
  <c r="M36" i="34" s="1"/>
  <c r="O128" i="10"/>
  <c r="F36" i="34" s="1"/>
  <c r="N128" i="10"/>
  <c r="E36" i="34" s="1"/>
  <c r="W128" i="10"/>
  <c r="N36" i="34" s="1"/>
  <c r="X128" i="10"/>
  <c r="O36" i="34" s="1"/>
  <c r="T79" i="10"/>
  <c r="K112" i="34" s="1"/>
  <c r="U79" i="10"/>
  <c r="L112" i="34" s="1"/>
  <c r="N79" i="10"/>
  <c r="E112" i="34" s="1"/>
  <c r="V79" i="10"/>
  <c r="M112" i="34" s="1"/>
  <c r="S79" i="10"/>
  <c r="J112" i="34" s="1"/>
  <c r="Q79" i="10"/>
  <c r="H112" i="34" s="1"/>
  <c r="R79" i="10"/>
  <c r="I112" i="34" s="1"/>
  <c r="W79" i="10"/>
  <c r="N112" i="34" s="1"/>
  <c r="P79" i="10"/>
  <c r="G112" i="34" s="1"/>
  <c r="M79" i="10"/>
  <c r="D112" i="34" s="1"/>
  <c r="O79" i="10"/>
  <c r="F112" i="34" s="1"/>
  <c r="X79" i="10"/>
  <c r="O112" i="34" s="1"/>
  <c r="Y79" i="10"/>
  <c r="P112" i="34" s="1"/>
  <c r="N127" i="10"/>
  <c r="E35" i="34" s="1"/>
  <c r="V127" i="10"/>
  <c r="M35" i="34" s="1"/>
  <c r="O127" i="10"/>
  <c r="F35" i="34" s="1"/>
  <c r="W127" i="10"/>
  <c r="N35" i="34" s="1"/>
  <c r="M127" i="10"/>
  <c r="D35" i="34" s="1"/>
  <c r="P127" i="10"/>
  <c r="G35" i="34" s="1"/>
  <c r="X127" i="10"/>
  <c r="O35" i="34" s="1"/>
  <c r="U127" i="10"/>
  <c r="L35" i="34" s="1"/>
  <c r="Q127" i="10"/>
  <c r="H35" i="34" s="1"/>
  <c r="R127" i="10"/>
  <c r="I35" i="34" s="1"/>
  <c r="S127" i="10"/>
  <c r="J35" i="34" s="1"/>
  <c r="T127" i="10"/>
  <c r="K35" i="34" s="1"/>
  <c r="Y127" i="10"/>
  <c r="P35" i="34" s="1"/>
  <c r="Q106" i="10"/>
  <c r="H139" i="34" s="1"/>
  <c r="R106" i="10"/>
  <c r="I139" i="34" s="1"/>
  <c r="O106" i="10"/>
  <c r="F139" i="34" s="1"/>
  <c r="P106" i="10"/>
  <c r="G139" i="34" s="1"/>
  <c r="S106" i="10"/>
  <c r="J139" i="34" s="1"/>
  <c r="T106" i="10"/>
  <c r="K139" i="34" s="1"/>
  <c r="N106" i="10"/>
  <c r="E139" i="34" s="1"/>
  <c r="Y106" i="10"/>
  <c r="P139" i="34" s="1"/>
  <c r="U106" i="10"/>
  <c r="L139" i="34" s="1"/>
  <c r="V106" i="10"/>
  <c r="M139" i="34" s="1"/>
  <c r="M106" i="10"/>
  <c r="D139" i="34" s="1"/>
  <c r="W106" i="10"/>
  <c r="N139" i="34" s="1"/>
  <c r="X106" i="10"/>
  <c r="O139" i="34" s="1"/>
  <c r="T87" i="10"/>
  <c r="K120" i="34" s="1"/>
  <c r="U87" i="10"/>
  <c r="L120" i="34" s="1"/>
  <c r="N87" i="10"/>
  <c r="E120" i="34" s="1"/>
  <c r="V87" i="10"/>
  <c r="M120" i="34" s="1"/>
  <c r="S87" i="10"/>
  <c r="J120" i="34" s="1"/>
  <c r="Q87" i="10"/>
  <c r="H120" i="34" s="1"/>
  <c r="R87" i="10"/>
  <c r="I120" i="34" s="1"/>
  <c r="W87" i="10"/>
  <c r="N120" i="34" s="1"/>
  <c r="P87" i="10"/>
  <c r="G120" i="34" s="1"/>
  <c r="M87" i="10"/>
  <c r="D120" i="34" s="1"/>
  <c r="O87" i="10"/>
  <c r="F120" i="34" s="1"/>
  <c r="X87" i="10"/>
  <c r="O120" i="34" s="1"/>
  <c r="Y87" i="10"/>
  <c r="P120" i="34" s="1"/>
  <c r="P9" i="10"/>
  <c r="X9" i="10"/>
  <c r="Q9" i="10"/>
  <c r="Y9" i="10"/>
  <c r="R9" i="10"/>
  <c r="O9" i="10"/>
  <c r="W9" i="10"/>
  <c r="U9" i="10"/>
  <c r="V9" i="10"/>
  <c r="M9" i="10"/>
  <c r="T9" i="10"/>
  <c r="N9" i="10"/>
  <c r="S9" i="10"/>
  <c r="P56" i="10"/>
  <c r="G89" i="34" s="1"/>
  <c r="X56" i="10"/>
  <c r="O89" i="34" s="1"/>
  <c r="Q56" i="10"/>
  <c r="H89" i="34" s="1"/>
  <c r="Y56" i="10"/>
  <c r="P89" i="34" s="1"/>
  <c r="R56" i="10"/>
  <c r="I89" i="34" s="1"/>
  <c r="O56" i="10"/>
  <c r="F89" i="34" s="1"/>
  <c r="W56" i="10"/>
  <c r="N89" i="34" s="1"/>
  <c r="U56" i="10"/>
  <c r="L89" i="34" s="1"/>
  <c r="V56" i="10"/>
  <c r="M89" i="34" s="1"/>
  <c r="T56" i="10"/>
  <c r="K89" i="34" s="1"/>
  <c r="N56" i="10"/>
  <c r="E89" i="34" s="1"/>
  <c r="S56" i="10"/>
  <c r="J89" i="34" s="1"/>
  <c r="M56" i="10"/>
  <c r="D89" i="34" s="1"/>
  <c r="P54" i="10"/>
  <c r="G87" i="34" s="1"/>
  <c r="X54" i="10"/>
  <c r="O87" i="34" s="1"/>
  <c r="Q54" i="10"/>
  <c r="H87" i="34" s="1"/>
  <c r="Y54" i="10"/>
  <c r="P87" i="34" s="1"/>
  <c r="R54" i="10"/>
  <c r="I87" i="34" s="1"/>
  <c r="O54" i="10"/>
  <c r="F87" i="34" s="1"/>
  <c r="W54" i="10"/>
  <c r="N87" i="34" s="1"/>
  <c r="M54" i="10"/>
  <c r="D87" i="34" s="1"/>
  <c r="N54" i="10"/>
  <c r="E87" i="34" s="1"/>
  <c r="S54" i="10"/>
  <c r="J87" i="34" s="1"/>
  <c r="V54" i="10"/>
  <c r="M87" i="34" s="1"/>
  <c r="U54" i="10"/>
  <c r="L87" i="34" s="1"/>
  <c r="T54" i="10"/>
  <c r="K87" i="34" s="1"/>
  <c r="P74" i="10"/>
  <c r="G107" i="34" s="1"/>
  <c r="X74" i="10"/>
  <c r="O107" i="34" s="1"/>
  <c r="Q74" i="10"/>
  <c r="H107" i="34" s="1"/>
  <c r="Y74" i="10"/>
  <c r="P107" i="34" s="1"/>
  <c r="R74" i="10"/>
  <c r="I107" i="34" s="1"/>
  <c r="O74" i="10"/>
  <c r="F107" i="34" s="1"/>
  <c r="W74" i="10"/>
  <c r="N107" i="34" s="1"/>
  <c r="N74" i="10"/>
  <c r="E107" i="34" s="1"/>
  <c r="S74" i="10"/>
  <c r="J107" i="34" s="1"/>
  <c r="T74" i="10"/>
  <c r="K107" i="34" s="1"/>
  <c r="U74" i="10"/>
  <c r="L107" i="34" s="1"/>
  <c r="M74" i="10"/>
  <c r="D107" i="34" s="1"/>
  <c r="V74" i="10"/>
  <c r="M107" i="34" s="1"/>
  <c r="Q102" i="10"/>
  <c r="H135" i="34" s="1"/>
  <c r="Y102" i="10"/>
  <c r="P135" i="34" s="1"/>
  <c r="R102" i="10"/>
  <c r="I135" i="34" s="1"/>
  <c r="O102" i="10"/>
  <c r="F135" i="34" s="1"/>
  <c r="W102" i="10"/>
  <c r="N135" i="34" s="1"/>
  <c r="M102" i="10"/>
  <c r="D135" i="34" s="1"/>
  <c r="N102" i="10"/>
  <c r="E135" i="34" s="1"/>
  <c r="P102" i="10"/>
  <c r="G135" i="34" s="1"/>
  <c r="X102" i="10"/>
  <c r="O135" i="34" s="1"/>
  <c r="S102" i="10"/>
  <c r="J135" i="34" s="1"/>
  <c r="T102" i="10"/>
  <c r="K135" i="34" s="1"/>
  <c r="U102" i="10"/>
  <c r="L135" i="34" s="1"/>
  <c r="V102" i="10"/>
  <c r="M135" i="34" s="1"/>
  <c r="P11" i="10"/>
  <c r="X11" i="10"/>
  <c r="Q11" i="10"/>
  <c r="Y11" i="10"/>
  <c r="R11" i="10"/>
  <c r="O11" i="10"/>
  <c r="W11" i="10"/>
  <c r="N11" i="10"/>
  <c r="M11" i="10"/>
  <c r="S11" i="10"/>
  <c r="T11" i="10"/>
  <c r="U11" i="10"/>
  <c r="V11" i="10"/>
  <c r="T57" i="10"/>
  <c r="K90" i="34" s="1"/>
  <c r="U57" i="10"/>
  <c r="L90" i="34" s="1"/>
  <c r="N57" i="10"/>
  <c r="E90" i="34" s="1"/>
  <c r="V57" i="10"/>
  <c r="M90" i="34" s="1"/>
  <c r="S57" i="10"/>
  <c r="J90" i="34" s="1"/>
  <c r="Y57" i="10"/>
  <c r="P90" i="34" s="1"/>
  <c r="O57" i="10"/>
  <c r="F90" i="34" s="1"/>
  <c r="X57" i="10"/>
  <c r="O90" i="34" s="1"/>
  <c r="W57" i="10"/>
  <c r="N90" i="34" s="1"/>
  <c r="R57" i="10"/>
  <c r="I90" i="34" s="1"/>
  <c r="M57" i="10"/>
  <c r="D90" i="34" s="1"/>
  <c r="P57" i="10"/>
  <c r="G90" i="34" s="1"/>
  <c r="Q57" i="10"/>
  <c r="H90" i="34" s="1"/>
  <c r="M27" i="34"/>
  <c r="O27" i="34"/>
  <c r="K25" i="34"/>
  <c r="X20" i="6"/>
  <c r="K26" i="34"/>
  <c r="T50" i="6"/>
  <c r="R14" i="8"/>
  <c r="R27" i="8"/>
  <c r="H25" i="34"/>
  <c r="L23" i="8"/>
  <c r="K25" i="8" s="1"/>
  <c r="K24" i="8"/>
  <c r="B163" i="34"/>
  <c r="W29" i="6"/>
  <c r="T29" i="6"/>
  <c r="L30" i="6"/>
  <c r="L12" i="6"/>
  <c r="L21" i="6"/>
  <c r="G25" i="34"/>
  <c r="T67" i="10"/>
  <c r="K100" i="34" s="1"/>
  <c r="U67" i="10"/>
  <c r="L100" i="34" s="1"/>
  <c r="N67" i="10"/>
  <c r="E100" i="34" s="1"/>
  <c r="V67" i="10"/>
  <c r="M100" i="34" s="1"/>
  <c r="S67" i="10"/>
  <c r="J100" i="34" s="1"/>
  <c r="Q67" i="10"/>
  <c r="H100" i="34" s="1"/>
  <c r="R67" i="10"/>
  <c r="I100" i="34" s="1"/>
  <c r="W67" i="10"/>
  <c r="N100" i="34" s="1"/>
  <c r="P67" i="10"/>
  <c r="G100" i="34" s="1"/>
  <c r="O67" i="10"/>
  <c r="F100" i="34" s="1"/>
  <c r="X67" i="10"/>
  <c r="O100" i="34" s="1"/>
  <c r="Y67" i="10"/>
  <c r="P100" i="34" s="1"/>
  <c r="M67" i="10"/>
  <c r="D100" i="34" s="1"/>
  <c r="U99" i="10"/>
  <c r="L132" i="34" s="1"/>
  <c r="N99" i="10"/>
  <c r="E132" i="34" s="1"/>
  <c r="V99" i="10"/>
  <c r="M132" i="34" s="1"/>
  <c r="S99" i="10"/>
  <c r="J132" i="34" s="1"/>
  <c r="X99" i="10"/>
  <c r="O132" i="34" s="1"/>
  <c r="Y99" i="10"/>
  <c r="P132" i="34" s="1"/>
  <c r="O99" i="10"/>
  <c r="F132" i="34" s="1"/>
  <c r="W99" i="10"/>
  <c r="N132" i="34" s="1"/>
  <c r="T99" i="10"/>
  <c r="K132" i="34" s="1"/>
  <c r="R99" i="10"/>
  <c r="I132" i="34" s="1"/>
  <c r="P99" i="10"/>
  <c r="G132" i="34" s="1"/>
  <c r="Q99" i="10"/>
  <c r="H132" i="34" s="1"/>
  <c r="M99" i="10"/>
  <c r="D132" i="34" s="1"/>
  <c r="T93" i="10"/>
  <c r="K126" i="34" s="1"/>
  <c r="U93" i="10"/>
  <c r="L126" i="34" s="1"/>
  <c r="N93" i="10"/>
  <c r="E126" i="34" s="1"/>
  <c r="V93" i="10"/>
  <c r="M126" i="34" s="1"/>
  <c r="S93" i="10"/>
  <c r="J126" i="34" s="1"/>
  <c r="Y93" i="10"/>
  <c r="P126" i="34" s="1"/>
  <c r="M93" i="10"/>
  <c r="D126" i="34" s="1"/>
  <c r="O93" i="10"/>
  <c r="F126" i="34" s="1"/>
  <c r="X93" i="10"/>
  <c r="O126" i="34" s="1"/>
  <c r="P93" i="10"/>
  <c r="G126" i="34" s="1"/>
  <c r="Q93" i="10"/>
  <c r="H126" i="34" s="1"/>
  <c r="R93" i="10"/>
  <c r="I126" i="34" s="1"/>
  <c r="W93" i="10"/>
  <c r="N126" i="34" s="1"/>
  <c r="P96" i="10"/>
  <c r="G129" i="34" s="1"/>
  <c r="Q96" i="10"/>
  <c r="H129" i="34" s="1"/>
  <c r="Y96" i="10"/>
  <c r="P129" i="34" s="1"/>
  <c r="R96" i="10"/>
  <c r="I129" i="34" s="1"/>
  <c r="O96" i="10"/>
  <c r="F129" i="34" s="1"/>
  <c r="W96" i="10"/>
  <c r="N129" i="34" s="1"/>
  <c r="U96" i="10"/>
  <c r="L129" i="34" s="1"/>
  <c r="V96" i="10"/>
  <c r="M129" i="34" s="1"/>
  <c r="X96" i="10"/>
  <c r="O129" i="34" s="1"/>
  <c r="T96" i="10"/>
  <c r="K129" i="34" s="1"/>
  <c r="M96" i="10"/>
  <c r="D129" i="34" s="1"/>
  <c r="N96" i="10"/>
  <c r="E129" i="34" s="1"/>
  <c r="S96" i="10"/>
  <c r="J129" i="34" s="1"/>
  <c r="Q100" i="10"/>
  <c r="H133" i="34" s="1"/>
  <c r="Y100" i="10"/>
  <c r="P133" i="34" s="1"/>
  <c r="R100" i="10"/>
  <c r="I133" i="34" s="1"/>
  <c r="O100" i="10"/>
  <c r="F133" i="34" s="1"/>
  <c r="W100" i="10"/>
  <c r="N133" i="34" s="1"/>
  <c r="X100" i="10"/>
  <c r="O133" i="34" s="1"/>
  <c r="N100" i="10"/>
  <c r="E133" i="34" s="1"/>
  <c r="M100" i="10"/>
  <c r="D133" i="34" s="1"/>
  <c r="V100" i="10"/>
  <c r="M133" i="34" s="1"/>
  <c r="P100" i="10"/>
  <c r="G133" i="34" s="1"/>
  <c r="S100" i="10"/>
  <c r="J133" i="34" s="1"/>
  <c r="T100" i="10"/>
  <c r="K133" i="34" s="1"/>
  <c r="U100" i="10"/>
  <c r="L133" i="34" s="1"/>
  <c r="T77" i="10"/>
  <c r="K110" i="34" s="1"/>
  <c r="U77" i="10"/>
  <c r="L110" i="34" s="1"/>
  <c r="N77" i="10"/>
  <c r="E110" i="34" s="1"/>
  <c r="V77" i="10"/>
  <c r="M110" i="34" s="1"/>
  <c r="S77" i="10"/>
  <c r="J110" i="34" s="1"/>
  <c r="Y77" i="10"/>
  <c r="P110" i="34" s="1"/>
  <c r="M77" i="10"/>
  <c r="D110" i="34" s="1"/>
  <c r="O77" i="10"/>
  <c r="F110" i="34" s="1"/>
  <c r="X77" i="10"/>
  <c r="O110" i="34" s="1"/>
  <c r="P77" i="10"/>
  <c r="G110" i="34" s="1"/>
  <c r="Q77" i="10"/>
  <c r="H110" i="34" s="1"/>
  <c r="R77" i="10"/>
  <c r="I110" i="34" s="1"/>
  <c r="W77" i="10"/>
  <c r="N110" i="34" s="1"/>
  <c r="R185" i="10"/>
  <c r="S185" i="10"/>
  <c r="M185" i="10"/>
  <c r="T185" i="10"/>
  <c r="Q185" i="10"/>
  <c r="Y185" i="10"/>
  <c r="P185" i="10"/>
  <c r="U185" i="10"/>
  <c r="V185" i="10"/>
  <c r="O185" i="10"/>
  <c r="W185" i="10"/>
  <c r="X185" i="10"/>
  <c r="N185" i="10"/>
  <c r="T71" i="10"/>
  <c r="K104" i="34" s="1"/>
  <c r="U71" i="10"/>
  <c r="L104" i="34" s="1"/>
  <c r="N71" i="10"/>
  <c r="E104" i="34" s="1"/>
  <c r="V71" i="10"/>
  <c r="M104" i="34" s="1"/>
  <c r="S71" i="10"/>
  <c r="J104" i="34" s="1"/>
  <c r="Q71" i="10"/>
  <c r="H104" i="34" s="1"/>
  <c r="R71" i="10"/>
  <c r="I104" i="34" s="1"/>
  <c r="W71" i="10"/>
  <c r="N104" i="34" s="1"/>
  <c r="P71" i="10"/>
  <c r="G104" i="34" s="1"/>
  <c r="M71" i="10"/>
  <c r="D104" i="34" s="1"/>
  <c r="O71" i="10"/>
  <c r="F104" i="34" s="1"/>
  <c r="X71" i="10"/>
  <c r="O104" i="34" s="1"/>
  <c r="Y71" i="10"/>
  <c r="P104" i="34" s="1"/>
  <c r="Q98" i="10"/>
  <c r="H131" i="34" s="1"/>
  <c r="Y98" i="10"/>
  <c r="P131" i="34" s="1"/>
  <c r="R98" i="10"/>
  <c r="I131" i="34" s="1"/>
  <c r="O98" i="10"/>
  <c r="F131" i="34" s="1"/>
  <c r="W98" i="10"/>
  <c r="N131" i="34" s="1"/>
  <c r="V98" i="10"/>
  <c r="M131" i="34" s="1"/>
  <c r="X98" i="10"/>
  <c r="O131" i="34" s="1"/>
  <c r="U98" i="10"/>
  <c r="L131" i="34" s="1"/>
  <c r="N98" i="10"/>
  <c r="E131" i="34" s="1"/>
  <c r="P98" i="10"/>
  <c r="G131" i="34" s="1"/>
  <c r="S98" i="10"/>
  <c r="J131" i="34" s="1"/>
  <c r="T98" i="10"/>
  <c r="K131" i="34" s="1"/>
  <c r="M98" i="10"/>
  <c r="D131" i="34" s="1"/>
  <c r="P94" i="10"/>
  <c r="G127" i="34" s="1"/>
  <c r="X94" i="10"/>
  <c r="O127" i="34" s="1"/>
  <c r="Q94" i="10"/>
  <c r="H127" i="34" s="1"/>
  <c r="Y94" i="10"/>
  <c r="P127" i="34" s="1"/>
  <c r="R94" i="10"/>
  <c r="I127" i="34" s="1"/>
  <c r="O94" i="10"/>
  <c r="F127" i="34" s="1"/>
  <c r="W94" i="10"/>
  <c r="N127" i="34" s="1"/>
  <c r="M94" i="10"/>
  <c r="D127" i="34" s="1"/>
  <c r="N94" i="10"/>
  <c r="E127" i="34" s="1"/>
  <c r="S94" i="10"/>
  <c r="J127" i="34" s="1"/>
  <c r="V94" i="10"/>
  <c r="M127" i="34" s="1"/>
  <c r="T94" i="10"/>
  <c r="K127" i="34" s="1"/>
  <c r="U94" i="10"/>
  <c r="L127" i="34" s="1"/>
  <c r="R171" i="10"/>
  <c r="R174" i="10" s="1"/>
  <c r="S171" i="10"/>
  <c r="S174" i="10" s="1"/>
  <c r="T171" i="10"/>
  <c r="Q171" i="10"/>
  <c r="Y171" i="10"/>
  <c r="Y174" i="10" s="1"/>
  <c r="P171" i="10"/>
  <c r="U171" i="10"/>
  <c r="V171" i="10"/>
  <c r="V174" i="10" s="1"/>
  <c r="O171" i="10"/>
  <c r="O174" i="10" s="1"/>
  <c r="W171" i="10"/>
  <c r="X171" i="10"/>
  <c r="X174" i="10" s="1"/>
  <c r="N171" i="10"/>
  <c r="N174" i="10" s="1"/>
  <c r="M171" i="10"/>
  <c r="G27" i="34"/>
  <c r="R152" i="10"/>
  <c r="S152" i="10"/>
  <c r="T152" i="10"/>
  <c r="Q152" i="10"/>
  <c r="Y152" i="10"/>
  <c r="P152" i="10"/>
  <c r="U152" i="10"/>
  <c r="V152" i="10"/>
  <c r="M152" i="10"/>
  <c r="O152" i="10"/>
  <c r="W152" i="10"/>
  <c r="X152" i="10"/>
  <c r="N152" i="10"/>
  <c r="T65" i="10"/>
  <c r="K98" i="34" s="1"/>
  <c r="U65" i="10"/>
  <c r="L98" i="34" s="1"/>
  <c r="N65" i="10"/>
  <c r="E98" i="34" s="1"/>
  <c r="V65" i="10"/>
  <c r="M98" i="34" s="1"/>
  <c r="S65" i="10"/>
  <c r="J98" i="34" s="1"/>
  <c r="Y65" i="10"/>
  <c r="P98" i="34" s="1"/>
  <c r="O65" i="10"/>
  <c r="F98" i="34" s="1"/>
  <c r="X65" i="10"/>
  <c r="O98" i="34" s="1"/>
  <c r="W65" i="10"/>
  <c r="N98" i="34" s="1"/>
  <c r="R65" i="10"/>
  <c r="I98" i="34" s="1"/>
  <c r="M65" i="10"/>
  <c r="D98" i="34" s="1"/>
  <c r="Q65" i="10"/>
  <c r="H98" i="34" s="1"/>
  <c r="P65" i="10"/>
  <c r="G98" i="34" s="1"/>
  <c r="T69" i="10"/>
  <c r="K102" i="34" s="1"/>
  <c r="U69" i="10"/>
  <c r="L102" i="34" s="1"/>
  <c r="N69" i="10"/>
  <c r="E102" i="34" s="1"/>
  <c r="V69" i="10"/>
  <c r="M102" i="34" s="1"/>
  <c r="S69" i="10"/>
  <c r="J102" i="34" s="1"/>
  <c r="Y69" i="10"/>
  <c r="P102" i="34" s="1"/>
  <c r="M69" i="10"/>
  <c r="D102" i="34" s="1"/>
  <c r="O69" i="10"/>
  <c r="F102" i="34" s="1"/>
  <c r="X69" i="10"/>
  <c r="O102" i="34" s="1"/>
  <c r="P69" i="10"/>
  <c r="G102" i="34" s="1"/>
  <c r="Q69" i="10"/>
  <c r="H102" i="34" s="1"/>
  <c r="R69" i="10"/>
  <c r="I102" i="34" s="1"/>
  <c r="W69" i="10"/>
  <c r="N102" i="34" s="1"/>
  <c r="P78" i="10"/>
  <c r="G111" i="34" s="1"/>
  <c r="X78" i="10"/>
  <c r="O111" i="34" s="1"/>
  <c r="Q78" i="10"/>
  <c r="H111" i="34" s="1"/>
  <c r="Y78" i="10"/>
  <c r="P111" i="34" s="1"/>
  <c r="R78" i="10"/>
  <c r="I111" i="34" s="1"/>
  <c r="O78" i="10"/>
  <c r="F111" i="34" s="1"/>
  <c r="W78" i="10"/>
  <c r="N111" i="34" s="1"/>
  <c r="M78" i="10"/>
  <c r="D111" i="34" s="1"/>
  <c r="N78" i="10"/>
  <c r="E111" i="34" s="1"/>
  <c r="S78" i="10"/>
  <c r="J111" i="34" s="1"/>
  <c r="V78" i="10"/>
  <c r="M111" i="34" s="1"/>
  <c r="T78" i="10"/>
  <c r="K111" i="34" s="1"/>
  <c r="U78" i="10"/>
  <c r="L111" i="34" s="1"/>
  <c r="T89" i="10"/>
  <c r="K122" i="34" s="1"/>
  <c r="U89" i="10"/>
  <c r="L122" i="34" s="1"/>
  <c r="N89" i="10"/>
  <c r="E122" i="34" s="1"/>
  <c r="V89" i="10"/>
  <c r="M122" i="34" s="1"/>
  <c r="S89" i="10"/>
  <c r="J122" i="34" s="1"/>
  <c r="Y89" i="10"/>
  <c r="P122" i="34" s="1"/>
  <c r="O89" i="10"/>
  <c r="F122" i="34" s="1"/>
  <c r="X89" i="10"/>
  <c r="O122" i="34" s="1"/>
  <c r="W89" i="10"/>
  <c r="N122" i="34" s="1"/>
  <c r="R89" i="10"/>
  <c r="I122" i="34" s="1"/>
  <c r="M89" i="10"/>
  <c r="D122" i="34" s="1"/>
  <c r="P89" i="10"/>
  <c r="G122" i="34" s="1"/>
  <c r="Q89" i="10"/>
  <c r="H122" i="34" s="1"/>
  <c r="P92" i="10"/>
  <c r="G125" i="34" s="1"/>
  <c r="X92" i="10"/>
  <c r="O125" i="34" s="1"/>
  <c r="Q92" i="10"/>
  <c r="H125" i="34" s="1"/>
  <c r="Y92" i="10"/>
  <c r="P125" i="34" s="1"/>
  <c r="R92" i="10"/>
  <c r="I125" i="34" s="1"/>
  <c r="O92" i="10"/>
  <c r="F125" i="34" s="1"/>
  <c r="W92" i="10"/>
  <c r="N125" i="34" s="1"/>
  <c r="U92" i="10"/>
  <c r="L125" i="34" s="1"/>
  <c r="V92" i="10"/>
  <c r="M125" i="34" s="1"/>
  <c r="M92" i="10"/>
  <c r="D125" i="34" s="1"/>
  <c r="T92" i="10"/>
  <c r="K125" i="34" s="1"/>
  <c r="S92" i="10"/>
  <c r="J125" i="34" s="1"/>
  <c r="N92" i="10"/>
  <c r="E125" i="34" s="1"/>
  <c r="P84" i="10"/>
  <c r="G117" i="34" s="1"/>
  <c r="X84" i="10"/>
  <c r="O117" i="34" s="1"/>
  <c r="Q84" i="10"/>
  <c r="H117" i="34" s="1"/>
  <c r="Y84" i="10"/>
  <c r="P117" i="34" s="1"/>
  <c r="R84" i="10"/>
  <c r="I117" i="34" s="1"/>
  <c r="O84" i="10"/>
  <c r="F117" i="34" s="1"/>
  <c r="W84" i="10"/>
  <c r="N117" i="34" s="1"/>
  <c r="U84" i="10"/>
  <c r="L117" i="34" s="1"/>
  <c r="V84" i="10"/>
  <c r="M117" i="34" s="1"/>
  <c r="M84" i="10"/>
  <c r="D117" i="34" s="1"/>
  <c r="T84" i="10"/>
  <c r="K117" i="34" s="1"/>
  <c r="S84" i="10"/>
  <c r="J117" i="34" s="1"/>
  <c r="N84" i="10"/>
  <c r="E117" i="34" s="1"/>
  <c r="P68" i="10"/>
  <c r="G101" i="34" s="1"/>
  <c r="X68" i="10"/>
  <c r="O101" i="34" s="1"/>
  <c r="Q68" i="10"/>
  <c r="H101" i="34" s="1"/>
  <c r="Y68" i="10"/>
  <c r="P101" i="34" s="1"/>
  <c r="R68" i="10"/>
  <c r="I101" i="34" s="1"/>
  <c r="O68" i="10"/>
  <c r="F101" i="34" s="1"/>
  <c r="W68" i="10"/>
  <c r="N101" i="34" s="1"/>
  <c r="U68" i="10"/>
  <c r="L101" i="34" s="1"/>
  <c r="V68" i="10"/>
  <c r="M101" i="34" s="1"/>
  <c r="M68" i="10"/>
  <c r="D101" i="34" s="1"/>
  <c r="T68" i="10"/>
  <c r="K101" i="34" s="1"/>
  <c r="S68" i="10"/>
  <c r="J101" i="34" s="1"/>
  <c r="N68" i="10"/>
  <c r="E101" i="34" s="1"/>
  <c r="P13" i="10"/>
  <c r="X13" i="10"/>
  <c r="Q13" i="10"/>
  <c r="Y13" i="10"/>
  <c r="R13" i="10"/>
  <c r="O13" i="10"/>
  <c r="W13" i="10"/>
  <c r="U13" i="10"/>
  <c r="V13" i="10"/>
  <c r="T13" i="10"/>
  <c r="M13" i="10"/>
  <c r="S13" i="10"/>
  <c r="N13" i="10"/>
  <c r="P58" i="10"/>
  <c r="G91" i="34" s="1"/>
  <c r="X58" i="10"/>
  <c r="O91" i="34" s="1"/>
  <c r="Q58" i="10"/>
  <c r="H91" i="34" s="1"/>
  <c r="Y58" i="10"/>
  <c r="P91" i="34" s="1"/>
  <c r="R58" i="10"/>
  <c r="I91" i="34" s="1"/>
  <c r="O58" i="10"/>
  <c r="F91" i="34" s="1"/>
  <c r="W58" i="10"/>
  <c r="N91" i="34" s="1"/>
  <c r="N58" i="10"/>
  <c r="E91" i="34" s="1"/>
  <c r="S58" i="10"/>
  <c r="J91" i="34" s="1"/>
  <c r="T58" i="10"/>
  <c r="K91" i="34" s="1"/>
  <c r="U58" i="10"/>
  <c r="L91" i="34" s="1"/>
  <c r="M58" i="10"/>
  <c r="D91" i="34" s="1"/>
  <c r="V58" i="10"/>
  <c r="M91" i="34" s="1"/>
  <c r="P86" i="10"/>
  <c r="G119" i="34" s="1"/>
  <c r="X86" i="10"/>
  <c r="O119" i="34" s="1"/>
  <c r="Q86" i="10"/>
  <c r="H119" i="34" s="1"/>
  <c r="Y86" i="10"/>
  <c r="P119" i="34" s="1"/>
  <c r="R86" i="10"/>
  <c r="I119" i="34" s="1"/>
  <c r="O86" i="10"/>
  <c r="F119" i="34" s="1"/>
  <c r="W86" i="10"/>
  <c r="N119" i="34" s="1"/>
  <c r="M86" i="10"/>
  <c r="D119" i="34" s="1"/>
  <c r="N86" i="10"/>
  <c r="E119" i="34" s="1"/>
  <c r="S86" i="10"/>
  <c r="J119" i="34" s="1"/>
  <c r="V86" i="10"/>
  <c r="M119" i="34" s="1"/>
  <c r="U86" i="10"/>
  <c r="L119" i="34" s="1"/>
  <c r="T86" i="10"/>
  <c r="K119" i="34" s="1"/>
  <c r="P88" i="10"/>
  <c r="G121" i="34" s="1"/>
  <c r="X88" i="10"/>
  <c r="O121" i="34" s="1"/>
  <c r="Q88" i="10"/>
  <c r="H121" i="34" s="1"/>
  <c r="Y88" i="10"/>
  <c r="P121" i="34" s="1"/>
  <c r="R88" i="10"/>
  <c r="I121" i="34" s="1"/>
  <c r="O88" i="10"/>
  <c r="F121" i="34" s="1"/>
  <c r="W88" i="10"/>
  <c r="N121" i="34" s="1"/>
  <c r="U88" i="10"/>
  <c r="L121" i="34" s="1"/>
  <c r="V88" i="10"/>
  <c r="M121" i="34" s="1"/>
  <c r="T88" i="10"/>
  <c r="K121" i="34" s="1"/>
  <c r="N88" i="10"/>
  <c r="E121" i="34" s="1"/>
  <c r="S88" i="10"/>
  <c r="J121" i="34" s="1"/>
  <c r="M88" i="10"/>
  <c r="D121" i="34" s="1"/>
  <c r="N159" i="10"/>
  <c r="V159" i="10"/>
  <c r="O159" i="10"/>
  <c r="W159" i="10"/>
  <c r="P159" i="10"/>
  <c r="X159" i="10"/>
  <c r="U159" i="10"/>
  <c r="Q159" i="10"/>
  <c r="R159" i="10"/>
  <c r="M159" i="10"/>
  <c r="S159" i="10"/>
  <c r="T159" i="10"/>
  <c r="Y159" i="10"/>
  <c r="W50" i="6"/>
  <c r="N27" i="34"/>
  <c r="X14" i="8"/>
  <c r="X27" i="8"/>
  <c r="P14" i="8"/>
  <c r="P27" i="8"/>
  <c r="W27" i="8"/>
  <c r="W14" i="8"/>
  <c r="N25" i="34"/>
  <c r="S29" i="6"/>
  <c r="N184" i="10"/>
  <c r="V184" i="10"/>
  <c r="O184" i="10"/>
  <c r="W184" i="10"/>
  <c r="P184" i="10"/>
  <c r="X184" i="10"/>
  <c r="M184" i="10"/>
  <c r="U184" i="10"/>
  <c r="Q184" i="10"/>
  <c r="R184" i="10"/>
  <c r="S184" i="10"/>
  <c r="T184" i="10"/>
  <c r="Y184" i="10"/>
  <c r="N107" i="10"/>
  <c r="E140" i="34" s="1"/>
  <c r="V107" i="10"/>
  <c r="M140" i="34" s="1"/>
  <c r="O107" i="10"/>
  <c r="F140" i="34" s="1"/>
  <c r="W107" i="10"/>
  <c r="N140" i="34" s="1"/>
  <c r="P107" i="10"/>
  <c r="G140" i="34" s="1"/>
  <c r="X107" i="10"/>
  <c r="O140" i="34" s="1"/>
  <c r="U107" i="10"/>
  <c r="L140" i="34" s="1"/>
  <c r="T107" i="10"/>
  <c r="K140" i="34" s="1"/>
  <c r="Y107" i="10"/>
  <c r="P140" i="34" s="1"/>
  <c r="M107" i="10"/>
  <c r="D140" i="34" s="1"/>
  <c r="S107" i="10"/>
  <c r="J140" i="34" s="1"/>
  <c r="Q107" i="10"/>
  <c r="H140" i="34" s="1"/>
  <c r="R107" i="10"/>
  <c r="I140" i="34" s="1"/>
  <c r="U97" i="10"/>
  <c r="L130" i="34" s="1"/>
  <c r="N97" i="10"/>
  <c r="E130" i="34" s="1"/>
  <c r="V97" i="10"/>
  <c r="M130" i="34" s="1"/>
  <c r="S97" i="10"/>
  <c r="J130" i="34" s="1"/>
  <c r="W97" i="10"/>
  <c r="N130" i="34" s="1"/>
  <c r="X97" i="10"/>
  <c r="O130" i="34" s="1"/>
  <c r="Y97" i="10"/>
  <c r="P130" i="34" s="1"/>
  <c r="T97" i="10"/>
  <c r="K130" i="34" s="1"/>
  <c r="R97" i="10"/>
  <c r="I130" i="34" s="1"/>
  <c r="Q97" i="10"/>
  <c r="H130" i="34" s="1"/>
  <c r="M97" i="10"/>
  <c r="D130" i="34" s="1"/>
  <c r="P97" i="10"/>
  <c r="G130" i="34" s="1"/>
  <c r="O97" i="10"/>
  <c r="F130" i="34" s="1"/>
  <c r="U103" i="10"/>
  <c r="L136" i="34" s="1"/>
  <c r="N103" i="10"/>
  <c r="E136" i="34" s="1"/>
  <c r="V103" i="10"/>
  <c r="M136" i="34" s="1"/>
  <c r="S103" i="10"/>
  <c r="J136" i="34" s="1"/>
  <c r="O103" i="10"/>
  <c r="F136" i="34" s="1"/>
  <c r="P103" i="10"/>
  <c r="G136" i="34" s="1"/>
  <c r="Q103" i="10"/>
  <c r="H136" i="34" s="1"/>
  <c r="Y103" i="10"/>
  <c r="P136" i="34" s="1"/>
  <c r="M103" i="10"/>
  <c r="D136" i="34" s="1"/>
  <c r="X103" i="10"/>
  <c r="O136" i="34" s="1"/>
  <c r="W103" i="10"/>
  <c r="N136" i="34" s="1"/>
  <c r="R103" i="10"/>
  <c r="I136" i="34" s="1"/>
  <c r="T103" i="10"/>
  <c r="K136" i="34" s="1"/>
  <c r="P62" i="10"/>
  <c r="G95" i="34" s="1"/>
  <c r="X62" i="10"/>
  <c r="O95" i="34" s="1"/>
  <c r="Q62" i="10"/>
  <c r="H95" i="34" s="1"/>
  <c r="Y62" i="10"/>
  <c r="P95" i="34" s="1"/>
  <c r="R62" i="10"/>
  <c r="I95" i="34" s="1"/>
  <c r="O62" i="10"/>
  <c r="F95" i="34" s="1"/>
  <c r="W62" i="10"/>
  <c r="N95" i="34" s="1"/>
  <c r="M62" i="10"/>
  <c r="D95" i="34" s="1"/>
  <c r="N62" i="10"/>
  <c r="E95" i="34" s="1"/>
  <c r="S62" i="10"/>
  <c r="J95" i="34" s="1"/>
  <c r="V62" i="10"/>
  <c r="M95" i="34" s="1"/>
  <c r="T62" i="10"/>
  <c r="K95" i="34" s="1"/>
  <c r="U62" i="10"/>
  <c r="L95" i="34" s="1"/>
  <c r="T75" i="10"/>
  <c r="K108" i="34" s="1"/>
  <c r="U75" i="10"/>
  <c r="L108" i="34" s="1"/>
  <c r="N75" i="10"/>
  <c r="E108" i="34" s="1"/>
  <c r="V75" i="10"/>
  <c r="M108" i="34" s="1"/>
  <c r="S75" i="10"/>
  <c r="J108" i="34" s="1"/>
  <c r="Q75" i="10"/>
  <c r="H108" i="34" s="1"/>
  <c r="R75" i="10"/>
  <c r="I108" i="34" s="1"/>
  <c r="W75" i="10"/>
  <c r="N108" i="34" s="1"/>
  <c r="P75" i="10"/>
  <c r="G108" i="34" s="1"/>
  <c r="M75" i="10"/>
  <c r="D108" i="34" s="1"/>
  <c r="O75" i="10"/>
  <c r="F108" i="34" s="1"/>
  <c r="Y75" i="10"/>
  <c r="P108" i="34" s="1"/>
  <c r="X75" i="10"/>
  <c r="O108" i="34" s="1"/>
  <c r="G113" i="34"/>
  <c r="X80" i="10"/>
  <c r="O113" i="34" s="1"/>
  <c r="H113" i="34"/>
  <c r="P113" i="34"/>
  <c r="R80" i="10"/>
  <c r="I113" i="34" s="1"/>
  <c r="F113" i="34"/>
  <c r="N113" i="34"/>
  <c r="L113" i="34"/>
  <c r="M113" i="34"/>
  <c r="K113" i="34"/>
  <c r="M80" i="10"/>
  <c r="D113" i="34" s="1"/>
  <c r="E113" i="34"/>
  <c r="J113" i="34"/>
  <c r="P7" i="10"/>
  <c r="X7" i="10"/>
  <c r="T10" i="10"/>
  <c r="Q7" i="10"/>
  <c r="Y7" i="10"/>
  <c r="U10" i="10"/>
  <c r="R7" i="10"/>
  <c r="N10" i="10"/>
  <c r="V10" i="10"/>
  <c r="O7" i="10"/>
  <c r="W7" i="10"/>
  <c r="S10" i="10"/>
  <c r="Y10" i="10"/>
  <c r="N7" i="10"/>
  <c r="S7" i="10"/>
  <c r="O10" i="10"/>
  <c r="X10" i="10"/>
  <c r="W10" i="10"/>
  <c r="V7" i="10"/>
  <c r="R10" i="10"/>
  <c r="P10" i="10"/>
  <c r="Q10" i="10"/>
  <c r="U7" i="10"/>
  <c r="T7" i="10"/>
  <c r="M10" i="10"/>
  <c r="M7" i="10"/>
  <c r="P31" i="10"/>
  <c r="X31" i="10"/>
  <c r="Q31" i="10"/>
  <c r="Y31" i="10"/>
  <c r="R31" i="10"/>
  <c r="O31" i="10"/>
  <c r="W31" i="10"/>
  <c r="M31" i="10"/>
  <c r="N31" i="10"/>
  <c r="S31" i="10"/>
  <c r="V31" i="10"/>
  <c r="T31" i="10"/>
  <c r="U31" i="10"/>
  <c r="N139" i="10"/>
  <c r="E38" i="34" s="1"/>
  <c r="V139" i="10"/>
  <c r="O139" i="10"/>
  <c r="F38" i="34" s="1"/>
  <c r="W139" i="10"/>
  <c r="P139" i="10"/>
  <c r="X139" i="10"/>
  <c r="U139" i="10"/>
  <c r="M139" i="10"/>
  <c r="T139" i="10"/>
  <c r="K38" i="34" s="1"/>
  <c r="Y139" i="10"/>
  <c r="S139" i="10"/>
  <c r="J38" i="34" s="1"/>
  <c r="R139" i="10"/>
  <c r="Q139" i="10"/>
  <c r="P82" i="10"/>
  <c r="G115" i="34" s="1"/>
  <c r="X82" i="10"/>
  <c r="O115" i="34" s="1"/>
  <c r="Q82" i="10"/>
  <c r="H115" i="34" s="1"/>
  <c r="Y82" i="10"/>
  <c r="P115" i="34" s="1"/>
  <c r="R82" i="10"/>
  <c r="I115" i="34" s="1"/>
  <c r="O82" i="10"/>
  <c r="F115" i="34" s="1"/>
  <c r="W82" i="10"/>
  <c r="N115" i="34" s="1"/>
  <c r="N82" i="10"/>
  <c r="E115" i="34" s="1"/>
  <c r="S82" i="10"/>
  <c r="J115" i="34" s="1"/>
  <c r="T82" i="10"/>
  <c r="K115" i="34" s="1"/>
  <c r="U82" i="10"/>
  <c r="L115" i="34" s="1"/>
  <c r="V82" i="10"/>
  <c r="M115" i="34" s="1"/>
  <c r="M82" i="10"/>
  <c r="D115" i="34" s="1"/>
  <c r="P76" i="10"/>
  <c r="G109" i="34" s="1"/>
  <c r="X76" i="10"/>
  <c r="O109" i="34" s="1"/>
  <c r="Q76" i="10"/>
  <c r="H109" i="34" s="1"/>
  <c r="Y76" i="10"/>
  <c r="P109" i="34" s="1"/>
  <c r="R76" i="10"/>
  <c r="I109" i="34" s="1"/>
  <c r="O76" i="10"/>
  <c r="F109" i="34" s="1"/>
  <c r="W76" i="10"/>
  <c r="N109" i="34" s="1"/>
  <c r="U76" i="10"/>
  <c r="L109" i="34" s="1"/>
  <c r="V76" i="10"/>
  <c r="M109" i="34" s="1"/>
  <c r="M76" i="10"/>
  <c r="D109" i="34" s="1"/>
  <c r="T76" i="10"/>
  <c r="K109" i="34" s="1"/>
  <c r="S76" i="10"/>
  <c r="J109" i="34" s="1"/>
  <c r="N76" i="10"/>
  <c r="E109" i="34" s="1"/>
  <c r="N153" i="10"/>
  <c r="V153" i="10"/>
  <c r="O153" i="10"/>
  <c r="W153" i="10"/>
  <c r="P153" i="10"/>
  <c r="X153" i="10"/>
  <c r="U153" i="10"/>
  <c r="T153" i="10"/>
  <c r="Y153" i="10"/>
  <c r="M153" i="10"/>
  <c r="S153" i="10"/>
  <c r="Q153" i="10"/>
  <c r="R153" i="10"/>
  <c r="O50" i="6"/>
  <c r="F27" i="34"/>
  <c r="W20" i="5"/>
  <c r="N12" i="18"/>
  <c r="T20" i="6"/>
  <c r="E25" i="34"/>
  <c r="U11" i="6"/>
  <c r="L14" i="8"/>
  <c r="L27" i="8"/>
  <c r="L25" i="34"/>
  <c r="R10" i="18"/>
  <c r="Q20" i="5"/>
  <c r="H12" i="18"/>
  <c r="T27" i="8"/>
  <c r="T14" i="8"/>
  <c r="N20" i="5"/>
  <c r="E12" i="18"/>
  <c r="M21" i="5"/>
  <c r="O25" i="34"/>
  <c r="X20" i="5"/>
  <c r="O12" i="18"/>
  <c r="S25" i="34"/>
  <c r="V10" i="18"/>
  <c r="Y20" i="5"/>
  <c r="P12" i="18"/>
  <c r="K5" i="34"/>
  <c r="K175" i="34" s="1"/>
  <c r="D40" i="27" l="1"/>
  <c r="D187" i="34"/>
  <c r="R50" i="6"/>
  <c r="R21" i="6"/>
  <c r="V50" i="6"/>
  <c r="O11" i="6"/>
  <c r="Y50" i="6"/>
  <c r="P11" i="6"/>
  <c r="G81" i="34" s="1"/>
  <c r="R11" i="6"/>
  <c r="I81" i="34" s="1"/>
  <c r="Y38" i="10"/>
  <c r="Y39" i="10" s="1"/>
  <c r="Q12" i="6"/>
  <c r="T174" i="10"/>
  <c r="G82" i="34"/>
  <c r="U174" i="10"/>
  <c r="U175" i="10" s="1"/>
  <c r="M50" i="6"/>
  <c r="P50" i="6"/>
  <c r="W174" i="10"/>
  <c r="T11" i="6"/>
  <c r="T12" i="6" s="1"/>
  <c r="AC23" i="7"/>
  <c r="S23" i="7"/>
  <c r="AD23" i="7"/>
  <c r="AE23" i="7"/>
  <c r="T23" i="7"/>
  <c r="U23" i="7"/>
  <c r="V23" i="7"/>
  <c r="W23" i="7"/>
  <c r="X23" i="7"/>
  <c r="Y23" i="7"/>
  <c r="Z23" i="7"/>
  <c r="AA23" i="7"/>
  <c r="AB23" i="7"/>
  <c r="S11" i="6"/>
  <c r="S35" i="6" s="1"/>
  <c r="M44" i="20"/>
  <c r="P174" i="10"/>
  <c r="M174" i="10"/>
  <c r="D149" i="34" s="1"/>
  <c r="Q174" i="10"/>
  <c r="X38" i="10"/>
  <c r="X39" i="10" s="1"/>
  <c r="N38" i="10"/>
  <c r="N39" i="10" s="1"/>
  <c r="M38" i="10"/>
  <c r="M39" i="10" s="1"/>
  <c r="P16" i="10"/>
  <c r="P17" i="10" s="1"/>
  <c r="H20" i="18"/>
  <c r="P44" i="20"/>
  <c r="K20" i="18"/>
  <c r="S44" i="20"/>
  <c r="G20" i="18"/>
  <c r="O44" i="20"/>
  <c r="Q20" i="18"/>
  <c r="Y44" i="20"/>
  <c r="I20" i="18"/>
  <c r="Q44" i="20"/>
  <c r="L45" i="20"/>
  <c r="S76" i="34" s="1"/>
  <c r="O20" i="18"/>
  <c r="W44" i="20"/>
  <c r="M20" i="18"/>
  <c r="U44" i="20"/>
  <c r="J20" i="18"/>
  <c r="R44" i="20"/>
  <c r="P20" i="18"/>
  <c r="X44" i="20"/>
  <c r="L20" i="18"/>
  <c r="T44" i="20"/>
  <c r="F20" i="18"/>
  <c r="N44" i="20"/>
  <c r="N20" i="18"/>
  <c r="V44" i="20"/>
  <c r="X50" i="6"/>
  <c r="N82" i="34"/>
  <c r="M82" i="34"/>
  <c r="S21" i="6"/>
  <c r="F81" i="34"/>
  <c r="O12" i="6"/>
  <c r="Y12" i="6"/>
  <c r="X12" i="6"/>
  <c r="W11" i="6"/>
  <c r="N81" i="34" s="1"/>
  <c r="V12" i="6"/>
  <c r="N12" i="6"/>
  <c r="M12" i="6"/>
  <c r="R12" i="18"/>
  <c r="M16" i="10"/>
  <c r="M17" i="10" s="1"/>
  <c r="O16" i="10"/>
  <c r="O17" i="10" s="1"/>
  <c r="X16" i="10"/>
  <c r="X17" i="10" s="1"/>
  <c r="T16" i="10"/>
  <c r="T17" i="10" s="1"/>
  <c r="B125" i="34"/>
  <c r="B137" i="34"/>
  <c r="B128" i="34"/>
  <c r="L28" i="8"/>
  <c r="E18" i="18"/>
  <c r="T21" i="6"/>
  <c r="K82" i="34"/>
  <c r="B136" i="34"/>
  <c r="J30" i="18"/>
  <c r="R51" i="6"/>
  <c r="B126" i="34"/>
  <c r="V51" i="6"/>
  <c r="N30" i="18"/>
  <c r="U51" i="6"/>
  <c r="M30" i="18"/>
  <c r="B114" i="34"/>
  <c r="N187" i="10"/>
  <c r="O38" i="34"/>
  <c r="X142" i="10"/>
  <c r="X143" i="10" s="1"/>
  <c r="Y16" i="10"/>
  <c r="Y17" i="10" s="1"/>
  <c r="O51" i="6"/>
  <c r="G30" i="18"/>
  <c r="H38" i="34"/>
  <c r="Q142" i="10"/>
  <c r="Q143" i="10" s="1"/>
  <c r="G38" i="34"/>
  <c r="P142" i="10"/>
  <c r="P143" i="10" s="1"/>
  <c r="Q16" i="10"/>
  <c r="Q17" i="10" s="1"/>
  <c r="B140" i="34"/>
  <c r="X28" i="8"/>
  <c r="Q18" i="18"/>
  <c r="P51" i="6"/>
  <c r="H30" i="18"/>
  <c r="P175" i="10"/>
  <c r="G149" i="34"/>
  <c r="G150" i="34" s="1"/>
  <c r="G45" i="27" s="1"/>
  <c r="X21" i="6"/>
  <c r="O82" i="34"/>
  <c r="B107" i="34"/>
  <c r="B93" i="34"/>
  <c r="B134" i="34"/>
  <c r="AA7" i="7"/>
  <c r="W7" i="7"/>
  <c r="AB7" i="7"/>
  <c r="U7" i="7"/>
  <c r="S7" i="7"/>
  <c r="X7" i="7"/>
  <c r="T7" i="7"/>
  <c r="Y7" i="7"/>
  <c r="AC7" i="7"/>
  <c r="Z7" i="7"/>
  <c r="V7" i="7"/>
  <c r="AE7" i="7"/>
  <c r="AD7" i="7"/>
  <c r="B116" i="34"/>
  <c r="B103" i="34"/>
  <c r="B145" i="34"/>
  <c r="B96" i="34"/>
  <c r="B86" i="34"/>
  <c r="B106" i="34"/>
  <c r="B97" i="34"/>
  <c r="V12" i="18"/>
  <c r="S23" i="34"/>
  <c r="B109" i="34"/>
  <c r="I38" i="34"/>
  <c r="R142" i="10"/>
  <c r="R143" i="10" s="1"/>
  <c r="N38" i="34"/>
  <c r="W142" i="10"/>
  <c r="W143" i="10" s="1"/>
  <c r="V16" i="10"/>
  <c r="V17" i="10" s="1"/>
  <c r="W16" i="10"/>
  <c r="W17" i="10" s="1"/>
  <c r="B121" i="34"/>
  <c r="P149" i="34"/>
  <c r="P150" i="34" s="1"/>
  <c r="P45" i="27" s="1"/>
  <c r="Y175" i="10"/>
  <c r="L82" i="34"/>
  <c r="U21" i="6"/>
  <c r="B135" i="34"/>
  <c r="B87" i="34"/>
  <c r="B89" i="34"/>
  <c r="U28" i="8"/>
  <c r="N18" i="18"/>
  <c r="Q21" i="6"/>
  <c r="H82" i="34"/>
  <c r="B138" i="34"/>
  <c r="B105" i="34"/>
  <c r="Z22" i="7"/>
  <c r="U22" i="7"/>
  <c r="W22" i="7"/>
  <c r="V22" i="7"/>
  <c r="Y22" i="7"/>
  <c r="T22" i="7"/>
  <c r="AD22" i="7"/>
  <c r="AB22" i="7"/>
  <c r="AC22" i="7"/>
  <c r="AE22" i="7"/>
  <c r="AA22" i="7"/>
  <c r="S22" i="7"/>
  <c r="X22" i="7"/>
  <c r="Y51" i="6"/>
  <c r="Q30" i="18"/>
  <c r="N175" i="10"/>
  <c r="E149" i="34"/>
  <c r="E150" i="34" s="1"/>
  <c r="E45" i="27" s="1"/>
  <c r="B90" i="34"/>
  <c r="B139" i="34"/>
  <c r="D82" i="34"/>
  <c r="M21" i="6"/>
  <c r="L22" i="6"/>
  <c r="AB8" i="7"/>
  <c r="W8" i="7"/>
  <c r="Z8" i="7"/>
  <c r="S8" i="7"/>
  <c r="X8" i="7"/>
  <c r="AD8" i="7"/>
  <c r="AA8" i="7"/>
  <c r="V8" i="7"/>
  <c r="T8" i="7"/>
  <c r="Y8" i="7"/>
  <c r="AC8" i="7"/>
  <c r="U8" i="7"/>
  <c r="AE8" i="7"/>
  <c r="B99" i="34"/>
  <c r="N51" i="6"/>
  <c r="F30" i="18"/>
  <c r="B94" i="34"/>
  <c r="Q187" i="10"/>
  <c r="M43" i="10"/>
  <c r="M21" i="10"/>
  <c r="M22" i="10" s="1"/>
  <c r="X175" i="10"/>
  <c r="O149" i="34"/>
  <c r="O150" i="34" s="1"/>
  <c r="O45" i="27" s="1"/>
  <c r="T175" i="10"/>
  <c r="K149" i="34"/>
  <c r="K150" i="34" s="1"/>
  <c r="K45" i="27" s="1"/>
  <c r="B127" i="34"/>
  <c r="B131" i="34"/>
  <c r="B104" i="34"/>
  <c r="R28" i="8"/>
  <c r="K18" i="18"/>
  <c r="M162" i="10"/>
  <c r="Y21" i="7"/>
  <c r="T21" i="7"/>
  <c r="W21" i="7"/>
  <c r="V21" i="7"/>
  <c r="AA21" i="7"/>
  <c r="S21" i="7"/>
  <c r="AE21" i="7"/>
  <c r="Z21" i="7"/>
  <c r="AC21" i="7"/>
  <c r="AD21" i="7"/>
  <c r="U21" i="7"/>
  <c r="X21" i="7"/>
  <c r="AB21" i="7"/>
  <c r="M51" i="6"/>
  <c r="E30" i="18"/>
  <c r="B146" i="34"/>
  <c r="N28" i="8"/>
  <c r="G18" i="18"/>
  <c r="J40" i="34"/>
  <c r="J39" i="27" s="1"/>
  <c r="W28" i="8"/>
  <c r="P18" i="18"/>
  <c r="K40" i="34"/>
  <c r="K39" i="27" s="1"/>
  <c r="W175" i="10"/>
  <c r="N149" i="34"/>
  <c r="N150" i="34" s="1"/>
  <c r="N45" i="27" s="1"/>
  <c r="S175" i="10"/>
  <c r="J149" i="34"/>
  <c r="J150" i="34" s="1"/>
  <c r="J45" i="27" s="1"/>
  <c r="B133" i="34"/>
  <c r="Q51" i="6"/>
  <c r="I30" i="18"/>
  <c r="V28" i="8"/>
  <c r="O18" i="18"/>
  <c r="S28" i="8"/>
  <c r="L18" i="18"/>
  <c r="Q28" i="8"/>
  <c r="J18" i="18"/>
  <c r="P187" i="10"/>
  <c r="S187" i="10"/>
  <c r="F40" i="34"/>
  <c r="F39" i="27" s="1"/>
  <c r="B95" i="34"/>
  <c r="B91" i="34"/>
  <c r="B102" i="34"/>
  <c r="T28" i="8"/>
  <c r="M18" i="18"/>
  <c r="D38" i="34"/>
  <c r="M142" i="10"/>
  <c r="M143" i="10" s="1"/>
  <c r="U16" i="10"/>
  <c r="U17" i="10" s="1"/>
  <c r="S16" i="10"/>
  <c r="S17" i="10" s="1"/>
  <c r="R16" i="10"/>
  <c r="R17" i="10" s="1"/>
  <c r="S30" i="6"/>
  <c r="J83" i="34"/>
  <c r="B117" i="34"/>
  <c r="B98" i="34"/>
  <c r="O175" i="10"/>
  <c r="F149" i="34"/>
  <c r="F150" i="34" s="1"/>
  <c r="F45" i="27" s="1"/>
  <c r="R175" i="10"/>
  <c r="I149" i="34"/>
  <c r="I150" i="34" s="1"/>
  <c r="I45" i="27" s="1"/>
  <c r="K83" i="34"/>
  <c r="T30" i="6"/>
  <c r="M30" i="6"/>
  <c r="D83" i="34"/>
  <c r="M35" i="6"/>
  <c r="L31" i="6"/>
  <c r="X51" i="6"/>
  <c r="P30" i="18"/>
  <c r="B112" i="34"/>
  <c r="M28" i="8"/>
  <c r="F18" i="18"/>
  <c r="O28" i="8"/>
  <c r="H18" i="18"/>
  <c r="U30" i="6"/>
  <c r="L83" i="34"/>
  <c r="U35" i="6"/>
  <c r="R30" i="6"/>
  <c r="I83" i="34"/>
  <c r="Y21" i="6"/>
  <c r="P82" i="34"/>
  <c r="N21" i="6"/>
  <c r="E82" i="34"/>
  <c r="O187" i="10"/>
  <c r="B39" i="34"/>
  <c r="B124" i="34"/>
  <c r="N30" i="6"/>
  <c r="E83" i="34"/>
  <c r="N35" i="6"/>
  <c r="M22" i="5"/>
  <c r="O21" i="6"/>
  <c r="F82" i="34"/>
  <c r="B115" i="34"/>
  <c r="P38" i="34"/>
  <c r="Y142" i="10"/>
  <c r="Y143" i="10" s="1"/>
  <c r="M38" i="34"/>
  <c r="V142" i="10"/>
  <c r="V143" i="10" s="1"/>
  <c r="P28" i="8"/>
  <c r="I18" i="18"/>
  <c r="W51" i="6"/>
  <c r="O30" i="18"/>
  <c r="E40" i="34"/>
  <c r="E39" i="27" s="1"/>
  <c r="G83" i="34"/>
  <c r="P35" i="6"/>
  <c r="P30" i="6"/>
  <c r="L81" i="34"/>
  <c r="U12" i="6"/>
  <c r="L38" i="34"/>
  <c r="U142" i="10"/>
  <c r="U143" i="10" s="1"/>
  <c r="N16" i="10"/>
  <c r="N17" i="10" s="1"/>
  <c r="B113" i="34"/>
  <c r="H83" i="34"/>
  <c r="Q35" i="6"/>
  <c r="Q30" i="6"/>
  <c r="B122" i="34"/>
  <c r="B111" i="34"/>
  <c r="V175" i="10"/>
  <c r="M149" i="34"/>
  <c r="M150" i="34" s="1"/>
  <c r="M45" i="27" s="1"/>
  <c r="B129" i="34"/>
  <c r="B132" i="34"/>
  <c r="W30" i="6"/>
  <c r="N83" i="34"/>
  <c r="O30" i="6"/>
  <c r="F83" i="34"/>
  <c r="O35" i="6"/>
  <c r="T51" i="6"/>
  <c r="L30" i="18"/>
  <c r="Z9" i="7"/>
  <c r="S9" i="7"/>
  <c r="X9" i="7"/>
  <c r="Y9" i="7"/>
  <c r="V9" i="7"/>
  <c r="AB9" i="7"/>
  <c r="W9" i="7"/>
  <c r="T9" i="7"/>
  <c r="U9" i="7"/>
  <c r="AE9" i="7"/>
  <c r="AD9" i="7"/>
  <c r="AA9" i="7"/>
  <c r="AC9" i="7"/>
  <c r="V30" i="6"/>
  <c r="M83" i="34"/>
  <c r="M84" i="34" s="1"/>
  <c r="M190" i="34" s="1"/>
  <c r="V35" i="6"/>
  <c r="P83" i="34"/>
  <c r="Y30" i="6"/>
  <c r="Y35" i="6"/>
  <c r="B147" i="34"/>
  <c r="D33" i="34"/>
  <c r="M130" i="10"/>
  <c r="M131" i="10" s="1"/>
  <c r="B92" i="34"/>
  <c r="O83" i="34"/>
  <c r="X30" i="6"/>
  <c r="X35" i="6"/>
  <c r="K30" i="18"/>
  <c r="S51" i="6"/>
  <c r="R187" i="10"/>
  <c r="E23" i="34"/>
  <c r="E180" i="34" s="1"/>
  <c r="P47" i="27"/>
  <c r="B26" i="34"/>
  <c r="L5" i="34"/>
  <c r="L175" i="34" s="1"/>
  <c r="B10" i="34"/>
  <c r="B8" i="34"/>
  <c r="R35" i="6" l="1"/>
  <c r="P12" i="6"/>
  <c r="R12" i="6"/>
  <c r="K81" i="34"/>
  <c r="K84" i="34" s="1"/>
  <c r="K190" i="34" s="1"/>
  <c r="Y43" i="10"/>
  <c r="Y44" i="10" s="1"/>
  <c r="L52" i="6"/>
  <c r="S28" i="34" s="1"/>
  <c r="L149" i="34"/>
  <c r="L150" i="34" s="1"/>
  <c r="L45" i="27" s="1"/>
  <c r="N43" i="10"/>
  <c r="N44" i="10" s="1"/>
  <c r="W35" i="6"/>
  <c r="W36" i="6" s="1"/>
  <c r="S12" i="6"/>
  <c r="N84" i="34"/>
  <c r="N190" i="34" s="1"/>
  <c r="J81" i="34"/>
  <c r="J84" i="34" s="1"/>
  <c r="J190" i="34" s="1"/>
  <c r="L176" i="10"/>
  <c r="S150" i="34" s="1"/>
  <c r="T35" i="6"/>
  <c r="X43" i="10"/>
  <c r="X44" i="10" s="1"/>
  <c r="Q175" i="10"/>
  <c r="L177" i="10" s="1"/>
  <c r="M175" i="10"/>
  <c r="H149" i="34"/>
  <c r="H150" i="34" s="1"/>
  <c r="H45" i="27" s="1"/>
  <c r="M44" i="10"/>
  <c r="R20" i="18"/>
  <c r="O84" i="34"/>
  <c r="O190" i="34" s="1"/>
  <c r="L13" i="6"/>
  <c r="W12" i="6"/>
  <c r="L14" i="6" s="1"/>
  <c r="P84" i="34"/>
  <c r="P190" i="34" s="1"/>
  <c r="D84" i="34"/>
  <c r="D190" i="34" s="1"/>
  <c r="U25" i="7"/>
  <c r="F156" i="34" s="1"/>
  <c r="W25" i="7"/>
  <c r="W26" i="7" s="1"/>
  <c r="Y25" i="7"/>
  <c r="J156" i="34" s="1"/>
  <c r="S25" i="7"/>
  <c r="D156" i="34" s="1"/>
  <c r="L53" i="6"/>
  <c r="AB25" i="7"/>
  <c r="M156" i="34" s="1"/>
  <c r="AC25" i="7"/>
  <c r="AC26" i="7" s="1"/>
  <c r="E84" i="34"/>
  <c r="E190" i="34" s="1"/>
  <c r="AA25" i="7"/>
  <c r="AA26" i="7" s="1"/>
  <c r="F84" i="34"/>
  <c r="F190" i="34" s="1"/>
  <c r="L32" i="6"/>
  <c r="L84" i="34"/>
  <c r="L190" i="34" s="1"/>
  <c r="L23" i="6"/>
  <c r="H84" i="34"/>
  <c r="H190" i="34" s="1"/>
  <c r="Z25" i="7"/>
  <c r="Z26" i="7" s="1"/>
  <c r="AE25" i="7"/>
  <c r="AE26" i="7" s="1"/>
  <c r="R30" i="18"/>
  <c r="N40" i="34"/>
  <c r="N39" i="27" s="1"/>
  <c r="AE11" i="7"/>
  <c r="D150" i="34"/>
  <c r="D45" i="27" s="1"/>
  <c r="V11" i="7"/>
  <c r="AB11" i="7"/>
  <c r="S188" i="10"/>
  <c r="J151" i="34"/>
  <c r="J152" i="34" s="1"/>
  <c r="J46" i="27" s="1"/>
  <c r="Q14" i="18"/>
  <c r="Y36" i="6"/>
  <c r="J14" i="18"/>
  <c r="R36" i="6"/>
  <c r="E14" i="18"/>
  <c r="M36" i="6"/>
  <c r="I14" i="18"/>
  <c r="Q36" i="6"/>
  <c r="I40" i="34"/>
  <c r="I39" i="27" s="1"/>
  <c r="Z11" i="7"/>
  <c r="W11" i="7"/>
  <c r="O31" i="34"/>
  <c r="P31" i="34"/>
  <c r="Q26" i="18"/>
  <c r="P188" i="10"/>
  <c r="G151" i="34"/>
  <c r="G152" i="34" s="1"/>
  <c r="G46" i="27" s="1"/>
  <c r="P14" i="18"/>
  <c r="X36" i="6"/>
  <c r="L40" i="34"/>
  <c r="L39" i="27" s="1"/>
  <c r="E33" i="27"/>
  <c r="N14" i="18"/>
  <c r="V36" i="6"/>
  <c r="O188" i="10"/>
  <c r="F151" i="34"/>
  <c r="F152" i="34" s="1"/>
  <c r="F46" i="27" s="1"/>
  <c r="M14" i="18"/>
  <c r="U36" i="6"/>
  <c r="X25" i="7"/>
  <c r="V25" i="7"/>
  <c r="AC11" i="7"/>
  <c r="AA11" i="7"/>
  <c r="E24" i="18"/>
  <c r="D29" i="34"/>
  <c r="Y11" i="7"/>
  <c r="G40" i="34"/>
  <c r="G39" i="27" s="1"/>
  <c r="O40" i="34"/>
  <c r="O39" i="27" s="1"/>
  <c r="G14" i="18"/>
  <c r="O36" i="6"/>
  <c r="L19" i="10"/>
  <c r="H14" i="18"/>
  <c r="P36" i="6"/>
  <c r="F14" i="18"/>
  <c r="N36" i="6"/>
  <c r="I84" i="34"/>
  <c r="I190" i="34" s="1"/>
  <c r="D40" i="34"/>
  <c r="D39" i="27" s="1"/>
  <c r="B38" i="34"/>
  <c r="AD25" i="7"/>
  <c r="T25" i="7"/>
  <c r="F26" i="18"/>
  <c r="E31" i="34"/>
  <c r="T11" i="7"/>
  <c r="N188" i="10"/>
  <c r="E151" i="34"/>
  <c r="E152" i="34" s="1"/>
  <c r="E46" i="27" s="1"/>
  <c r="P40" i="34"/>
  <c r="P39" i="27" s="1"/>
  <c r="R188" i="10"/>
  <c r="I151" i="34"/>
  <c r="I152" i="34" s="1"/>
  <c r="I46" i="27" s="1"/>
  <c r="D37" i="34"/>
  <c r="M40" i="34"/>
  <c r="M39" i="27" s="1"/>
  <c r="G84" i="34"/>
  <c r="G190" i="34" s="1"/>
  <c r="K14" i="18"/>
  <c r="S36" i="6"/>
  <c r="E26" i="18"/>
  <c r="D31" i="34"/>
  <c r="U11" i="7"/>
  <c r="X11" i="7"/>
  <c r="H40" i="34"/>
  <c r="H39" i="27" s="1"/>
  <c r="R18" i="18"/>
  <c r="D77" i="34"/>
  <c r="D78" i="34" s="1"/>
  <c r="D41" i="27" s="1"/>
  <c r="M163" i="10"/>
  <c r="Q188" i="10"/>
  <c r="H151" i="34"/>
  <c r="H152" i="34" s="1"/>
  <c r="H46" i="27" s="1"/>
  <c r="AD11" i="7"/>
  <c r="S11" i="7"/>
  <c r="H10" i="8"/>
  <c r="H11" i="8"/>
  <c r="I11" i="8" s="1"/>
  <c r="H9" i="8"/>
  <c r="I9" i="8" s="1"/>
  <c r="H7" i="8"/>
  <c r="I7" i="8" s="1"/>
  <c r="H8" i="8"/>
  <c r="I8" i="8" s="1"/>
  <c r="F23" i="34"/>
  <c r="F180" i="34" s="1"/>
  <c r="D23" i="34"/>
  <c r="D180" i="34" s="1"/>
  <c r="O47" i="27"/>
  <c r="I9" i="20"/>
  <c r="I17" i="20"/>
  <c r="I25" i="20"/>
  <c r="I33" i="20"/>
  <c r="I41" i="20"/>
  <c r="I12" i="20"/>
  <c r="I10" i="20"/>
  <c r="I18" i="20"/>
  <c r="I26" i="20"/>
  <c r="I34" i="20"/>
  <c r="I13" i="20"/>
  <c r="I21" i="20"/>
  <c r="I29" i="20"/>
  <c r="I37" i="20"/>
  <c r="I8" i="20"/>
  <c r="I16" i="20"/>
  <c r="I24" i="20"/>
  <c r="I40" i="20"/>
  <c r="I11" i="20"/>
  <c r="I19" i="20"/>
  <c r="I27" i="20"/>
  <c r="I35" i="20"/>
  <c r="I28" i="20"/>
  <c r="I14" i="20"/>
  <c r="I23" i="20"/>
  <c r="I31" i="20"/>
  <c r="I39" i="20"/>
  <c r="I7" i="20"/>
  <c r="I20" i="20"/>
  <c r="I22" i="20"/>
  <c r="I38" i="20"/>
  <c r="I30" i="20"/>
  <c r="I15" i="20"/>
  <c r="I36" i="20"/>
  <c r="I10" i="8"/>
  <c r="D28" i="34"/>
  <c r="Q48" i="27"/>
  <c r="C13" i="34"/>
  <c r="L35" i="18"/>
  <c r="K18" i="23" s="1"/>
  <c r="K23" i="20"/>
  <c r="K10" i="20"/>
  <c r="K20" i="20"/>
  <c r="K41" i="20"/>
  <c r="K16" i="20"/>
  <c r="K14" i="20"/>
  <c r="K25" i="20"/>
  <c r="K29" i="20"/>
  <c r="K22" i="20"/>
  <c r="K35" i="20"/>
  <c r="K30" i="20"/>
  <c r="K15" i="20"/>
  <c r="K8" i="20"/>
  <c r="K34" i="20"/>
  <c r="K21" i="20"/>
  <c r="K9" i="20"/>
  <c r="K33" i="20"/>
  <c r="M5" i="34"/>
  <c r="M175" i="34" s="1"/>
  <c r="K19" i="20"/>
  <c r="K27" i="20"/>
  <c r="K12" i="20"/>
  <c r="K26" i="20"/>
  <c r="K39" i="20"/>
  <c r="K37" i="20"/>
  <c r="K38" i="20"/>
  <c r="K13" i="20"/>
  <c r="K11" i="20"/>
  <c r="K24" i="20"/>
  <c r="K32" i="20"/>
  <c r="K36" i="20"/>
  <c r="K17" i="20"/>
  <c r="K28" i="20"/>
  <c r="K31" i="20"/>
  <c r="K40" i="20"/>
  <c r="K18" i="20"/>
  <c r="O38" i="10"/>
  <c r="N142" i="10"/>
  <c r="O142" i="10"/>
  <c r="O143" i="10" s="1"/>
  <c r="I35" i="18"/>
  <c r="H18" i="23" s="1"/>
  <c r="J35" i="18"/>
  <c r="I18" i="23" s="1"/>
  <c r="K35" i="18"/>
  <c r="J18" i="23" s="1"/>
  <c r="L142" i="10"/>
  <c r="L193" i="10" s="1"/>
  <c r="P38" i="10"/>
  <c r="C40" i="34"/>
  <c r="C28" i="34"/>
  <c r="F35" i="18"/>
  <c r="E18" i="23" s="1"/>
  <c r="O14" i="18" l="1"/>
  <c r="L37" i="6"/>
  <c r="S84" i="34" s="1"/>
  <c r="L14" i="18"/>
  <c r="R14" i="18" s="1"/>
  <c r="P26" i="18"/>
  <c r="T36" i="6"/>
  <c r="B149" i="34"/>
  <c r="B150" i="34" s="1"/>
  <c r="S30" i="7"/>
  <c r="E16" i="18" s="1"/>
  <c r="O43" i="10"/>
  <c r="G26" i="18" s="1"/>
  <c r="O39" i="10"/>
  <c r="P43" i="10"/>
  <c r="P44" i="10" s="1"/>
  <c r="P39" i="10"/>
  <c r="Y26" i="7"/>
  <c r="N156" i="34"/>
  <c r="Z30" i="7"/>
  <c r="L16" i="18" s="1"/>
  <c r="AA30" i="7"/>
  <c r="M16" i="18" s="1"/>
  <c r="H156" i="34"/>
  <c r="L156" i="34"/>
  <c r="K156" i="34"/>
  <c r="U26" i="7"/>
  <c r="U30" i="7"/>
  <c r="U31" i="7" s="1"/>
  <c r="AB26" i="7"/>
  <c r="Y30" i="7"/>
  <c r="Y31" i="7" s="1"/>
  <c r="S26" i="7"/>
  <c r="AC30" i="7"/>
  <c r="AC31" i="7" s="1"/>
  <c r="P156" i="34"/>
  <c r="F33" i="27"/>
  <c r="D35" i="27"/>
  <c r="Y12" i="7"/>
  <c r="J155" i="34"/>
  <c r="J157" i="34" s="1"/>
  <c r="H26" i="18"/>
  <c r="I155" i="34"/>
  <c r="X12" i="7"/>
  <c r="D38" i="27"/>
  <c r="E155" i="34"/>
  <c r="T12" i="7"/>
  <c r="D30" i="34"/>
  <c r="B40" i="34"/>
  <c r="P32" i="34"/>
  <c r="L38" i="6"/>
  <c r="AB12" i="7"/>
  <c r="M155" i="34"/>
  <c r="M157" i="34" s="1"/>
  <c r="M195" i="34" s="1"/>
  <c r="AE12" i="7"/>
  <c r="P155" i="34"/>
  <c r="U12" i="7"/>
  <c r="F155" i="34"/>
  <c r="F157" i="34" s="1"/>
  <c r="E32" i="34"/>
  <c r="G155" i="34"/>
  <c r="V12" i="7"/>
  <c r="O32" i="34"/>
  <c r="AB30" i="7"/>
  <c r="D32" i="34"/>
  <c r="L155" i="34"/>
  <c r="AA12" i="7"/>
  <c r="W12" i="7"/>
  <c r="H155" i="34"/>
  <c r="T150" i="34"/>
  <c r="R45" i="27"/>
  <c r="W30" i="7"/>
  <c r="N155" i="34"/>
  <c r="AC12" i="7"/>
  <c r="Z12" i="7"/>
  <c r="K155" i="34"/>
  <c r="S12" i="7"/>
  <c r="R13" i="7"/>
  <c r="D155" i="34"/>
  <c r="T30" i="7"/>
  <c r="E156" i="34"/>
  <c r="T26" i="7"/>
  <c r="D33" i="27"/>
  <c r="AD30" i="7"/>
  <c r="O155" i="34"/>
  <c r="AD12" i="7"/>
  <c r="AD26" i="7"/>
  <c r="O156" i="34"/>
  <c r="V30" i="7"/>
  <c r="V26" i="7"/>
  <c r="G156" i="34"/>
  <c r="R27" i="7"/>
  <c r="AE30" i="7"/>
  <c r="X30" i="7"/>
  <c r="X26" i="7"/>
  <c r="I156" i="34"/>
  <c r="N143" i="10"/>
  <c r="I32" i="20"/>
  <c r="J32" i="20" s="1"/>
  <c r="K15" i="8"/>
  <c r="D165" i="34"/>
  <c r="G23" i="34"/>
  <c r="G180" i="34" s="1"/>
  <c r="J27" i="20"/>
  <c r="J12" i="20"/>
  <c r="J19" i="20"/>
  <c r="J41" i="20"/>
  <c r="J39" i="20"/>
  <c r="J11" i="20"/>
  <c r="J21" i="20"/>
  <c r="J33" i="20"/>
  <c r="J20" i="20"/>
  <c r="J37" i="20"/>
  <c r="J7" i="20"/>
  <c r="J29" i="20"/>
  <c r="J36" i="20"/>
  <c r="J31" i="20"/>
  <c r="J40" i="20"/>
  <c r="J13" i="20"/>
  <c r="B47" i="34"/>
  <c r="J25" i="20"/>
  <c r="J15" i="20"/>
  <c r="J23" i="20"/>
  <c r="J34" i="20"/>
  <c r="J17" i="20"/>
  <c r="J26" i="20"/>
  <c r="J22" i="20"/>
  <c r="I14" i="10"/>
  <c r="I11" i="10"/>
  <c r="I12" i="10"/>
  <c r="I9" i="10"/>
  <c r="I13" i="10"/>
  <c r="I10" i="10"/>
  <c r="J30" i="20"/>
  <c r="J14" i="20"/>
  <c r="J24" i="20"/>
  <c r="J9" i="20"/>
  <c r="J38" i="20"/>
  <c r="J28" i="20"/>
  <c r="J16" i="20"/>
  <c r="J18" i="20"/>
  <c r="J35" i="20"/>
  <c r="J8" i="20"/>
  <c r="J10" i="20"/>
  <c r="E28" i="34"/>
  <c r="C39" i="27"/>
  <c r="C35" i="27"/>
  <c r="D35" i="18"/>
  <c r="C18" i="23" s="1"/>
  <c r="M35" i="18"/>
  <c r="L18" i="23" s="1"/>
  <c r="N5" i="34"/>
  <c r="N175" i="34" s="1"/>
  <c r="T142" i="10"/>
  <c r="T143" i="10" s="1"/>
  <c r="S142" i="10"/>
  <c r="S143" i="10" s="1"/>
  <c r="C23" i="34"/>
  <c r="Q38" i="10"/>
  <c r="K7" i="20"/>
  <c r="S31" i="7" l="1"/>
  <c r="F48" i="27"/>
  <c r="F195" i="34"/>
  <c r="J48" i="27"/>
  <c r="J195" i="34"/>
  <c r="C33" i="27"/>
  <c r="C180" i="34"/>
  <c r="N157" i="34"/>
  <c r="N195" i="34" s="1"/>
  <c r="F31" i="34"/>
  <c r="Z31" i="7"/>
  <c r="G31" i="34"/>
  <c r="O44" i="10"/>
  <c r="Q43" i="10"/>
  <c r="Q44" i="10" s="1"/>
  <c r="Q39" i="10"/>
  <c r="K16" i="18"/>
  <c r="O16" i="18"/>
  <c r="H157" i="34"/>
  <c r="AA31" i="7"/>
  <c r="G16" i="18"/>
  <c r="P157" i="34"/>
  <c r="P195" i="34" s="1"/>
  <c r="K157" i="34"/>
  <c r="L157" i="34"/>
  <c r="L195" i="34" s="1"/>
  <c r="R32" i="7"/>
  <c r="V16" i="18" s="1"/>
  <c r="R28" i="7"/>
  <c r="AB31" i="7"/>
  <c r="N16" i="18"/>
  <c r="E157" i="34"/>
  <c r="V31" i="7"/>
  <c r="H16" i="18"/>
  <c r="R14" i="7"/>
  <c r="E37" i="27"/>
  <c r="P37" i="27"/>
  <c r="R39" i="27"/>
  <c r="E35" i="27"/>
  <c r="D36" i="27"/>
  <c r="X31" i="7"/>
  <c r="J16" i="18"/>
  <c r="O37" i="27"/>
  <c r="I157" i="34"/>
  <c r="T31" i="7"/>
  <c r="F16" i="18"/>
  <c r="AE31" i="7"/>
  <c r="Q16" i="18"/>
  <c r="O157" i="34"/>
  <c r="O195" i="34" s="1"/>
  <c r="AD31" i="7"/>
  <c r="P16" i="18"/>
  <c r="W31" i="7"/>
  <c r="I16" i="18"/>
  <c r="G33" i="27"/>
  <c r="G157" i="34"/>
  <c r="D157" i="34"/>
  <c r="B155" i="34"/>
  <c r="D37" i="27"/>
  <c r="G32" i="34"/>
  <c r="F32" i="34"/>
  <c r="L144" i="10"/>
  <c r="S40" i="34" s="1"/>
  <c r="T40" i="34" s="1"/>
  <c r="L145" i="10"/>
  <c r="L46" i="20"/>
  <c r="D49" i="27"/>
  <c r="D43" i="27"/>
  <c r="B123" i="34"/>
  <c r="B100" i="34"/>
  <c r="J13" i="10"/>
  <c r="B85" i="34"/>
  <c r="M187" i="10"/>
  <c r="D151" i="34" s="1"/>
  <c r="E165" i="34"/>
  <c r="B110" i="34"/>
  <c r="T187" i="10"/>
  <c r="J12" i="10"/>
  <c r="B108" i="34"/>
  <c r="J9" i="10"/>
  <c r="J10" i="10"/>
  <c r="J14" i="10"/>
  <c r="B88" i="34"/>
  <c r="B101" i="34"/>
  <c r="J11" i="10"/>
  <c r="H23" i="34"/>
  <c r="H180" i="34" s="1"/>
  <c r="F28" i="34"/>
  <c r="C43" i="27"/>
  <c r="N35" i="18"/>
  <c r="M18" i="23" s="1"/>
  <c r="O5" i="34"/>
  <c r="O175" i="34" s="1"/>
  <c r="R38" i="10"/>
  <c r="K48" i="27" l="1"/>
  <c r="K195" i="34"/>
  <c r="H48" i="27"/>
  <c r="H195" i="34"/>
  <c r="D48" i="27"/>
  <c r="D195" i="34"/>
  <c r="I48" i="27"/>
  <c r="I195" i="34"/>
  <c r="E48" i="27"/>
  <c r="E195" i="34"/>
  <c r="G48" i="27"/>
  <c r="G195" i="34"/>
  <c r="H31" i="34"/>
  <c r="I26" i="18"/>
  <c r="R43" i="10"/>
  <c r="R44" i="10" s="1"/>
  <c r="R39" i="10"/>
  <c r="S157" i="34"/>
  <c r="R16" i="18"/>
  <c r="R33" i="7"/>
  <c r="H32" i="34"/>
  <c r="H33" i="27"/>
  <c r="T188" i="10"/>
  <c r="K151" i="34"/>
  <c r="F37" i="27"/>
  <c r="G37" i="27"/>
  <c r="M188" i="10"/>
  <c r="M193" i="10"/>
  <c r="E28" i="18" s="1"/>
  <c r="N162" i="10"/>
  <c r="E77" i="34" s="1"/>
  <c r="O162" i="10"/>
  <c r="I23" i="34"/>
  <c r="I180" i="34" s="1"/>
  <c r="F165" i="34"/>
  <c r="L48" i="27"/>
  <c r="E49" i="27"/>
  <c r="U187" i="10"/>
  <c r="P162" i="10"/>
  <c r="E76" i="34"/>
  <c r="E187" i="34" s="1"/>
  <c r="N130" i="10"/>
  <c r="F35" i="27"/>
  <c r="L116" i="10"/>
  <c r="P5" i="34"/>
  <c r="S38" i="10"/>
  <c r="I31" i="34" l="1"/>
  <c r="J26" i="18"/>
  <c r="S43" i="10"/>
  <c r="K26" i="18" s="1"/>
  <c r="S39" i="10"/>
  <c r="I33" i="27"/>
  <c r="I32" i="34"/>
  <c r="O163" i="10"/>
  <c r="F77" i="34"/>
  <c r="F78" i="34" s="1"/>
  <c r="P163" i="10"/>
  <c r="G77" i="34"/>
  <c r="U188" i="10"/>
  <c r="L151" i="34"/>
  <c r="H37" i="27"/>
  <c r="B5" i="34"/>
  <c r="P175" i="34"/>
  <c r="N131" i="10"/>
  <c r="N163" i="10"/>
  <c r="M194" i="10"/>
  <c r="N193" i="10"/>
  <c r="J23" i="34"/>
  <c r="J180" i="34" s="1"/>
  <c r="E37" i="34"/>
  <c r="O130" i="10"/>
  <c r="K152" i="34"/>
  <c r="M48" i="27"/>
  <c r="N21" i="10"/>
  <c r="N22" i="10" s="1"/>
  <c r="F76" i="34"/>
  <c r="E40" i="27"/>
  <c r="G165" i="34"/>
  <c r="V187" i="10"/>
  <c r="Q162" i="10"/>
  <c r="D152" i="34"/>
  <c r="F49" i="27"/>
  <c r="G28" i="34"/>
  <c r="H28" i="34"/>
  <c r="E43" i="27"/>
  <c r="C148" i="34"/>
  <c r="M116" i="10"/>
  <c r="E22" i="18" s="1"/>
  <c r="D33" i="18"/>
  <c r="B9" i="34"/>
  <c r="O35" i="18"/>
  <c r="N18" i="23" s="1"/>
  <c r="T38" i="10"/>
  <c r="F40" i="27" l="1"/>
  <c r="F187" i="34"/>
  <c r="J31" i="34"/>
  <c r="S44" i="10"/>
  <c r="T43" i="10"/>
  <c r="T44" i="10" s="1"/>
  <c r="T39" i="10"/>
  <c r="L26" i="18"/>
  <c r="K31" i="34"/>
  <c r="F24" i="18"/>
  <c r="E29" i="34"/>
  <c r="Q163" i="10"/>
  <c r="H77" i="34"/>
  <c r="I37" i="27"/>
  <c r="V188" i="10"/>
  <c r="M151" i="34"/>
  <c r="J32" i="34"/>
  <c r="J33" i="27"/>
  <c r="H35" i="27"/>
  <c r="N194" i="10"/>
  <c r="F28" i="18"/>
  <c r="T5" i="34"/>
  <c r="B175" i="34"/>
  <c r="O193" i="10"/>
  <c r="O131" i="10"/>
  <c r="M117" i="10"/>
  <c r="D148" i="34"/>
  <c r="K23" i="34"/>
  <c r="K180" i="34" s="1"/>
  <c r="G49" i="27"/>
  <c r="B43" i="34"/>
  <c r="L152" i="34"/>
  <c r="F41" i="27"/>
  <c r="N48" i="27"/>
  <c r="E78" i="34"/>
  <c r="W187" i="10"/>
  <c r="D46" i="27"/>
  <c r="G78" i="34"/>
  <c r="H165" i="34"/>
  <c r="E38" i="27"/>
  <c r="O21" i="10"/>
  <c r="O22" i="10" s="1"/>
  <c r="R162" i="10"/>
  <c r="G76" i="34"/>
  <c r="F37" i="34"/>
  <c r="P130" i="10"/>
  <c r="K46" i="27"/>
  <c r="G35" i="27"/>
  <c r="I28" i="34"/>
  <c r="F43" i="27"/>
  <c r="C44" i="27"/>
  <c r="E148" i="34"/>
  <c r="N116" i="10"/>
  <c r="P35" i="18"/>
  <c r="O18" i="23" s="1"/>
  <c r="U38" i="10"/>
  <c r="G40" i="27" l="1"/>
  <c r="G187" i="34"/>
  <c r="U43" i="10"/>
  <c r="U44" i="10" s="1"/>
  <c r="U39" i="10"/>
  <c r="E30" i="34"/>
  <c r="O194" i="10"/>
  <c r="G28" i="18"/>
  <c r="K33" i="27"/>
  <c r="G24" i="18"/>
  <c r="F29" i="34"/>
  <c r="W188" i="10"/>
  <c r="N151" i="34"/>
  <c r="J37" i="27"/>
  <c r="K32" i="34"/>
  <c r="R163" i="10"/>
  <c r="I77" i="34"/>
  <c r="N117" i="10"/>
  <c r="F22" i="18"/>
  <c r="P193" i="10"/>
  <c r="P131" i="10"/>
  <c r="D44" i="27"/>
  <c r="L23" i="34"/>
  <c r="L180" i="34" s="1"/>
  <c r="G41" i="27"/>
  <c r="X187" i="10"/>
  <c r="G37" i="34"/>
  <c r="P21" i="10"/>
  <c r="P22" i="10" s="1"/>
  <c r="Q130" i="10"/>
  <c r="H43" i="27"/>
  <c r="H49" i="27"/>
  <c r="E41" i="27"/>
  <c r="S162" i="10"/>
  <c r="M152" i="34"/>
  <c r="H76" i="34"/>
  <c r="L46" i="27"/>
  <c r="F38" i="27"/>
  <c r="H78" i="34"/>
  <c r="I165" i="34"/>
  <c r="G43" i="27"/>
  <c r="I35" i="27"/>
  <c r="J28" i="34"/>
  <c r="E44" i="27"/>
  <c r="O116" i="10"/>
  <c r="Q35" i="18"/>
  <c r="P18" i="23" s="1"/>
  <c r="V38" i="10"/>
  <c r="H40" i="27" l="1"/>
  <c r="H187" i="34"/>
  <c r="L31" i="34"/>
  <c r="M26" i="18"/>
  <c r="E36" i="27"/>
  <c r="V43" i="10"/>
  <c r="V44" i="10" s="1"/>
  <c r="V39" i="10"/>
  <c r="K37" i="27"/>
  <c r="H24" i="18"/>
  <c r="G29" i="34"/>
  <c r="X188" i="10"/>
  <c r="O151" i="34"/>
  <c r="L32" i="34"/>
  <c r="L33" i="27"/>
  <c r="F30" i="34"/>
  <c r="P194" i="10"/>
  <c r="H28" i="18"/>
  <c r="S163" i="10"/>
  <c r="J77" i="34"/>
  <c r="N26" i="18"/>
  <c r="M31" i="34"/>
  <c r="O117" i="10"/>
  <c r="G22" i="18"/>
  <c r="Q193" i="10"/>
  <c r="Q131" i="10"/>
  <c r="I76" i="34"/>
  <c r="M23" i="34"/>
  <c r="M180" i="34" s="1"/>
  <c r="O48" i="27"/>
  <c r="T162" i="10"/>
  <c r="I49" i="27"/>
  <c r="H41" i="27"/>
  <c r="P48" i="27"/>
  <c r="R130" i="10"/>
  <c r="G38" i="27"/>
  <c r="J165" i="34"/>
  <c r="Q21" i="10"/>
  <c r="Q22" i="10" s="1"/>
  <c r="N152" i="34"/>
  <c r="H37" i="34"/>
  <c r="Y187" i="10"/>
  <c r="P151" i="34" s="1"/>
  <c r="M46" i="27"/>
  <c r="I43" i="27"/>
  <c r="K28" i="34"/>
  <c r="J35" i="27"/>
  <c r="G148" i="34"/>
  <c r="P116" i="10"/>
  <c r="F148" i="34"/>
  <c r="C25" i="34"/>
  <c r="W38" i="10"/>
  <c r="I40" i="27" l="1"/>
  <c r="I187" i="34"/>
  <c r="W43" i="10"/>
  <c r="W39" i="10"/>
  <c r="L41" i="10" s="1"/>
  <c r="L40" i="10"/>
  <c r="G30" i="34"/>
  <c r="Q194" i="10"/>
  <c r="I28" i="18"/>
  <c r="O26" i="18"/>
  <c r="R26" i="18" s="1"/>
  <c r="N31" i="34"/>
  <c r="I24" i="18"/>
  <c r="H29" i="34"/>
  <c r="T163" i="10"/>
  <c r="K77" i="34"/>
  <c r="F36" i="27"/>
  <c r="M33" i="27"/>
  <c r="M32" i="34"/>
  <c r="P117" i="10"/>
  <c r="H22" i="18"/>
  <c r="L37" i="27"/>
  <c r="R193" i="10"/>
  <c r="R131" i="10"/>
  <c r="Y188" i="10"/>
  <c r="L190" i="10" s="1"/>
  <c r="L189" i="10"/>
  <c r="S152" i="34" s="1"/>
  <c r="B144" i="34"/>
  <c r="N23" i="34"/>
  <c r="N180" i="34" s="1"/>
  <c r="B50" i="34"/>
  <c r="K165" i="34"/>
  <c r="H38" i="27"/>
  <c r="J49" i="27"/>
  <c r="O152" i="34"/>
  <c r="R21" i="10"/>
  <c r="R22" i="10" s="1"/>
  <c r="I37" i="34"/>
  <c r="J76" i="34"/>
  <c r="P152" i="34"/>
  <c r="I78" i="34"/>
  <c r="S130" i="10"/>
  <c r="N46" i="27"/>
  <c r="J78" i="34"/>
  <c r="G36" i="27"/>
  <c r="U162" i="10"/>
  <c r="L28" i="34"/>
  <c r="K35" i="27"/>
  <c r="F44" i="27"/>
  <c r="Q116" i="10"/>
  <c r="G44" i="27"/>
  <c r="C34" i="27"/>
  <c r="J40" i="27" l="1"/>
  <c r="J187" i="34"/>
  <c r="W44" i="10"/>
  <c r="L46" i="10" s="1"/>
  <c r="L45" i="10"/>
  <c r="R194" i="10"/>
  <c r="J28" i="18"/>
  <c r="U163" i="10"/>
  <c r="L77" i="34"/>
  <c r="N33" i="27"/>
  <c r="M37" i="27"/>
  <c r="N32" i="34"/>
  <c r="B31" i="34"/>
  <c r="J24" i="18"/>
  <c r="I29" i="34"/>
  <c r="Q117" i="10"/>
  <c r="I22" i="18"/>
  <c r="H30" i="34"/>
  <c r="S193" i="10"/>
  <c r="S131" i="10"/>
  <c r="J43" i="27"/>
  <c r="B17" i="34"/>
  <c r="K49" i="27"/>
  <c r="B19" i="34"/>
  <c r="O23" i="34"/>
  <c r="O180" i="34" s="1"/>
  <c r="B16" i="34"/>
  <c r="B15" i="34"/>
  <c r="B18" i="34"/>
  <c r="B151" i="34"/>
  <c r="B152" i="34" s="1"/>
  <c r="T152" i="34" s="1"/>
  <c r="V162" i="10"/>
  <c r="T130" i="10"/>
  <c r="P46" i="27"/>
  <c r="B22" i="34"/>
  <c r="O46" i="27"/>
  <c r="B21" i="34"/>
  <c r="B20" i="34"/>
  <c r="P23" i="34"/>
  <c r="P180" i="34" s="1"/>
  <c r="B14" i="34"/>
  <c r="I41" i="27"/>
  <c r="L165" i="34"/>
  <c r="S21" i="10"/>
  <c r="S22" i="10" s="1"/>
  <c r="K76" i="34"/>
  <c r="I38" i="27"/>
  <c r="J41" i="27"/>
  <c r="K78" i="34"/>
  <c r="J37" i="34"/>
  <c r="M28" i="34"/>
  <c r="L35" i="27"/>
  <c r="H148" i="34"/>
  <c r="I148" i="34"/>
  <c r="R116" i="10"/>
  <c r="T39" i="18"/>
  <c r="K40" i="27" l="1"/>
  <c r="K187" i="34"/>
  <c r="R117" i="10"/>
  <c r="J22" i="18"/>
  <c r="V163" i="10"/>
  <c r="M77" i="34"/>
  <c r="S194" i="10"/>
  <c r="K28" i="18"/>
  <c r="I30" i="34"/>
  <c r="B32" i="34"/>
  <c r="K24" i="18"/>
  <c r="J29" i="34"/>
  <c r="H36" i="27"/>
  <c r="N37" i="27"/>
  <c r="T193" i="10"/>
  <c r="T131" i="10"/>
  <c r="O33" i="27"/>
  <c r="K43" i="27"/>
  <c r="B23" i="34"/>
  <c r="B180" i="34" s="1"/>
  <c r="K37" i="34"/>
  <c r="R46" i="27"/>
  <c r="L78" i="34"/>
  <c r="P33" i="27"/>
  <c r="L76" i="34"/>
  <c r="J38" i="27"/>
  <c r="U130" i="10"/>
  <c r="W162" i="10"/>
  <c r="T21" i="10"/>
  <c r="T22" i="10" s="1"/>
  <c r="M165" i="34"/>
  <c r="K41" i="27"/>
  <c r="L49" i="27"/>
  <c r="N28" i="34"/>
  <c r="M35" i="27"/>
  <c r="J148" i="34"/>
  <c r="S116" i="10"/>
  <c r="I44" i="27"/>
  <c r="H44" i="27"/>
  <c r="B12" i="34"/>
  <c r="L40" i="27" l="1"/>
  <c r="L187" i="34"/>
  <c r="I36" i="27"/>
  <c r="W26" i="18"/>
  <c r="R37" i="27"/>
  <c r="S117" i="10"/>
  <c r="K22" i="18"/>
  <c r="L24" i="18"/>
  <c r="K29" i="34"/>
  <c r="T23" i="34"/>
  <c r="J30" i="34"/>
  <c r="W163" i="10"/>
  <c r="N77" i="34"/>
  <c r="T194" i="10"/>
  <c r="L28" i="18"/>
  <c r="U193" i="10"/>
  <c r="U131" i="10"/>
  <c r="L43" i="27"/>
  <c r="M49" i="27"/>
  <c r="M78" i="34"/>
  <c r="M76" i="34"/>
  <c r="U21" i="10"/>
  <c r="U22" i="10" s="1"/>
  <c r="X162" i="10"/>
  <c r="N165" i="34"/>
  <c r="L41" i="27"/>
  <c r="K38" i="27"/>
  <c r="V130" i="10"/>
  <c r="X12" i="18"/>
  <c r="L37" i="34"/>
  <c r="N35" i="27"/>
  <c r="O28" i="34"/>
  <c r="J44" i="27"/>
  <c r="T116" i="10"/>
  <c r="N47" i="27"/>
  <c r="M40" i="27" l="1"/>
  <c r="M187" i="34"/>
  <c r="M24" i="18"/>
  <c r="L29" i="34"/>
  <c r="U194" i="10"/>
  <c r="M28" i="18"/>
  <c r="T117" i="10"/>
  <c r="L22" i="18"/>
  <c r="J36" i="27"/>
  <c r="X163" i="10"/>
  <c r="O77" i="34"/>
  <c r="K30" i="34"/>
  <c r="V193" i="10"/>
  <c r="V131" i="10"/>
  <c r="M43" i="27"/>
  <c r="B52" i="34"/>
  <c r="B162" i="34"/>
  <c r="B81" i="34"/>
  <c r="B160" i="34"/>
  <c r="B161" i="34"/>
  <c r="B159" i="34"/>
  <c r="G47" i="27"/>
  <c r="K47" i="27"/>
  <c r="N76" i="34"/>
  <c r="L38" i="27"/>
  <c r="V21" i="10"/>
  <c r="V22" i="10" s="1"/>
  <c r="M41" i="27"/>
  <c r="H47" i="27"/>
  <c r="M37" i="34"/>
  <c r="W130" i="10"/>
  <c r="N78" i="34"/>
  <c r="L47" i="27"/>
  <c r="J47" i="27"/>
  <c r="N49" i="27"/>
  <c r="Y162" i="10"/>
  <c r="P77" i="34" s="1"/>
  <c r="O165" i="34"/>
  <c r="O35" i="27"/>
  <c r="K148" i="34"/>
  <c r="L148" i="34"/>
  <c r="U116" i="10"/>
  <c r="V6" i="23"/>
  <c r="X6" i="23" s="1"/>
  <c r="T6" i="23"/>
  <c r="B119" i="34"/>
  <c r="G42" i="27"/>
  <c r="D47" i="27"/>
  <c r="F47" i="27"/>
  <c r="R33" i="27"/>
  <c r="N40" i="27" l="1"/>
  <c r="N187" i="34"/>
  <c r="K36" i="27"/>
  <c r="V194" i="10"/>
  <c r="N28" i="18"/>
  <c r="U117" i="10"/>
  <c r="M22" i="18"/>
  <c r="N24" i="18"/>
  <c r="M29" i="34"/>
  <c r="L30" i="34"/>
  <c r="W193" i="10"/>
  <c r="W131" i="10"/>
  <c r="Y163" i="10"/>
  <c r="L165" i="10" s="1"/>
  <c r="L164" i="10"/>
  <c r="S78" i="34" s="1"/>
  <c r="B51" i="34"/>
  <c r="B49" i="34"/>
  <c r="B62" i="34"/>
  <c r="B65" i="34"/>
  <c r="B64" i="34"/>
  <c r="B63" i="34"/>
  <c r="N43" i="27"/>
  <c r="B71" i="34"/>
  <c r="B61" i="34"/>
  <c r="B73" i="34"/>
  <c r="B44" i="34"/>
  <c r="B68" i="34"/>
  <c r="B60" i="34"/>
  <c r="B45" i="34"/>
  <c r="B55" i="34"/>
  <c r="O78" i="34"/>
  <c r="B72" i="34"/>
  <c r="B58" i="34"/>
  <c r="B42" i="34"/>
  <c r="B56" i="34"/>
  <c r="O76" i="34"/>
  <c r="O187" i="34" s="1"/>
  <c r="B69" i="34"/>
  <c r="B74" i="34"/>
  <c r="B59" i="34"/>
  <c r="B46" i="34"/>
  <c r="B75" i="34"/>
  <c r="B66" i="34"/>
  <c r="B82" i="34"/>
  <c r="N41" i="27"/>
  <c r="B48" i="34"/>
  <c r="B67" i="34"/>
  <c r="B70" i="34"/>
  <c r="N37" i="34"/>
  <c r="B53" i="34"/>
  <c r="W21" i="10"/>
  <c r="W22" i="10" s="1"/>
  <c r="P165" i="34"/>
  <c r="B158" i="34"/>
  <c r="B165" i="34" s="1"/>
  <c r="B41" i="34"/>
  <c r="B57" i="34"/>
  <c r="B54" i="34"/>
  <c r="M38" i="27"/>
  <c r="I47" i="27"/>
  <c r="M47" i="27"/>
  <c r="O49" i="27"/>
  <c r="X130" i="10"/>
  <c r="X131" i="10" s="1"/>
  <c r="B83" i="34"/>
  <c r="O43" i="27"/>
  <c r="R47" i="27"/>
  <c r="P28" i="34"/>
  <c r="B27" i="34"/>
  <c r="J37" i="23"/>
  <c r="L44" i="27"/>
  <c r="M148" i="34"/>
  <c r="V116" i="10"/>
  <c r="K44" i="27"/>
  <c r="H42" i="27"/>
  <c r="E47" i="27"/>
  <c r="W12" i="18"/>
  <c r="Y12" i="18" s="1"/>
  <c r="F43" i="10"/>
  <c r="V117" i="10" l="1"/>
  <c r="N22" i="18"/>
  <c r="W194" i="10"/>
  <c r="O28" i="18"/>
  <c r="O24" i="18"/>
  <c r="N29" i="34"/>
  <c r="L36" i="27"/>
  <c r="M30" i="34"/>
  <c r="B84" i="34"/>
  <c r="X193" i="10"/>
  <c r="B34" i="34"/>
  <c r="B76" i="34"/>
  <c r="B187" i="34" s="1"/>
  <c r="O40" i="27"/>
  <c r="N38" i="27"/>
  <c r="Y21" i="10"/>
  <c r="Y22" i="10" s="1"/>
  <c r="L18" i="10"/>
  <c r="B35" i="34"/>
  <c r="P49" i="27"/>
  <c r="O37" i="34"/>
  <c r="B142" i="34"/>
  <c r="X21" i="10"/>
  <c r="X22" i="10" s="1"/>
  <c r="B130" i="34"/>
  <c r="P76" i="34"/>
  <c r="P187" i="34" s="1"/>
  <c r="Y130" i="10"/>
  <c r="B36" i="34"/>
  <c r="O41" i="27"/>
  <c r="R49" i="27"/>
  <c r="W18" i="18"/>
  <c r="T14" i="18"/>
  <c r="T20" i="18"/>
  <c r="P78" i="34"/>
  <c r="B77" i="34"/>
  <c r="B78" i="34" s="1"/>
  <c r="T78" i="34" s="1"/>
  <c r="B28" i="34"/>
  <c r="P43" i="27"/>
  <c r="V14" i="18"/>
  <c r="V30" i="18"/>
  <c r="X30" i="18" s="1"/>
  <c r="P35" i="27"/>
  <c r="M44" i="27"/>
  <c r="N148" i="34"/>
  <c r="W116" i="10"/>
  <c r="B156" i="34"/>
  <c r="B157" i="34" s="1"/>
  <c r="I42" i="27"/>
  <c r="C157" i="34"/>
  <c r="X16" i="18"/>
  <c r="D37" i="18"/>
  <c r="C16" i="23" s="1"/>
  <c r="T157" i="34" l="1"/>
  <c r="B195" i="34"/>
  <c r="T84" i="34"/>
  <c r="B190" i="34"/>
  <c r="X194" i="10"/>
  <c r="P28" i="18"/>
  <c r="M36" i="27"/>
  <c r="P24" i="18"/>
  <c r="O29" i="34"/>
  <c r="Q24" i="18"/>
  <c r="P29" i="34"/>
  <c r="R43" i="27"/>
  <c r="N30" i="34"/>
  <c r="W117" i="10"/>
  <c r="O22" i="18"/>
  <c r="R40" i="27"/>
  <c r="T76" i="34"/>
  <c r="T28" i="34"/>
  <c r="L23" i="10"/>
  <c r="Y131" i="10"/>
  <c r="L133" i="10" s="1"/>
  <c r="L132" i="10"/>
  <c r="S37" i="34" s="1"/>
  <c r="Y193" i="10"/>
  <c r="Q28" i="18" s="1"/>
  <c r="B143" i="34"/>
  <c r="W14" i="18"/>
  <c r="Y14" i="18" s="1"/>
  <c r="W30" i="18"/>
  <c r="Y30" i="18" s="1"/>
  <c r="R35" i="27"/>
  <c r="B141" i="34"/>
  <c r="B120" i="34"/>
  <c r="X14" i="18"/>
  <c r="C167" i="34"/>
  <c r="C168" i="34" s="1"/>
  <c r="C166" i="34"/>
  <c r="C197" i="34" s="1"/>
  <c r="C198" i="34" s="1"/>
  <c r="P37" i="34"/>
  <c r="B33" i="34"/>
  <c r="V20" i="18"/>
  <c r="X20" i="18" s="1"/>
  <c r="P41" i="27"/>
  <c r="O38" i="27"/>
  <c r="P40" i="27"/>
  <c r="N44" i="27"/>
  <c r="O148" i="34"/>
  <c r="X116" i="10"/>
  <c r="R48" i="27"/>
  <c r="J42" i="27"/>
  <c r="C48" i="27"/>
  <c r="W20" i="18"/>
  <c r="P30" i="34" l="1"/>
  <c r="R28" i="18"/>
  <c r="R24" i="18"/>
  <c r="T24" i="18" s="1"/>
  <c r="X117" i="10"/>
  <c r="P22" i="18"/>
  <c r="V24" i="18"/>
  <c r="X24" i="18" s="1"/>
  <c r="S30" i="34"/>
  <c r="O30" i="34"/>
  <c r="N36" i="27"/>
  <c r="L24" i="10"/>
  <c r="B29" i="34"/>
  <c r="V26" i="18"/>
  <c r="Y26" i="18" s="1"/>
  <c r="S32" i="34"/>
  <c r="T32" i="34" s="1"/>
  <c r="Y194" i="10"/>
  <c r="L196" i="10" s="1"/>
  <c r="L195" i="10"/>
  <c r="P38" i="27"/>
  <c r="R41" i="27"/>
  <c r="Y20" i="18"/>
  <c r="P36" i="27"/>
  <c r="B37" i="34"/>
  <c r="O44" i="27"/>
  <c r="Y116" i="10"/>
  <c r="Q22" i="18" s="1"/>
  <c r="R22" i="18" s="1"/>
  <c r="K42" i="27"/>
  <c r="O36" i="27" l="1"/>
  <c r="T37" i="34"/>
  <c r="B30" i="34"/>
  <c r="Y117" i="10"/>
  <c r="L119" i="10" s="1"/>
  <c r="L118" i="10"/>
  <c r="S148" i="34" s="1"/>
  <c r="T26" i="18"/>
  <c r="F21" i="10"/>
  <c r="P148" i="34"/>
  <c r="B118" i="34"/>
  <c r="B148" i="34" s="1"/>
  <c r="X26" i="18"/>
  <c r="V28" i="18"/>
  <c r="X28" i="18" s="1"/>
  <c r="R38" i="27"/>
  <c r="W28" i="18"/>
  <c r="L42" i="27"/>
  <c r="T30" i="34" l="1"/>
  <c r="W24" i="18"/>
  <c r="Y24" i="18" s="1"/>
  <c r="R36" i="27"/>
  <c r="T148" i="34"/>
  <c r="P44" i="27"/>
  <c r="Y28" i="18"/>
  <c r="V22" i="18"/>
  <c r="M42" i="27"/>
  <c r="N42" i="27"/>
  <c r="F116" i="10" l="1"/>
  <c r="R42" i="27"/>
  <c r="R44" i="27"/>
  <c r="W22" i="18"/>
  <c r="Y22" i="18" s="1"/>
  <c r="Q44" i="27"/>
  <c r="T22" i="18" l="1"/>
  <c r="X22" i="18"/>
  <c r="T30" i="18"/>
  <c r="T16" i="18" l="1"/>
  <c r="W16" i="18" l="1"/>
  <c r="Y16" i="18" s="1"/>
  <c r="T28" i="18" l="1"/>
  <c r="F193" i="10" l="1"/>
  <c r="C20" i="23"/>
  <c r="C24" i="23" l="1"/>
  <c r="C22" i="23"/>
  <c r="C26" i="23" l="1"/>
  <c r="C28" i="23"/>
  <c r="T12" i="18"/>
  <c r="C30" i="23" l="1"/>
  <c r="C13" i="23"/>
  <c r="R13" i="23" s="1"/>
  <c r="G35" i="18" l="1"/>
  <c r="F18" i="23" s="1"/>
  <c r="B11" i="34"/>
  <c r="H35" i="18"/>
  <c r="G18" i="23" s="1"/>
  <c r="B13" i="34" l="1"/>
  <c r="E35" i="18"/>
  <c r="R8" i="18"/>
  <c r="T8" i="18" s="1"/>
  <c r="T13" i="34" l="1"/>
  <c r="W8" i="18"/>
  <c r="Y8" i="18" s="1"/>
  <c r="X8" i="18"/>
  <c r="R35" i="18"/>
  <c r="T35" i="18" s="1"/>
  <c r="D18" i="23"/>
  <c r="D33" i="23" l="1"/>
  <c r="R18" i="23"/>
  <c r="V18" i="23" s="1"/>
  <c r="H48" i="23"/>
  <c r="X18" i="23" l="1"/>
  <c r="E53" i="23"/>
  <c r="F167" i="34"/>
  <c r="J167" i="34"/>
  <c r="N167" i="34"/>
  <c r="O167" i="34"/>
  <c r="E167" i="34"/>
  <c r="T10" i="18"/>
  <c r="K167" i="34"/>
  <c r="H167" i="34"/>
  <c r="M167" i="34"/>
  <c r="D167" i="34"/>
  <c r="D168" i="34" s="1"/>
  <c r="G167" i="34"/>
  <c r="I167" i="34"/>
  <c r="L167" i="34"/>
  <c r="P167" i="34"/>
  <c r="X10" i="18" l="1"/>
  <c r="E168" i="34"/>
  <c r="F168" i="34" s="1"/>
  <c r="G168" i="34" s="1"/>
  <c r="H168" i="34" s="1"/>
  <c r="I168" i="34" s="1"/>
  <c r="J168" i="34" s="1"/>
  <c r="K168" i="34" s="1"/>
  <c r="L168" i="34" s="1"/>
  <c r="M168" i="34" s="1"/>
  <c r="N168" i="34" s="1"/>
  <c r="O168" i="34" s="1"/>
  <c r="P168" i="34" s="1"/>
  <c r="D34" i="27" l="1"/>
  <c r="E33" i="18"/>
  <c r="E37" i="18" l="1"/>
  <c r="D166" i="34"/>
  <c r="D197" i="34" s="1"/>
  <c r="D198" i="34" s="1"/>
  <c r="D16" i="23" l="1"/>
  <c r="D20" i="23" l="1"/>
  <c r="H34" i="27"/>
  <c r="L33" i="18"/>
  <c r="L37" i="18" s="1"/>
  <c r="K16" i="23" s="1"/>
  <c r="K20" i="23" s="1"/>
  <c r="O33" i="18"/>
  <c r="O37" i="18" s="1"/>
  <c r="N16" i="23" s="1"/>
  <c r="N20" i="23" s="1"/>
  <c r="N34" i="27"/>
  <c r="K33" i="18"/>
  <c r="K37" i="18" s="1"/>
  <c r="J16" i="23" s="1"/>
  <c r="J20" i="23" s="1"/>
  <c r="I33" i="18"/>
  <c r="I37" i="18" s="1"/>
  <c r="H16" i="23" s="1"/>
  <c r="H20" i="23" s="1"/>
  <c r="H24" i="23" s="1"/>
  <c r="H33" i="18"/>
  <c r="H37" i="18" s="1"/>
  <c r="G16" i="23" s="1"/>
  <c r="G20" i="23" s="1"/>
  <c r="G22" i="23" s="1"/>
  <c r="M33" i="18"/>
  <c r="M37" i="18" s="1"/>
  <c r="L16" i="23" s="1"/>
  <c r="L20" i="23" s="1"/>
  <c r="F166" i="34"/>
  <c r="F197" i="34" s="1"/>
  <c r="F34" i="27"/>
  <c r="N33" i="18"/>
  <c r="N37" i="18" s="1"/>
  <c r="M16" i="23" s="1"/>
  <c r="M20" i="23" s="1"/>
  <c r="Q33" i="18"/>
  <c r="Q37" i="18" s="1"/>
  <c r="P16" i="23" s="1"/>
  <c r="P20" i="23" s="1"/>
  <c r="G33" i="18"/>
  <c r="G37" i="18" s="1"/>
  <c r="F16" i="23" s="1"/>
  <c r="F20" i="23" s="1"/>
  <c r="O166" i="34"/>
  <c r="O197" i="34" s="1"/>
  <c r="P33" i="18"/>
  <c r="P37" i="18" s="1"/>
  <c r="O16" i="23" s="1"/>
  <c r="O20" i="23" s="1"/>
  <c r="J33" i="18"/>
  <c r="J37" i="18" s="1"/>
  <c r="I16" i="23" s="1"/>
  <c r="I20" i="23" s="1"/>
  <c r="F33" i="18"/>
  <c r="F37" i="18" l="1"/>
  <c r="R33" i="18"/>
  <c r="T33" i="18" s="1"/>
  <c r="D22" i="23"/>
  <c r="D24" i="23"/>
  <c r="H166" i="34"/>
  <c r="H197" i="34" s="1"/>
  <c r="G166" i="34"/>
  <c r="G197" i="34" s="1"/>
  <c r="G34" i="27"/>
  <c r="P166" i="34"/>
  <c r="P197" i="34" s="1"/>
  <c r="F22" i="23"/>
  <c r="F24" i="23"/>
  <c r="L34" i="27"/>
  <c r="L166" i="34"/>
  <c r="L197" i="34" s="1"/>
  <c r="M22" i="23"/>
  <c r="M24" i="23"/>
  <c r="J22" i="23"/>
  <c r="J24" i="23"/>
  <c r="I22" i="23"/>
  <c r="I24" i="23"/>
  <c r="H26" i="23"/>
  <c r="I166" i="34"/>
  <c r="I197" i="34" s="1"/>
  <c r="I34" i="27"/>
  <c r="N24" i="23"/>
  <c r="N22" i="23"/>
  <c r="M166" i="34"/>
  <c r="M197" i="34" s="1"/>
  <c r="M34" i="27"/>
  <c r="K24" i="23"/>
  <c r="K22" i="23"/>
  <c r="O24" i="23"/>
  <c r="O22" i="23"/>
  <c r="L24" i="23"/>
  <c r="L22" i="23"/>
  <c r="K166" i="34"/>
  <c r="K197" i="34" s="1"/>
  <c r="K34" i="27"/>
  <c r="J166" i="34"/>
  <c r="J197" i="34" s="1"/>
  <c r="J34" i="27"/>
  <c r="P24" i="23"/>
  <c r="P22" i="23"/>
  <c r="E34" i="27"/>
  <c r="E166" i="34"/>
  <c r="E197" i="34" s="1"/>
  <c r="E198" i="34" s="1"/>
  <c r="F198" i="34" s="1"/>
  <c r="B24" i="34"/>
  <c r="G24" i="23"/>
  <c r="H22" i="23"/>
  <c r="N166" i="34"/>
  <c r="N197" i="34" s="1"/>
  <c r="P34" i="27"/>
  <c r="O34" i="27"/>
  <c r="G198" i="34" l="1"/>
  <c r="H198" i="34" s="1"/>
  <c r="I198" i="34" s="1"/>
  <c r="J198" i="34" s="1"/>
  <c r="K198" i="34" s="1"/>
  <c r="L198" i="34" s="1"/>
  <c r="M198" i="34" s="1"/>
  <c r="N198" i="34" s="1"/>
  <c r="O198" i="34" s="1"/>
  <c r="P198" i="34" s="1"/>
  <c r="H50" i="23"/>
  <c r="D28" i="23"/>
  <c r="D30" i="23" s="1"/>
  <c r="D26" i="23"/>
  <c r="E16" i="23"/>
  <c r="R37" i="18"/>
  <c r="T37" i="18" s="1"/>
  <c r="G26" i="23"/>
  <c r="P26" i="23"/>
  <c r="M26" i="23"/>
  <c r="I26" i="23"/>
  <c r="K26" i="23"/>
  <c r="B25" i="34"/>
  <c r="L26" i="23"/>
  <c r="F26" i="23"/>
  <c r="O26" i="23"/>
  <c r="N26" i="23"/>
  <c r="J26" i="23"/>
  <c r="T25" i="34" l="1"/>
  <c r="W10" i="18"/>
  <c r="Y10" i="18" s="1"/>
  <c r="B167" i="34"/>
  <c r="B166" i="34"/>
  <c r="B197" i="34" s="1"/>
  <c r="E20" i="23"/>
  <c r="E52" i="23"/>
  <c r="D32" i="23"/>
  <c r="D34" i="23"/>
  <c r="R16" i="23"/>
  <c r="V16" i="23" s="1"/>
  <c r="X16" i="23" s="1"/>
  <c r="R34" i="27"/>
  <c r="R50" i="27" s="1"/>
  <c r="B198" i="34" l="1"/>
  <c r="B199" i="34"/>
  <c r="R20" i="23"/>
  <c r="E22" i="23"/>
  <c r="R22" i="23" s="1"/>
  <c r="E24" i="23"/>
  <c r="Q149" i="34"/>
  <c r="Q167" i="34"/>
  <c r="Q10" i="34"/>
  <c r="Q11" i="34"/>
  <c r="Q12" i="34"/>
  <c r="Q9" i="34"/>
  <c r="Q8" i="34"/>
  <c r="Q25" i="34"/>
  <c r="Q79" i="34"/>
  <c r="Q153" i="34"/>
  <c r="Q31" i="34"/>
  <c r="Q27" i="34"/>
  <c r="Q164" i="34"/>
  <c r="Q101" i="34"/>
  <c r="Q68" i="34"/>
  <c r="Q34" i="34"/>
  <c r="Q115" i="34"/>
  <c r="Q50" i="34"/>
  <c r="Q81" i="34"/>
  <c r="Q92" i="34"/>
  <c r="Q147" i="34"/>
  <c r="Q143" i="34"/>
  <c r="Q33" i="34"/>
  <c r="Q116" i="34"/>
  <c r="Q122" i="34"/>
  <c r="Q38" i="34"/>
  <c r="Q155" i="34"/>
  <c r="Q74" i="34"/>
  <c r="Q100" i="34"/>
  <c r="Q48" i="34"/>
  <c r="Q86" i="34"/>
  <c r="Q141" i="34"/>
  <c r="Q162" i="34"/>
  <c r="Q127" i="34"/>
  <c r="Q150" i="34"/>
  <c r="Q123" i="34"/>
  <c r="Q69" i="34"/>
  <c r="Q140" i="34"/>
  <c r="Q157" i="34"/>
  <c r="Q47" i="34"/>
  <c r="Q35" i="34"/>
  <c r="Q163" i="34"/>
  <c r="Q119" i="34"/>
  <c r="Q84" i="34"/>
  <c r="Q108" i="34"/>
  <c r="Q98" i="34"/>
  <c r="Q113" i="34"/>
  <c r="Q148" i="34"/>
  <c r="Q85" i="34"/>
  <c r="Q62" i="34"/>
  <c r="Q23" i="34"/>
  <c r="Q160" i="34"/>
  <c r="Q93" i="34"/>
  <c r="Q20" i="34"/>
  <c r="Q118" i="34"/>
  <c r="Q152" i="34"/>
  <c r="Q97" i="34"/>
  <c r="Q103" i="34"/>
  <c r="Q144" i="34"/>
  <c r="Q21" i="34"/>
  <c r="Q36" i="34"/>
  <c r="Q112" i="34"/>
  <c r="Q65" i="34"/>
  <c r="Q137" i="34"/>
  <c r="Q44" i="34"/>
  <c r="Q111" i="34"/>
  <c r="Q46" i="34"/>
  <c r="Q52" i="34"/>
  <c r="Q131" i="34"/>
  <c r="Q76" i="34"/>
  <c r="Q63" i="34"/>
  <c r="Q18" i="34"/>
  <c r="Q28" i="34"/>
  <c r="Q26" i="34"/>
  <c r="Q39" i="34"/>
  <c r="Q53" i="34"/>
  <c r="Q13" i="34"/>
  <c r="Q60" i="34"/>
  <c r="Q132" i="34"/>
  <c r="Q151" i="34"/>
  <c r="Q42" i="34"/>
  <c r="Q19" i="34"/>
  <c r="Q59" i="34"/>
  <c r="Q61" i="34"/>
  <c r="Q121" i="34"/>
  <c r="Q57" i="34"/>
  <c r="Q142" i="34"/>
  <c r="Q49" i="34"/>
  <c r="Q106" i="34"/>
  <c r="Q29" i="34"/>
  <c r="Q90" i="34"/>
  <c r="Q30" i="34"/>
  <c r="Q117" i="34"/>
  <c r="Q54" i="34"/>
  <c r="Q71" i="34"/>
  <c r="Q104" i="34"/>
  <c r="Q146" i="34"/>
  <c r="V33" i="18"/>
  <c r="X33" i="18" s="1"/>
  <c r="Q77" i="34"/>
  <c r="Q73" i="34"/>
  <c r="Q82" i="34"/>
  <c r="Q135" i="34"/>
  <c r="Q124" i="34"/>
  <c r="Q80" i="34"/>
  <c r="Q96" i="34"/>
  <c r="B168" i="34"/>
  <c r="Q161" i="34"/>
  <c r="Q75" i="34"/>
  <c r="Q17" i="34"/>
  <c r="Q72" i="34"/>
  <c r="Q139" i="34"/>
  <c r="Q158" i="34"/>
  <c r="Q70" i="34"/>
  <c r="Q129" i="34"/>
  <c r="Q134" i="34"/>
  <c r="Q154" i="34"/>
  <c r="Q88" i="34"/>
  <c r="Q165" i="34"/>
  <c r="Q83" i="34"/>
  <c r="Q45" i="34"/>
  <c r="Q89" i="34"/>
  <c r="Q109" i="34"/>
  <c r="Q159" i="34"/>
  <c r="Q138" i="34"/>
  <c r="Q114" i="34"/>
  <c r="Q78" i="34"/>
  <c r="Q128" i="34"/>
  <c r="Q37" i="34"/>
  <c r="Q15" i="34"/>
  <c r="Q40" i="34"/>
  <c r="Q87" i="34"/>
  <c r="Q66" i="34"/>
  <c r="Q156" i="34"/>
  <c r="Q41" i="34"/>
  <c r="Q130" i="34"/>
  <c r="Q120" i="34"/>
  <c r="Q22" i="34"/>
  <c r="Q64" i="34"/>
  <c r="Q133" i="34"/>
  <c r="Q126" i="34"/>
  <c r="Q67" i="34"/>
  <c r="Q107" i="34"/>
  <c r="Q43" i="34"/>
  <c r="Q94" i="34"/>
  <c r="Q16" i="34"/>
  <c r="Q99" i="34"/>
  <c r="Q136" i="34"/>
  <c r="Q14" i="34"/>
  <c r="Q32" i="34"/>
  <c r="Q95" i="34"/>
  <c r="Q91" i="34"/>
  <c r="Q105" i="34"/>
  <c r="Q55" i="34"/>
  <c r="Q58" i="34"/>
  <c r="Q56" i="34"/>
  <c r="Q125" i="34"/>
  <c r="Q145" i="34"/>
  <c r="Q51" i="34"/>
  <c r="Q110" i="34"/>
  <c r="Q102" i="34"/>
  <c r="Q24" i="34"/>
  <c r="Q166" i="34" l="1"/>
  <c r="H47" i="23"/>
  <c r="E28" i="23"/>
  <c r="E26" i="23"/>
  <c r="T22" i="23"/>
  <c r="V22" i="23"/>
  <c r="X22" i="23" s="1"/>
  <c r="V20" i="23"/>
  <c r="X20" i="23" s="1"/>
  <c r="J38" i="23"/>
  <c r="T20" i="23"/>
  <c r="H46" i="23"/>
  <c r="B169" i="34"/>
  <c r="Q168" i="34"/>
  <c r="E30" i="23" l="1"/>
  <c r="F28" i="23"/>
  <c r="H51" i="23"/>
  <c r="J46" i="23"/>
  <c r="J47" i="23"/>
  <c r="H53" i="23"/>
  <c r="F30" i="23" l="1"/>
  <c r="G28" i="23"/>
  <c r="H28" i="23" l="1"/>
  <c r="G30" i="23"/>
  <c r="I28" i="23" l="1"/>
  <c r="H30" i="23"/>
  <c r="I30" i="23" l="1"/>
  <c r="J28" i="23"/>
  <c r="J30" i="23" l="1"/>
  <c r="K28" i="23"/>
  <c r="K30" i="23" l="1"/>
  <c r="L28" i="23"/>
  <c r="L30" i="23" l="1"/>
  <c r="M28" i="23"/>
  <c r="K16" i="8"/>
  <c r="M30" i="23" l="1"/>
  <c r="N28" i="23"/>
  <c r="N30" i="23" l="1"/>
  <c r="O28" i="23"/>
  <c r="K30" i="8"/>
  <c r="K29" i="8"/>
  <c r="V18" i="18" l="1"/>
  <c r="S165" i="34"/>
  <c r="T165" i="34" s="1"/>
  <c r="O30" i="23"/>
  <c r="P28" i="23"/>
  <c r="P30" i="23" s="1"/>
  <c r="T18" i="18"/>
  <c r="Y18" i="18"/>
  <c r="E47" i="23" l="1"/>
  <c r="X18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<sst xmlns="http://schemas.openxmlformats.org/spreadsheetml/2006/main" count="1860" uniqueCount="470">
  <si>
    <t>NOMINA Y ADICIONALES</t>
  </si>
  <si>
    <t>NOMBRE</t>
  </si>
  <si>
    <t>CANTIDAD</t>
  </si>
  <si>
    <t>INMUEBLES Y SERVICIOS</t>
  </si>
  <si>
    <t>SERVICIOS</t>
  </si>
  <si>
    <t>VEHICULOS Y COMBUSTIBLE</t>
  </si>
  <si>
    <t>VIATICOS</t>
  </si>
  <si>
    <t>MATERIALES</t>
  </si>
  <si>
    <t>INGRESOS</t>
  </si>
  <si>
    <t>CONCEPTO</t>
  </si>
  <si>
    <t>EQUIPO DE COMPUTO</t>
  </si>
  <si>
    <t xml:space="preserve">VIATICOS </t>
  </si>
  <si>
    <t>COMUNICACIÓN Y EQUIPO DE COMPUTO</t>
  </si>
  <si>
    <t>SERVICIOS (OPERACION)</t>
  </si>
  <si>
    <t>MATERIALES (OPERACION)</t>
  </si>
  <si>
    <t>ACTIVOS (CONSTRUCCION)</t>
  </si>
  <si>
    <t>REFERENCIA EGRESO - JD EDWARDS</t>
  </si>
  <si>
    <t>MATERIALES, SERVICIOS Y EQUIPO DE OPERACIÓN</t>
  </si>
  <si>
    <t>MATERIALES, SERVICIOS Y EQUIPO DE CONSTRUCCION</t>
  </si>
  <si>
    <t>PUESTO</t>
  </si>
  <si>
    <t>GASTO POR TRABAJADOR C/IVA</t>
  </si>
  <si>
    <t>TIPO DE COMBUSTIBLE</t>
  </si>
  <si>
    <t>PRECIO X LITRO</t>
  </si>
  <si>
    <t>UNIDAD</t>
  </si>
  <si>
    <t>DESCRIPCIÓN</t>
  </si>
  <si>
    <t>INVERSIÓN</t>
  </si>
  <si>
    <t>TOTAL PROYECTO (MXN)</t>
  </si>
  <si>
    <t>OPEX</t>
  </si>
  <si>
    <t>CAPEX</t>
  </si>
  <si>
    <t>FLUJO EFECTIVO</t>
  </si>
  <si>
    <t>FLUJO ACUMULADO</t>
  </si>
  <si>
    <t>TOTAL PROYECTO (USD)</t>
  </si>
  <si>
    <t xml:space="preserve"> EGRESO TOTAL MENSUAL</t>
  </si>
  <si>
    <t>FACTORES DE SENSIBILIDAD</t>
  </si>
  <si>
    <t>Tipo de Cambio</t>
  </si>
  <si>
    <t>Total Ingresos</t>
  </si>
  <si>
    <t>Total Egresos</t>
  </si>
  <si>
    <t>EBTDA Acumulado</t>
  </si>
  <si>
    <t>EBTDA Anual</t>
  </si>
  <si>
    <t>VPN</t>
  </si>
  <si>
    <t>VPN Anual</t>
  </si>
  <si>
    <t>Tasa de VPN y VPI Anual</t>
  </si>
  <si>
    <t>VPI</t>
  </si>
  <si>
    <t>TIR</t>
  </si>
  <si>
    <t>VPN/VPI</t>
  </si>
  <si>
    <t>Punto de Equilibrio</t>
  </si>
  <si>
    <t>meses</t>
  </si>
  <si>
    <t>Años del proyecto</t>
  </si>
  <si>
    <t>Utilidades</t>
  </si>
  <si>
    <t>Telemetría</t>
  </si>
  <si>
    <t>CAPEX TOTAL MENSUAL</t>
  </si>
  <si>
    <t xml:space="preserve"> OPEX TOTAL MENSUAL</t>
  </si>
  <si>
    <t>FLUJO EFECTIVO IVA</t>
  </si>
  <si>
    <t>FLUJO ACUMULADO IVA</t>
  </si>
  <si>
    <t>TOTAL</t>
  </si>
  <si>
    <t>Capital de trabajo</t>
  </si>
  <si>
    <t>USD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</si>
  <si>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</si>
  <si>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</si>
  <si>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</si>
  <si>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</si>
  <si>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</si>
  <si>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</si>
  <si>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</si>
  <si>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</si>
  <si>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</si>
  <si>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</si>
  <si>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</si>
  <si>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</si>
  <si>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FINANCIAMIENTO</t>
  </si>
  <si>
    <t>Meses de Préstamo</t>
  </si>
  <si>
    <t>Préstamo</t>
  </si>
  <si>
    <t>Escoba y Trapeador</t>
  </si>
  <si>
    <t>SEGURO</t>
  </si>
  <si>
    <t>Instalación</t>
  </si>
  <si>
    <t xml:space="preserve"> OPEX TOTAL MENSUAL REAL</t>
  </si>
  <si>
    <t>Desinstalación</t>
  </si>
  <si>
    <t>Equipo sup.</t>
  </si>
  <si>
    <t>Gas lp</t>
  </si>
  <si>
    <t>(USD/L)</t>
  </si>
  <si>
    <t>FACTURACION</t>
  </si>
  <si>
    <t>ACTIVOS</t>
  </si>
  <si>
    <t>ARRENDA DE INMUEBLES Y SERV</t>
  </si>
  <si>
    <t>ARTICULOS DE SEGURIDAD</t>
  </si>
  <si>
    <t>EQUIPOS Y ENSERES</t>
  </si>
  <si>
    <t>INSUMOS AGRICOLAS</t>
  </si>
  <si>
    <t>INSUMOS DE OFICINA</t>
  </si>
  <si>
    <t>MARKETING</t>
  </si>
  <si>
    <t>MATERIALES DE SALUD</t>
  </si>
  <si>
    <t>SERV TELEFONIA CELULAR Y RADIO</t>
  </si>
  <si>
    <t>SERVICIOS DE CAPACITACION</t>
  </si>
  <si>
    <t>SERVICIOS DE SALUD</t>
  </si>
  <si>
    <t>UNIFORMES</t>
  </si>
  <si>
    <t>TENENCIA</t>
  </si>
  <si>
    <t>VERIFICACIÓN</t>
  </si>
  <si>
    <t>SINIESTROS</t>
  </si>
  <si>
    <t>MANTTO (10,000 KM)</t>
  </si>
  <si>
    <t>LLANTAS</t>
  </si>
  <si>
    <t>RENTA</t>
  </si>
  <si>
    <t>EQUIPO DE TRANSPORTE</t>
  </si>
  <si>
    <t>EQUIPO DE MOBILIARIO</t>
  </si>
  <si>
    <t>MAQUINARIA Y EQUIPO</t>
  </si>
  <si>
    <t>OTROS ACTIVOS</t>
  </si>
  <si>
    <t>SOFTWARE Y LICICENCIAS</t>
  </si>
  <si>
    <t>Total Presupuestado</t>
  </si>
  <si>
    <t>ARRENDAMIENTO DE INMUEBLES</t>
  </si>
  <si>
    <t>ENERGIA ELECTRICA</t>
  </si>
  <si>
    <t>RENTA DE CASAS NO DEDUCIBLE</t>
  </si>
  <si>
    <t>SERVICIOS DE LIMPIEZA</t>
  </si>
  <si>
    <t>SERVICIOS DE VIGILANCIA</t>
  </si>
  <si>
    <t>SERVICIOS DE FUMIGACION</t>
  </si>
  <si>
    <t>TELEFONIA FIJA</t>
  </si>
  <si>
    <t>AGUA Y ALCANTARILLADO</t>
  </si>
  <si>
    <t>ARRENDAMIENTO DE OF. MOVILES</t>
  </si>
  <si>
    <t>ROPA Y ARTICULOS DE PROTECCION</t>
  </si>
  <si>
    <t>EQUIPO DE COMPUTO (Adquisición)</t>
  </si>
  <si>
    <t>ARRENDAMIENTO DE EQ. COMPUTO</t>
  </si>
  <si>
    <t>ENSERES MENORES DIVERSOS (Acondicionamiento de casas)</t>
  </si>
  <si>
    <t>PAPELERIA Y UTILES DE OFICINA</t>
  </si>
  <si>
    <t>ARTICULOS DE ASEO Y SANITARIOS</t>
  </si>
  <si>
    <t>ARTICULOS DE CAFETERIA</t>
  </si>
  <si>
    <t>ARTICULOS DIGITALES Y DE COMPUTO</t>
  </si>
  <si>
    <t>SERVICIOS DE MERCADOTECNIA</t>
  </si>
  <si>
    <t>PUBLICIDAD Y PROPAGANDA</t>
  </si>
  <si>
    <t>ABRASIVOS</t>
  </si>
  <si>
    <t>ACEITE LUBRICANTE P/MAQUINARIA</t>
  </si>
  <si>
    <t>ACEITES Y LUBRICANTES</t>
  </si>
  <si>
    <t>AISLANTES IMPERM REFRA</t>
  </si>
  <si>
    <t>BANDA CADEN TRANS COPL</t>
  </si>
  <si>
    <t>CONEXIONES PARA TUBERIA</t>
  </si>
  <si>
    <t>EMPAQUETAD JTAS Y SELLOS</t>
  </si>
  <si>
    <t>ENVASES</t>
  </si>
  <si>
    <t>FIBRAS HILOS Y TELAS</t>
  </si>
  <si>
    <t>GRASAS</t>
  </si>
  <si>
    <t>HERRAMIENTAS MANUALES</t>
  </si>
  <si>
    <t>INSTRUM DE MEDICION Y CONTROL</t>
  </si>
  <si>
    <t>LLANTAS, CAMARAS Y ACCESORIOS</t>
  </si>
  <si>
    <t xml:space="preserve">MANGUERAS, CONEXIONES </t>
  </si>
  <si>
    <t>MATERIAL ELECTRICO</t>
  </si>
  <si>
    <t>MATERIAL PARA LA CONSTRUCCION</t>
  </si>
  <si>
    <t>MATERIALES Y ART P/MANTENIMIENTO</t>
  </si>
  <si>
    <t>METALES</t>
  </si>
  <si>
    <t>PART REP ACCES Y PROD P/VEHIC</t>
  </si>
  <si>
    <t>PARTES ACCES Y MAT P/LABORATORIO</t>
  </si>
  <si>
    <t>PARTES ACCES Y REFAC P/ LUBRICANTES</t>
  </si>
  <si>
    <t>PARTES ELECT, ACCES Y REFACC</t>
  </si>
  <si>
    <t>PARTES Y REFAC TELECOM Y VIDEO</t>
  </si>
  <si>
    <t>PARTES Y REFACCION C/INCENDIO</t>
  </si>
  <si>
    <t>PASTA PEGAMENTO OTRO COMPUESTO</t>
  </si>
  <si>
    <t>PINTURA Y OTROS RECUBRIMIENTOS</t>
  </si>
  <si>
    <t>REFAC P/INSTRUM DE MED Y CONTROL</t>
  </si>
  <si>
    <t>REFACC Y ACCES PARA VALVULAS</t>
  </si>
  <si>
    <t>REFACC Y ACCESORIO PARA HERRAMIENTA</t>
  </si>
  <si>
    <t>REFACCIONES P/MAQUINARIA</t>
  </si>
  <si>
    <t>RODAM ACCES Y SELLOS P/ ACEITE</t>
  </si>
  <si>
    <t>SUSTANCIAS QUIMICAS</t>
  </si>
  <si>
    <t>TORNILLERIA Y ARTICULO</t>
  </si>
  <si>
    <t>TUBERIAS</t>
  </si>
  <si>
    <t>VALVULAS</t>
  </si>
  <si>
    <t>MATERIAL PRIMEROS AUXILIOS</t>
  </si>
  <si>
    <t>SERV TELEFONIA CELULAR</t>
  </si>
  <si>
    <t>SERVICIO DE BANDA ANCHA</t>
  </si>
  <si>
    <t>SERVICIO DE RADIOCOMUNICACION</t>
  </si>
  <si>
    <t>ACONDICION DE CASA HABITACION</t>
  </si>
  <si>
    <t>ADICION Y MODIFIC DE MATERIAL</t>
  </si>
  <si>
    <t>ADQUISICION TARJET COMBUSTIBLE</t>
  </si>
  <si>
    <t>ANALISIS CAUSA RAIZ</t>
  </si>
  <si>
    <t>ANALISIS DE RIESGO</t>
  </si>
  <si>
    <t>ANALISIS DE VIBRACION</t>
  </si>
  <si>
    <t>BASES LICITACION Y CONCURSOS</t>
  </si>
  <si>
    <t>CARGOS EXTRAORDINARIOS</t>
  </si>
  <si>
    <t>CERTIFICACION</t>
  </si>
  <si>
    <t>COLOCACION DE PILOTE</t>
  </si>
  <si>
    <t>CORREOS Y MENSAJERIAS</t>
  </si>
  <si>
    <t>CUOTAS Y SUSCRIPCIONES</t>
  </si>
  <si>
    <t>DEDUCIBLE POR SINIESTRO</t>
  </si>
  <si>
    <t>DESARROLLO DE SOFTWARE</t>
  </si>
  <si>
    <t>FIANZAS</t>
  </si>
  <si>
    <t>FLETES  EXTRANJEROS</t>
  </si>
  <si>
    <t>FLETES NACIONALES</t>
  </si>
  <si>
    <t>GASTOS DE IMPORTACION</t>
  </si>
  <si>
    <t>GTO EXPED DE SEG/TRAMITE</t>
  </si>
  <si>
    <t>HIELO Y AGUA</t>
  </si>
  <si>
    <t>HONORARIOS A PERSONA FISICA</t>
  </si>
  <si>
    <t>IMPUESTOS Y DERECHOS</t>
  </si>
  <si>
    <t>INTERNET Y DATOS</t>
  </si>
  <si>
    <t>MANIOBRAS</t>
  </si>
  <si>
    <t>MANTENIMIENTO A VEHICULOS</t>
  </si>
  <si>
    <t>MANTTO A EQUIPOS DE SEGURIDAD</t>
  </si>
  <si>
    <t>MANTTO DE MOBILIARIO Y EQUIPO</t>
  </si>
  <si>
    <t>MANTTO PREV A EQUIPOS DE MEDICION</t>
  </si>
  <si>
    <t>MANTTO Y ACONDICION DE CAMPER</t>
  </si>
  <si>
    <t>MECANICA DE SUELOS</t>
  </si>
  <si>
    <t>OTROS DERECHOS</t>
  </si>
  <si>
    <t>PACMA PEMEX EXPLORACION</t>
  </si>
  <si>
    <t>PAGO DE RECARGOS</t>
  </si>
  <si>
    <t>RECARGA DE GASES INDUSTRIALES</t>
  </si>
  <si>
    <t>RENTA DE MAQUINARIA Y EQUIPO</t>
  </si>
  <si>
    <t>RENTA DE SANITARIOS</t>
  </si>
  <si>
    <t>REPARACIONES</t>
  </si>
  <si>
    <t>SEGUROS</t>
  </si>
  <si>
    <t>SERV DE DISEÑO Y ROTULACION</t>
  </si>
  <si>
    <t>SERV DE DISPOS DE RESIDUOS</t>
  </si>
  <si>
    <t>SERV DE MANTO A INSTALACIONES</t>
  </si>
  <si>
    <t>SERV DE RECARGA DE EXTINTORES</t>
  </si>
  <si>
    <t>SERV DE TRANSMISION DE DATOS</t>
  </si>
  <si>
    <t>SERV PROFES DE PERSONA MORAL</t>
  </si>
  <si>
    <t>SERV Y MANTTO A EQ INFORMATICO</t>
  </si>
  <si>
    <t>SERVICIO DE AUTOLAVADO</t>
  </si>
  <si>
    <t>SERVICIO DE EQPO Y MAQUINARIA</t>
  </si>
  <si>
    <t>SERVICIO REPRESENTACION LEGAL</t>
  </si>
  <si>
    <t>SERVICIOS DE BANQUETERIA</t>
  </si>
  <si>
    <t>SERVICIOS DE COPIADO</t>
  </si>
  <si>
    <t>SERVICIOS DE TAXI</t>
  </si>
  <si>
    <t>SERVICIOS PREOPERATIVOS</t>
  </si>
  <si>
    <t>SERVICIOS RADIOGRAFICOS</t>
  </si>
  <si>
    <t>TOPOGRAFIA</t>
  </si>
  <si>
    <t>VERIFICACIONES</t>
  </si>
  <si>
    <t>ASESORIA ESPECIAL INTERNA</t>
  </si>
  <si>
    <t>ASESORIA ESPECIAL OPERATIVA</t>
  </si>
  <si>
    <t>ASESORIA ESPECIAL SINDICAL</t>
  </si>
  <si>
    <t>ASESORIA ESPECIAL VIAL</t>
  </si>
  <si>
    <t>INTERESES</t>
  </si>
  <si>
    <t>PAGO DE MULTAS</t>
  </si>
  <si>
    <t>SERVICIOS MEDICOS</t>
  </si>
  <si>
    <t>ARRENDAMIENTO DE VEHIC</t>
  </si>
  <si>
    <t>COMBUSTIBLES</t>
  </si>
  <si>
    <t>ALIMENTACION</t>
  </si>
  <si>
    <t>CASETAS PUENTES Y PEAJES</t>
  </si>
  <si>
    <t>SERV DE TRANSPORTAC AEREA</t>
  </si>
  <si>
    <t>SERV DE TRANSPORTAC TERRESTRE</t>
  </si>
  <si>
    <t>SERVICIOS DE HOSPEDAJE</t>
  </si>
  <si>
    <t>ACUMULADO</t>
  </si>
  <si>
    <t>Bolsas de basura</t>
  </si>
  <si>
    <t>Bote de basura</t>
  </si>
  <si>
    <t>Kit de limpieza de baño</t>
  </si>
  <si>
    <t>Cubeta</t>
  </si>
  <si>
    <t xml:space="preserve">CAJA CHICA </t>
  </si>
  <si>
    <t>REEMBOLSOS</t>
  </si>
  <si>
    <t>PU [USD]</t>
  </si>
  <si>
    <t>PU [MN]</t>
  </si>
  <si>
    <t>PARTIDA</t>
  </si>
  <si>
    <t>[USD]</t>
  </si>
  <si>
    <t>[MN]</t>
  </si>
  <si>
    <t xml:space="preserve">CANTIDAD </t>
  </si>
  <si>
    <t>DESCRIPCIÓN 1</t>
  </si>
  <si>
    <t>AGUINALDO</t>
  </si>
  <si>
    <t>FONDO DE AHORRO</t>
  </si>
  <si>
    <t>APOYOS</t>
  </si>
  <si>
    <t>VACACIONES</t>
  </si>
  <si>
    <t>UTILIDADES</t>
  </si>
  <si>
    <t>-</t>
  </si>
  <si>
    <t>SALARIO</t>
  </si>
  <si>
    <t>COSTO REAL C/IMP.</t>
  </si>
  <si>
    <t>ACTIVOS (OPERACION) (Computadoras)</t>
  </si>
  <si>
    <t>TELEFONIA Y COMUNICACIÓN</t>
  </si>
  <si>
    <t>TOTAL [MN]</t>
  </si>
  <si>
    <t>ABRASIVOS (THINER/DESENGRASANTE/W40)</t>
  </si>
  <si>
    <t>ACEITE LUBRICANTE P/MAQUINARIA (100+120)</t>
  </si>
  <si>
    <t>PARTES Y REFAC TELECOM Y VIDEO (TELEMETRÍA)</t>
  </si>
  <si>
    <t>SERV DE MANTO A INSTALACIONES (INSTALACIÓN</t>
  </si>
  <si>
    <t>GPS</t>
  </si>
  <si>
    <t>PARTIDAS</t>
  </si>
  <si>
    <t>RESUMEN</t>
  </si>
  <si>
    <t>Botiquin Camper</t>
  </si>
  <si>
    <t>Medicamento botiquin Camper</t>
  </si>
  <si>
    <t>Botiquin Unidad Vehicular</t>
  </si>
  <si>
    <t>Medicamento botiquin Unidad Vehicular</t>
  </si>
  <si>
    <t>Gel antibacterial</t>
  </si>
  <si>
    <t>Servicio de sanitización</t>
  </si>
  <si>
    <t>Cubrebocas</t>
  </si>
  <si>
    <t>IMPUESTOS</t>
  </si>
  <si>
    <t>Servicios médicos anuales</t>
  </si>
  <si>
    <t>Analisis médicos de contratación</t>
  </si>
  <si>
    <t xml:space="preserve">Servicios médicos </t>
  </si>
  <si>
    <t xml:space="preserve">MATERIALES (OPERACION)	</t>
  </si>
  <si>
    <t xml:space="preserve">SERVICIOS (CONSTRUCCION)	</t>
  </si>
  <si>
    <t xml:space="preserve">SERVICIOS (OPERACION)	</t>
  </si>
  <si>
    <t>NÓMINA</t>
  </si>
  <si>
    <t>EPP</t>
  </si>
  <si>
    <t>LITROS / SEMANA</t>
  </si>
  <si>
    <t>SUPERVISOR</t>
  </si>
  <si>
    <t>Unidad vehicular</t>
  </si>
  <si>
    <t>Desengrasante</t>
  </si>
  <si>
    <t>Cloro</t>
  </si>
  <si>
    <t>Jabon</t>
  </si>
  <si>
    <t>Casa staff moviliario</t>
  </si>
  <si>
    <t>Anális de Riesgo y Plan de Respuesta de Emergencia</t>
  </si>
  <si>
    <t>Tarifa de agilización de entrega</t>
  </si>
  <si>
    <t>Certificación de Extintores y Detector de Gas</t>
  </si>
  <si>
    <t>Sanitarios + Fosa + Recolección</t>
  </si>
  <si>
    <t>Telemetría por tercero</t>
  </si>
  <si>
    <t>Sindicato</t>
  </si>
  <si>
    <t>Sindicato Instalación</t>
  </si>
  <si>
    <t>Asesoria fin de año</t>
  </si>
  <si>
    <t>Medicamento botiquin oficina</t>
  </si>
  <si>
    <t>Fabuloso o Pino</t>
  </si>
  <si>
    <t>Rotulación</t>
  </si>
  <si>
    <t>Generación</t>
  </si>
  <si>
    <t>Meses</t>
  </si>
  <si>
    <t>Ingresos Totales (MN)</t>
  </si>
  <si>
    <t>TOTAL PROYECTO (MN)</t>
  </si>
  <si>
    <t>TOTAL PROYECTO  IVA (MN)</t>
  </si>
  <si>
    <t>Ingresos Totales (MN) IVA</t>
  </si>
  <si>
    <t>MAT, SERV &amp; EQUIPO</t>
  </si>
  <si>
    <t xml:space="preserve">SERVICIOS </t>
  </si>
  <si>
    <t>Egresos Totales (MN) IVA</t>
  </si>
  <si>
    <t>Egresos Totales (MN)</t>
  </si>
  <si>
    <t>Ingresos (MN)</t>
  </si>
  <si>
    <t>TOTAL PROYECTO IVA (USD)</t>
  </si>
  <si>
    <t>Frontera - Geolis - Sitio</t>
  </si>
  <si>
    <t>Transito</t>
  </si>
  <si>
    <t>Total</t>
  </si>
  <si>
    <t>Mes 13</t>
  </si>
  <si>
    <t>Mes 14</t>
  </si>
  <si>
    <t>Mes 0</t>
  </si>
  <si>
    <t xml:space="preserve">INVERSIÓN </t>
  </si>
  <si>
    <t>NÓMINA + EPP + UNIFORMES</t>
  </si>
  <si>
    <t>INMUEBLES</t>
  </si>
  <si>
    <t>COM Y EQ COM</t>
  </si>
  <si>
    <t>VEHÍCULOS Y COMB</t>
  </si>
  <si>
    <t>VIATICOS CAJA CHICA Y REEMBOLSO</t>
  </si>
  <si>
    <t>MAT,SERV &amp; EQUIPO</t>
  </si>
  <si>
    <t>EQUIPO DE COMPUTO Y ARRENDAMIENTO DE EQ. COMPUTO</t>
  </si>
  <si>
    <t>Nómina</t>
  </si>
  <si>
    <t>Egresos (MX)</t>
  </si>
  <si>
    <t>%</t>
  </si>
  <si>
    <t>OPEX mensual (MMMN)</t>
  </si>
  <si>
    <t>CAPEX total  (MMMN)</t>
  </si>
  <si>
    <t>RESULTADOS (MMMN)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</si>
  <si>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</si>
  <si>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</si>
  <si>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</si>
  <si>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</si>
  <si>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</si>
  <si>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</si>
  <si>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</si>
  <si>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</si>
  <si>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</si>
  <si>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</si>
  <si>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</si>
  <si>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</si>
  <si>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OPEX Promedio</t>
  </si>
  <si>
    <t>Opex Total</t>
  </si>
  <si>
    <t>TOTAL [USD]</t>
  </si>
  <si>
    <t xml:space="preserve">https://www.google.com/search?client=firefox-b-d&amp;q=precio+del+dolar+hoy </t>
  </si>
  <si>
    <t>MAQUINARIA Y EQUIPO 1</t>
  </si>
  <si>
    <t>MAQUINARIA Y EQUIPO 2</t>
  </si>
  <si>
    <t>MAQUINARIA Y EQUIPO 3</t>
  </si>
  <si>
    <t>MAQUINARIA Y EQUIPO 4</t>
  </si>
  <si>
    <t>MAQUINARIA Y EQUIPO 5</t>
  </si>
  <si>
    <t>MAQUINARIA Y EQUIPO 6</t>
  </si>
  <si>
    <t>MAQUINARIA Y EQUIPO 8</t>
  </si>
  <si>
    <t>Aguinaldo</t>
  </si>
  <si>
    <t>Compra</t>
  </si>
  <si>
    <t>Renta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</si>
  <si>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</si>
  <si>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</si>
  <si>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</si>
  <si>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</si>
  <si>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</si>
  <si>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</si>
  <si>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</si>
  <si>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</si>
  <si>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</si>
  <si>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</si>
  <si>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</si>
  <si>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</si>
  <si>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</si>
  <si>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INSTALACIÓN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</si>
  <si>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</si>
  <si>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</si>
  <si>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</si>
  <si>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</si>
  <si>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</si>
  <si>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</si>
  <si>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</si>
  <si>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</si>
  <si>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</si>
  <si>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</si>
  <si>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</si>
  <si>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</si>
  <si>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GEOLIS </t>
  </si>
  <si>
    <t>PROYECTO:</t>
  </si>
  <si>
    <t>TOTAL PRESUPUESTADO</t>
  </si>
  <si>
    <t xml:space="preserve">ENSERES MENORES DIVERSOS </t>
  </si>
  <si>
    <t>PREMISAS</t>
  </si>
  <si>
    <t>PARIDAD</t>
  </si>
  <si>
    <t xml:space="preserve">MES </t>
  </si>
  <si>
    <t>PERIODO PAGO (DÍAS)</t>
  </si>
  <si>
    <t>GAS LP</t>
  </si>
  <si>
    <t>GASOLINA MAGNA</t>
  </si>
  <si>
    <t>DIESEL</t>
  </si>
  <si>
    <t>CRÉDITO</t>
  </si>
  <si>
    <t>GASOLINA</t>
  </si>
  <si>
    <t>NOMBRE Y OBJETIVO DEL SRVICIO</t>
  </si>
  <si>
    <t>TIPO</t>
  </si>
  <si>
    <t>TOTAL MENSUAL [MN]</t>
  </si>
  <si>
    <t xml:space="preserve">TOTAL [MN] </t>
  </si>
  <si>
    <t>C / IVA</t>
  </si>
  <si>
    <t>"EQUIPO DE COMPUTO							"</t>
  </si>
  <si>
    <t xml:space="preserve">PREMISAS	</t>
  </si>
  <si>
    <t xml:space="preserve">TOTAL MENSUAL [USD]	</t>
  </si>
  <si>
    <t>TOTAL  [USD]</t>
  </si>
  <si>
    <t>MAGNA</t>
  </si>
  <si>
    <t>LITROS / MES</t>
  </si>
  <si>
    <t>LITROS / DIARIOS</t>
  </si>
  <si>
    <t>RESUMEN 1</t>
  </si>
  <si>
    <t>RESUMEN 2</t>
  </si>
  <si>
    <t>MAT,SERV &amp; EQUIPO  (CONSTRUCCION)</t>
  </si>
  <si>
    <t xml:space="preserve">SERVICIOS DE SALUD /  SERVICIOS DE CAPACITACION / MATERIALES DE SALUD / MARKETING / INSUMOS DE OFICINA												</t>
  </si>
  <si>
    <t>" SERVICIOS DE SALUD /  SERVICIOS DE CAPACITACION / MATERIALES DE SALUD / MARKETING / INSUMOS DE OFICINA</t>
  </si>
  <si>
    <t>INGRESOS 2025</t>
  </si>
  <si>
    <t>Día</t>
  </si>
  <si>
    <t>Descuento MB2</t>
  </si>
  <si>
    <t>PERSONAL OPERATIVO (TERRESTRE)</t>
  </si>
  <si>
    <t>Categoría</t>
  </si>
  <si>
    <t>Base</t>
  </si>
  <si>
    <t>Bono de campo</t>
  </si>
  <si>
    <t>Salario integrado</t>
  </si>
  <si>
    <t>dia</t>
  </si>
  <si>
    <t>Mes</t>
  </si>
  <si>
    <t>Operador Terrestre A</t>
  </si>
  <si>
    <t>Operador Terrestre B</t>
  </si>
  <si>
    <t>Operador Terrestre C</t>
  </si>
  <si>
    <t>Operador Terrestre D</t>
  </si>
  <si>
    <t>Técnico Especialista A</t>
  </si>
  <si>
    <t>Técnico Especialista B</t>
  </si>
  <si>
    <t>Técnico Especialista C</t>
  </si>
  <si>
    <t>Transmision de telemetría</t>
  </si>
  <si>
    <t>Radiofrecuencia</t>
  </si>
  <si>
    <t>Reparaciones</t>
  </si>
  <si>
    <t>Housing y BJ</t>
  </si>
  <si>
    <t>Refaccionamiento MB</t>
  </si>
  <si>
    <t>Hilo para desbrosadora</t>
  </si>
  <si>
    <t>Aceite para desbrosadora</t>
  </si>
  <si>
    <t>Mtto. Para desbrosadora</t>
  </si>
  <si>
    <t xml:space="preserve">Acesoria </t>
  </si>
  <si>
    <t>Botiquin Oficina</t>
  </si>
  <si>
    <t xml:space="preserve">Salvador Alcazar Trinidad </t>
  </si>
  <si>
    <t>Variador de frecuencia para 300 KW/375 KVA.</t>
  </si>
  <si>
    <t>Generador de energía a gas de 300 KW/375 KVA a disposición.</t>
  </si>
  <si>
    <t>Patín con bomba electrocentrifuga horizontal con gasto de 10,000-20,000 BPD incluye la operación continua.</t>
  </si>
  <si>
    <t>Patín con bomba electrocentrifuga horizontal con gasto de 20,000-30,000 BPD incluye la operación continua.</t>
  </si>
  <si>
    <t>Generador de energía a gas de 300 KW/375 KVA.</t>
  </si>
  <si>
    <t>Repuesto unidad 31</t>
  </si>
  <si>
    <t>Casa staff cardenas</t>
  </si>
  <si>
    <t>Internet casa staff</t>
  </si>
  <si>
    <t>Camper operativo</t>
  </si>
  <si>
    <t>Succion de fosas</t>
  </si>
  <si>
    <t xml:space="preserve">German Vargas Ramirez </t>
  </si>
  <si>
    <t xml:space="preserve">Jose Luis Luria Nuñez </t>
  </si>
  <si>
    <t xml:space="preserve">Star Link camper operativo </t>
  </si>
  <si>
    <t>Unidad 18</t>
  </si>
  <si>
    <t xml:space="preserve">Unidad van </t>
  </si>
  <si>
    <t xml:space="preserve">Polirex </t>
  </si>
  <si>
    <t xml:space="preserve">Camara de empuje </t>
  </si>
  <si>
    <t xml:space="preserve">Sello mecanico </t>
  </si>
  <si>
    <t xml:space="preserve">Flexitalics </t>
  </si>
  <si>
    <t xml:space="preserve">Garloc </t>
  </si>
  <si>
    <t>Garrafas</t>
  </si>
  <si>
    <t>Termometro fluke</t>
  </si>
  <si>
    <t>Mantenimeinto electrico</t>
  </si>
  <si>
    <t xml:space="preserve">Mantenimiento </t>
  </si>
  <si>
    <t xml:space="preserve">Retoque pintura </t>
  </si>
  <si>
    <t xml:space="preserve">Grasa sellante </t>
  </si>
  <si>
    <t xml:space="preserve">Recolección de residuos </t>
  </si>
  <si>
    <t xml:space="preserve">HUMBERTO LECHUGA </t>
  </si>
  <si>
    <t>SUPERVISOR PROY.</t>
  </si>
  <si>
    <t xml:space="preserve">ROCIO RODRIGUEZ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</si>
</sst>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$-80A]#,##0.00"/>
    <numFmt numFmtId="165" formatCode="_-* #,##0.00_ _€_-;\-* #,##0.00_ _€_-;_-* &quot;-&quot;??_ _€_-;_-@_-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_ * #,##0.00_ ;_ * \-#,##0.00_ ;_ * &quot;-&quot;??_ ;_ @_ "/>
    <numFmt numFmtId="169" formatCode="_-[$$-80A]* #,##0.00_-;\-[$$-80A]* #,##0.00_-;_-[$$-80A]* &quot;-&quot;??_-;_-@_-"/>
    <numFmt numFmtId="170" formatCode="_-&quot;$&quot;* #,##0_-;\-&quot;$&quot;* #,##0_-;_-&quot;$&quot;* &quot;-&quot;??_-;_-@_-"/>
    <numFmt numFmtId="171" formatCode="_-&quot;$&quot;* #,##0.000_-;\-&quot;$&quot;* #,##0.000_-;_-&quot;$&quot;* &quot;-&quot;??_-;_-@_-"/>
    <numFmt numFmtId="172" formatCode="0.0%"/>
    <numFmt numFmtId="173" formatCode="0.0"/>
    <numFmt numFmtId="174" formatCode="0.000"/>
  </numFmts>
  <fonts count="65" x14ac:knownFonts="1">
    <font>
      <sz val="11"/>
      <color theme="1"/>
      <name val="Corbe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2"/>
      <color theme="1"/>
      <name val="Corbel"/>
      <family val="2"/>
    </font>
    <font>
      <b/>
      <sz val="12"/>
      <color theme="1"/>
      <name val="Corbel"/>
      <family val="2"/>
    </font>
    <font>
      <sz val="11"/>
      <color theme="1"/>
      <name val="Corbel"/>
      <family val="2"/>
    </font>
    <font>
      <b/>
      <sz val="14"/>
      <name val="Corbel"/>
      <family val="2"/>
    </font>
    <font>
      <b/>
      <sz val="14"/>
      <color theme="0"/>
      <name val="Corbel"/>
      <family val="2"/>
    </font>
    <font>
      <sz val="12"/>
      <color indexed="8"/>
      <name val="Corbel"/>
      <family val="2"/>
    </font>
    <font>
      <b/>
      <sz val="14"/>
      <color theme="1"/>
      <name val="Corbel"/>
      <family val="2"/>
    </font>
    <font>
      <sz val="12"/>
      <color rgb="FFFF0000"/>
      <name val="Corbel"/>
      <family val="2"/>
    </font>
    <font>
      <b/>
      <sz val="12"/>
      <name val="Corbel"/>
      <family val="2"/>
    </font>
    <font>
      <sz val="18"/>
      <color theme="1"/>
      <name val="Corbel"/>
      <family val="2"/>
    </font>
    <font>
      <b/>
      <sz val="11"/>
      <color theme="1"/>
      <name val="Corbel"/>
      <family val="2"/>
    </font>
    <font>
      <b/>
      <sz val="14"/>
      <color theme="3"/>
      <name val="Corbel"/>
      <family val="2"/>
    </font>
    <font>
      <b/>
      <sz val="12"/>
      <color theme="3"/>
      <name val="Corbel"/>
      <family val="2"/>
    </font>
    <font>
      <b/>
      <sz val="12"/>
      <color theme="0" tint="-0.249977111117893"/>
      <name val="Corbel"/>
      <family val="2"/>
    </font>
    <font>
      <b/>
      <sz val="20"/>
      <color theme="3"/>
      <name val="Corbel"/>
      <family val="2"/>
    </font>
    <font>
      <b/>
      <sz val="12"/>
      <color theme="0"/>
      <name val="Corbel"/>
      <family val="2"/>
    </font>
    <font>
      <b/>
      <sz val="12"/>
      <color rgb="FF000000"/>
      <name val="Corbel"/>
      <family val="2"/>
    </font>
    <font>
      <sz val="12"/>
      <color theme="3"/>
      <name val="Corbel"/>
      <family val="2"/>
    </font>
    <font>
      <sz val="12"/>
      <name val="Corbel"/>
      <family val="2"/>
    </font>
    <font>
      <sz val="14"/>
      <color theme="1"/>
      <name val="Corbel"/>
      <family val="2"/>
    </font>
    <font>
      <b/>
      <i/>
      <sz val="14"/>
      <color theme="1"/>
      <name val="Corbel"/>
      <family val="2"/>
    </font>
    <font>
      <b/>
      <sz val="14"/>
      <color theme="0" tint="-0.34998626667073579"/>
      <name val="Corbel"/>
      <family val="2"/>
    </font>
    <font>
      <sz val="14"/>
      <color theme="4" tint="0.39997558519241921"/>
      <name val="Corbel"/>
      <family val="2"/>
    </font>
    <font>
      <b/>
      <sz val="22"/>
      <color theme="3"/>
      <name val="Corbel"/>
      <family val="2"/>
    </font>
    <font>
      <sz val="8"/>
      <name val="Corbel"/>
      <family val="2"/>
    </font>
    <font>
      <b/>
      <i/>
      <sz val="14"/>
      <color theme="1" tint="0.499984740745262"/>
      <name val="Corbel"/>
      <family val="2"/>
    </font>
    <font>
      <b/>
      <sz val="22"/>
      <color theme="0"/>
      <name val="Corbel"/>
      <family val="2"/>
    </font>
    <font>
      <b/>
      <sz val="12"/>
      <color theme="1"/>
      <name val="Corbel"/>
      <family val="2"/>
    </font>
    <font>
      <b/>
      <sz val="12"/>
      <color rgb="FF000000"/>
      <name val="Corbel"/>
      <family val="2"/>
    </font>
    <font>
      <u/>
      <sz val="11"/>
      <color theme="10"/>
      <name val="Corbel"/>
      <family val="2"/>
    </font>
    <font>
      <sz val="12"/>
      <color theme="1"/>
      <name val="Corbel"/>
      <family val="2"/>
    </font>
    <font>
      <b/>
      <sz val="12"/>
      <color theme="0"/>
      <name val="Corbel"/>
      <family val="2"/>
    </font>
    <font>
      <b/>
      <sz val="12"/>
      <color theme="3"/>
      <name val="Corbel"/>
      <family val="2"/>
    </font>
    <font>
      <b/>
      <sz val="12"/>
      <name val="Corbel"/>
      <family val="2"/>
    </font>
    <font>
      <sz val="12"/>
      <color indexed="8"/>
      <name val="Corbel"/>
      <family val="2"/>
    </font>
    <font>
      <sz val="12"/>
      <color rgb="FF00B050"/>
      <name val="Corbel"/>
      <family val="2"/>
    </font>
    <font>
      <b/>
      <sz val="12"/>
      <color rgb="FF00B050"/>
      <name val="Corbel"/>
      <family val="2"/>
    </font>
    <font>
      <sz val="12"/>
      <color rgb="FFFF0000"/>
      <name val="Corbel"/>
      <family val="2"/>
    </font>
    <font>
      <b/>
      <sz val="12"/>
      <color rgb="FFFF0000"/>
      <name val="Corbel"/>
      <family val="2"/>
    </font>
    <font>
      <b/>
      <sz val="12"/>
      <color indexed="8"/>
      <name val="Corbel"/>
      <family val="2"/>
    </font>
    <font>
      <b/>
      <sz val="14"/>
      <color rgb="FF00B050"/>
      <name val="Corbel"/>
      <family val="2"/>
    </font>
    <font>
      <b/>
      <sz val="12"/>
      <color theme="9" tint="-0.249977111117893"/>
      <name val="Corbel"/>
      <family val="2"/>
    </font>
    <font>
      <b/>
      <sz val="12"/>
      <color theme="1"/>
      <name val="Corbel"/>
      <family val="2"/>
    </font>
    <font>
      <sz val="12"/>
      <color theme="1"/>
      <name val="Corbel"/>
      <family val="2"/>
    </font>
    <font>
      <b/>
      <sz val="12"/>
      <color indexed="9"/>
      <name val="Corbel"/>
      <family val="2"/>
    </font>
    <font>
      <b/>
      <sz val="12"/>
      <name val="Corbel"/>
      <family val="2"/>
    </font>
    <font>
      <i/>
      <sz val="12"/>
      <name val="Corbel"/>
      <family val="2"/>
    </font>
    <font>
      <b/>
      <sz val="16"/>
      <color theme="1"/>
      <name val="Corbel"/>
      <family val="2"/>
    </font>
    <font>
      <b/>
      <i/>
      <sz val="16"/>
      <color theme="1"/>
      <name val="Corbel"/>
      <family val="2"/>
    </font>
    <font>
      <b/>
      <sz val="16"/>
      <color indexed="9"/>
      <name val="Corbel"/>
      <family val="2"/>
    </font>
    <font>
      <b/>
      <u/>
      <sz val="11"/>
      <color theme="10"/>
      <name val="Corbel"/>
      <family val="2"/>
    </font>
    <font>
      <b/>
      <sz val="14"/>
      <color theme="1"/>
      <name val="Corbel"/>
      <family val="2"/>
    </font>
    <font>
      <sz val="12"/>
      <color theme="0"/>
      <name val="Corbel"/>
      <family val="2"/>
    </font>
    <font>
      <b/>
      <sz val="12"/>
      <color theme="0"/>
      <name val="Corbel"/>
      <family val="2"/>
    </font>
    <font>
      <sz val="14"/>
      <color theme="1"/>
      <name val="Corbel"/>
      <family val="2"/>
    </font>
    <font>
      <sz val="10"/>
      <color theme="1"/>
      <name val="Corbel"/>
      <family val="2"/>
    </font>
  </fonts>
  <fills count="4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3"/>
      </patternFill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DB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B9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A8FFB4"/>
        <bgColor indexed="64"/>
      </patternFill>
    </fill>
    <fill>
      <patternFill patternType="solid">
        <fgColor rgb="FFF4FFAB"/>
        <bgColor indexed="64"/>
      </patternFill>
    </fill>
    <fill>
      <patternFill patternType="solid">
        <fgColor rgb="FF7030A0"/>
        <bgColor indexed="64"/>
      </patternFill>
    </fill>
  </fills>
  <borders count="5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9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164" fontId="2" fillId="0" borderId="0"/>
    <xf numFmtId="0" fontId="2" fillId="0" borderId="0"/>
    <xf numFmtId="165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44" fontId="2" fillId="0" borderId="0" quotePrefix="1">
      <protection locked="0"/>
    </xf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0" fontId="7" fillId="0" borderId="0"/>
    <xf numFmtId="0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7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164" fontId="2" fillId="0" borderId="0"/>
    <xf numFmtId="0" fontId="6" fillId="0" borderId="0">
      <alignment vertical="top"/>
    </xf>
    <xf numFmtId="164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8" fillId="0" borderId="0" applyNumberFormat="0" applyFill="0" applyBorder="0" applyAlignment="0" applyProtection="0"/>
  </cellStyleXfs>
  <cellXfs count="360">
    <xf numFmtId="0" fontId="0" fillId="0" borderId="0" xfId="0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44" fontId="9" fillId="0" borderId="0" xfId="1" applyFont="1" applyAlignment="1">
      <alignment vertical="center"/>
    </xf>
    <xf numFmtId="44" fontId="9" fillId="0" borderId="0" xfId="1" applyFont="1"/>
    <xf numFmtId="0" fontId="11" fillId="0" borderId="0" xfId="0" applyFont="1"/>
    <xf numFmtId="0" fontId="15" fillId="0" borderId="0" xfId="0" applyFont="1"/>
    <xf numFmtId="44" fontId="9" fillId="0" borderId="0" xfId="0" applyNumberFormat="1" applyFont="1" applyAlignment="1">
      <alignment vertical="center"/>
    </xf>
    <xf numFmtId="0" fontId="18" fillId="0" borderId="0" xfId="0" applyFont="1" applyAlignment="1">
      <alignment horizontal="center"/>
    </xf>
    <xf numFmtId="0" fontId="20" fillId="24" borderId="0" xfId="0" applyFont="1" applyFill="1" applyAlignment="1">
      <alignment vertical="center"/>
    </xf>
    <xf numFmtId="0" fontId="21" fillId="24" borderId="0" xfId="0" applyFont="1" applyFill="1" applyAlignment="1">
      <alignment vertical="center"/>
    </xf>
    <xf numFmtId="0" fontId="22" fillId="24" borderId="0" xfId="0" applyFont="1" applyFill="1" applyAlignment="1">
      <alignment horizontal="center" vertical="center"/>
    </xf>
    <xf numFmtId="0" fontId="23" fillId="24" borderId="0" xfId="0" applyFont="1" applyFill="1" applyAlignment="1">
      <alignment vertical="center"/>
    </xf>
    <xf numFmtId="0" fontId="24" fillId="23" borderId="0" xfId="0" applyFont="1" applyFill="1" applyAlignment="1">
      <alignment vertical="center"/>
    </xf>
    <xf numFmtId="0" fontId="26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vertical="center"/>
    </xf>
    <xf numFmtId="170" fontId="9" fillId="0" borderId="0" xfId="0" applyNumberFormat="1" applyFont="1" applyAlignment="1">
      <alignment vertical="center"/>
    </xf>
    <xf numFmtId="0" fontId="28" fillId="0" borderId="0" xfId="0" applyFont="1" applyAlignment="1">
      <alignment horizontal="center"/>
    </xf>
    <xf numFmtId="0" fontId="28" fillId="0" borderId="0" xfId="0" applyFont="1"/>
    <xf numFmtId="9" fontId="15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44" fontId="28" fillId="0" borderId="13" xfId="1" applyFont="1" applyBorder="1" applyAlignment="1">
      <alignment horizontal="center" vertical="center"/>
    </xf>
    <xf numFmtId="44" fontId="13" fillId="25" borderId="0" xfId="1" applyFont="1" applyFill="1" applyAlignment="1">
      <alignment horizontal="center" vertical="center"/>
    </xf>
    <xf numFmtId="44" fontId="28" fillId="0" borderId="0" xfId="1" applyFont="1" applyAlignment="1">
      <alignment vertical="center"/>
    </xf>
    <xf numFmtId="44" fontId="28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4" fontId="15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center" vertical="center"/>
    </xf>
    <xf numFmtId="44" fontId="31" fillId="0" borderId="0" xfId="1" applyFont="1" applyAlignment="1">
      <alignment vertical="center"/>
    </xf>
    <xf numFmtId="0" fontId="28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44" fontId="15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/>
    </xf>
    <xf numFmtId="44" fontId="12" fillId="21" borderId="0" xfId="1" applyFont="1" applyFill="1" applyAlignment="1">
      <alignment horizontal="center" vertical="center"/>
    </xf>
    <xf numFmtId="44" fontId="13" fillId="21" borderId="0" xfId="1" applyFont="1" applyFill="1" applyAlignment="1">
      <alignment horizontal="center" vertical="center"/>
    </xf>
    <xf numFmtId="44" fontId="28" fillId="0" borderId="0" xfId="0" applyNumberFormat="1" applyFont="1" applyAlignment="1">
      <alignment horizontal="center"/>
    </xf>
    <xf numFmtId="44" fontId="15" fillId="0" borderId="0" xfId="0" applyNumberFormat="1" applyFont="1" applyAlignment="1">
      <alignment horizontal="center"/>
    </xf>
    <xf numFmtId="0" fontId="23" fillId="24" borderId="0" xfId="0" applyFont="1" applyFill="1" applyAlignment="1">
      <alignment horizontal="left" vertical="center"/>
    </xf>
    <xf numFmtId="44" fontId="9" fillId="0" borderId="0" xfId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69" fontId="9" fillId="0" borderId="0" xfId="1" applyNumberFormat="1" applyFont="1" applyFill="1" applyBorder="1" applyAlignment="1">
      <alignment horizontal="center" vertical="center"/>
    </xf>
    <xf numFmtId="0" fontId="9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44" fontId="9" fillId="0" borderId="0" xfId="0" applyNumberFormat="1" applyFont="1"/>
    <xf numFmtId="44" fontId="9" fillId="0" borderId="0" xfId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44" fontId="9" fillId="0" borderId="0" xfId="1" applyFont="1" applyFill="1" applyBorder="1" applyAlignment="1" applyProtection="1">
      <alignment horizontal="center" vertical="center"/>
    </xf>
    <xf numFmtId="6" fontId="9" fillId="0" borderId="0" xfId="1" applyNumberFormat="1" applyFont="1" applyFill="1" applyBorder="1" applyAlignment="1" applyProtection="1">
      <alignment horizontal="center" vertical="center"/>
    </xf>
    <xf numFmtId="44" fontId="14" fillId="0" borderId="0" xfId="1" applyFont="1" applyFill="1" applyBorder="1" applyAlignment="1">
      <alignment horizontal="center" vertical="center" wrapText="1"/>
    </xf>
    <xf numFmtId="44" fontId="27" fillId="0" borderId="0" xfId="2" applyNumberFormat="1" applyFont="1" applyAlignment="1">
      <alignment horizontal="right" vertical="center"/>
    </xf>
    <xf numFmtId="44" fontId="9" fillId="0" borderId="0" xfId="1" applyFont="1" applyAlignment="1">
      <alignment horizontal="center" vertical="center"/>
    </xf>
    <xf numFmtId="0" fontId="32" fillId="24" borderId="0" xfId="0" applyFont="1" applyFill="1" applyAlignment="1">
      <alignment vertical="center"/>
    </xf>
    <xf numFmtId="44" fontId="9" fillId="0" borderId="10" xfId="1" applyFont="1" applyFill="1" applyBorder="1"/>
    <xf numFmtId="0" fontId="9" fillId="0" borderId="7" xfId="0" applyFont="1" applyBorder="1"/>
    <xf numFmtId="0" fontId="17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0" applyNumberFormat="1"/>
    <xf numFmtId="0" fontId="27" fillId="0" borderId="0" xfId="0" applyFont="1"/>
    <xf numFmtId="44" fontId="9" fillId="0" borderId="0" xfId="1" applyFont="1" applyFill="1" applyBorder="1" applyAlignment="1">
      <alignment horizontal="left"/>
    </xf>
    <xf numFmtId="0" fontId="9" fillId="0" borderId="0" xfId="1" applyNumberFormat="1" applyFont="1" applyFill="1" applyBorder="1" applyAlignment="1">
      <alignment horizontal="center"/>
    </xf>
    <xf numFmtId="44" fontId="27" fillId="0" borderId="0" xfId="1" applyFont="1" applyFill="1" applyBorder="1" applyAlignment="1">
      <alignment horizontal="center"/>
    </xf>
    <xf numFmtId="44" fontId="9" fillId="0" borderId="0" xfId="1" applyFont="1" applyAlignment="1">
      <alignment wrapText="1"/>
    </xf>
    <xf numFmtId="49" fontId="9" fillId="0" borderId="0" xfId="0" applyNumberFormat="1" applyFont="1"/>
    <xf numFmtId="44" fontId="9" fillId="0" borderId="0" xfId="1" applyFont="1" applyFill="1" applyBorder="1"/>
    <xf numFmtId="0" fontId="17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7" fillId="24" borderId="0" xfId="0" applyFont="1" applyFill="1" applyAlignment="1">
      <alignment wrapText="1"/>
    </xf>
    <xf numFmtId="49" fontId="17" fillId="0" borderId="0" xfId="0" applyNumberFormat="1" applyFont="1" applyAlignment="1">
      <alignment horizontal="center" vertical="center" wrapText="1"/>
    </xf>
    <xf numFmtId="0" fontId="9" fillId="0" borderId="9" xfId="0" applyFont="1" applyBorder="1" applyAlignment="1">
      <alignment horizontal="left" vertical="center"/>
    </xf>
    <xf numFmtId="0" fontId="9" fillId="0" borderId="9" xfId="1" applyNumberFormat="1" applyFont="1" applyFill="1" applyBorder="1" applyAlignment="1">
      <alignment horizontal="center" vertical="center"/>
    </xf>
    <xf numFmtId="44" fontId="9" fillId="0" borderId="9" xfId="0" applyNumberFormat="1" applyFont="1" applyBorder="1"/>
    <xf numFmtId="0" fontId="9" fillId="0" borderId="7" xfId="0" applyFont="1" applyBorder="1" applyAlignment="1">
      <alignment horizontal="left" vertical="center"/>
    </xf>
    <xf numFmtId="44" fontId="27" fillId="0" borderId="7" xfId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44" fontId="27" fillId="0" borderId="8" xfId="1" applyFont="1" applyFill="1" applyBorder="1" applyAlignment="1">
      <alignment horizontal="center" vertical="center"/>
    </xf>
    <xf numFmtId="0" fontId="9" fillId="0" borderId="8" xfId="0" applyFont="1" applyBorder="1"/>
    <xf numFmtId="44" fontId="27" fillId="0" borderId="0" xfId="1" applyFont="1" applyFill="1" applyBorder="1" applyAlignment="1">
      <alignment horizontal="center" vertical="center"/>
    </xf>
    <xf numFmtId="44" fontId="0" fillId="0" borderId="0" xfId="1" applyFont="1"/>
    <xf numFmtId="0" fontId="34" fillId="0" borderId="0" xfId="0" applyFont="1" applyAlignment="1">
      <alignment horizontal="center"/>
    </xf>
    <xf numFmtId="2" fontId="0" fillId="0" borderId="0" xfId="0" applyNumberFormat="1"/>
    <xf numFmtId="4" fontId="0" fillId="0" borderId="0" xfId="1" applyNumberFormat="1" applyFont="1"/>
    <xf numFmtId="4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6" fillId="22" borderId="0" xfId="0" applyFont="1" applyFill="1" applyAlignment="1">
      <alignment horizontal="center" vertical="center"/>
    </xf>
    <xf numFmtId="0" fontId="36" fillId="27" borderId="0" xfId="0" applyFont="1" applyFill="1" applyAlignment="1">
      <alignment horizontal="center" vertical="center"/>
    </xf>
    <xf numFmtId="0" fontId="36" fillId="45" borderId="0" xfId="0" applyFont="1" applyFill="1" applyAlignment="1">
      <alignment horizontal="center" vertical="center"/>
    </xf>
    <xf numFmtId="17" fontId="40" fillId="42" borderId="13" xfId="0" applyNumberFormat="1" applyFont="1" applyFill="1" applyBorder="1" applyAlignment="1">
      <alignment horizontal="center" vertical="center" wrapText="1"/>
    </xf>
    <xf numFmtId="0" fontId="41" fillId="43" borderId="13" xfId="0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36" fillId="22" borderId="0" xfId="0" applyFont="1" applyFill="1" applyAlignment="1">
      <alignment vertical="center" wrapText="1"/>
    </xf>
    <xf numFmtId="17" fontId="39" fillId="22" borderId="0" xfId="0" applyNumberFormat="1" applyFont="1" applyFill="1" applyAlignment="1">
      <alignment horizontal="center" vertical="center" wrapText="1"/>
    </xf>
    <xf numFmtId="1" fontId="39" fillId="22" borderId="0" xfId="0" applyNumberFormat="1" applyFont="1" applyFill="1" applyAlignment="1">
      <alignment horizontal="center" vertical="center"/>
    </xf>
    <xf numFmtId="44" fontId="39" fillId="22" borderId="0" xfId="0" applyNumberFormat="1" applyFont="1" applyFill="1" applyAlignment="1">
      <alignment horizontal="left" vertical="center" wrapText="1"/>
    </xf>
    <xf numFmtId="0" fontId="39" fillId="22" borderId="0" xfId="0" applyFont="1" applyFill="1" applyAlignment="1">
      <alignment horizontal="center" vertical="center"/>
    </xf>
    <xf numFmtId="17" fontId="39" fillId="22" borderId="0" xfId="0" applyNumberFormat="1" applyFont="1" applyFill="1" applyAlignment="1">
      <alignment horizontal="left" vertical="center" wrapText="1"/>
    </xf>
    <xf numFmtId="0" fontId="39" fillId="0" borderId="0" xfId="0" applyFont="1"/>
    <xf numFmtId="0" fontId="39" fillId="22" borderId="0" xfId="0" applyFont="1" applyFill="1" applyAlignment="1">
      <alignment vertical="center"/>
    </xf>
    <xf numFmtId="1" fontId="39" fillId="22" borderId="19" xfId="0" applyNumberFormat="1" applyFont="1" applyFill="1" applyBorder="1" applyAlignment="1">
      <alignment horizontal="center" vertical="center"/>
    </xf>
    <xf numFmtId="44" fontId="39" fillId="22" borderId="19" xfId="1" applyFont="1" applyFill="1" applyBorder="1" applyAlignment="1">
      <alignment horizontal="center" vertical="center" wrapText="1"/>
    </xf>
    <xf numFmtId="0" fontId="43" fillId="0" borderId="0" xfId="166" applyFont="1" applyAlignment="1">
      <alignment vertical="center"/>
    </xf>
    <xf numFmtId="0" fontId="37" fillId="0" borderId="0" xfId="0" applyFont="1" applyAlignment="1">
      <alignment vertical="center"/>
    </xf>
    <xf numFmtId="44" fontId="39" fillId="0" borderId="3" xfId="1" applyFont="1" applyBorder="1" applyAlignment="1">
      <alignment vertical="center"/>
    </xf>
    <xf numFmtId="44" fontId="36" fillId="0" borderId="0" xfId="1" applyFont="1" applyAlignment="1">
      <alignment vertical="center"/>
    </xf>
    <xf numFmtId="44" fontId="39" fillId="0" borderId="0" xfId="0" applyNumberFormat="1" applyFont="1" applyAlignment="1">
      <alignment vertical="center"/>
    </xf>
    <xf numFmtId="44" fontId="36" fillId="0" borderId="0" xfId="0" applyNumberFormat="1" applyFont="1" applyAlignment="1">
      <alignment vertical="center"/>
    </xf>
    <xf numFmtId="0" fontId="44" fillId="0" borderId="0" xfId="166" applyFont="1" applyAlignment="1">
      <alignment horizontal="left" vertical="center"/>
    </xf>
    <xf numFmtId="44" fontId="39" fillId="0" borderId="14" xfId="1" applyFont="1" applyBorder="1" applyAlignment="1">
      <alignment vertical="center"/>
    </xf>
    <xf numFmtId="0" fontId="45" fillId="0" borderId="0" xfId="166" applyFont="1" applyAlignment="1">
      <alignment horizontal="left" vertical="center"/>
    </xf>
    <xf numFmtId="0" fontId="46" fillId="0" borderId="0" xfId="166" applyFont="1" applyAlignment="1">
      <alignment vertical="center"/>
    </xf>
    <xf numFmtId="44" fontId="39" fillId="0" borderId="0" xfId="1" applyFont="1" applyAlignment="1">
      <alignment vertical="center"/>
    </xf>
    <xf numFmtId="0" fontId="47" fillId="0" borderId="0" xfId="166" applyFont="1" applyAlignment="1">
      <alignment vertical="center"/>
    </xf>
    <xf numFmtId="0" fontId="47" fillId="0" borderId="0" xfId="166" applyFont="1" applyAlignment="1">
      <alignment horizontal="left" vertical="center"/>
    </xf>
    <xf numFmtId="0" fontId="46" fillId="0" borderId="0" xfId="166" applyFont="1" applyAlignment="1">
      <alignment horizontal="left" vertical="center"/>
    </xf>
    <xf numFmtId="0" fontId="46" fillId="24" borderId="15" xfId="166" applyFont="1" applyFill="1" applyBorder="1" applyAlignment="1">
      <alignment vertical="center"/>
    </xf>
    <xf numFmtId="44" fontId="39" fillId="41" borderId="4" xfId="1" applyFont="1" applyFill="1" applyBorder="1" applyAlignment="1">
      <alignment vertical="center"/>
    </xf>
    <xf numFmtId="44" fontId="39" fillId="41" borderId="5" xfId="1" applyFont="1" applyFill="1" applyBorder="1" applyAlignment="1">
      <alignment vertical="center"/>
    </xf>
    <xf numFmtId="44" fontId="39" fillId="0" borderId="4" xfId="1" applyFont="1" applyBorder="1" applyAlignment="1">
      <alignment vertical="center"/>
    </xf>
    <xf numFmtId="44" fontId="39" fillId="0" borderId="5" xfId="1" applyFont="1" applyBorder="1" applyAlignment="1">
      <alignment vertical="center"/>
    </xf>
    <xf numFmtId="0" fontId="39" fillId="22" borderId="4" xfId="166" applyFont="1" applyFill="1" applyBorder="1" applyAlignment="1">
      <alignment vertical="center"/>
    </xf>
    <xf numFmtId="44" fontId="46" fillId="0" borderId="4" xfId="1" applyFont="1" applyBorder="1" applyAlignment="1">
      <alignment vertical="center"/>
    </xf>
    <xf numFmtId="44" fontId="46" fillId="0" borderId="5" xfId="1" applyFont="1" applyBorder="1" applyAlignment="1">
      <alignment vertical="center"/>
    </xf>
    <xf numFmtId="44" fontId="46" fillId="0" borderId="0" xfId="1" applyFont="1" applyAlignment="1">
      <alignment vertical="center"/>
    </xf>
    <xf numFmtId="169" fontId="39" fillId="0" borderId="0" xfId="0" applyNumberFormat="1" applyFont="1" applyAlignment="1">
      <alignment vertical="center"/>
    </xf>
    <xf numFmtId="0" fontId="39" fillId="0" borderId="0" xfId="166" applyFont="1" applyAlignment="1">
      <alignment vertical="center"/>
    </xf>
    <xf numFmtId="44" fontId="46" fillId="0" borderId="0" xfId="202" applyNumberFormat="1" applyFont="1" applyBorder="1" applyAlignment="1">
      <alignment horizontal="center" vertical="center"/>
    </xf>
    <xf numFmtId="2" fontId="39" fillId="0" borderId="0" xfId="202" applyNumberFormat="1" applyFont="1" applyBorder="1" applyAlignment="1">
      <alignment horizontal="center" vertical="center"/>
    </xf>
    <xf numFmtId="0" fontId="48" fillId="0" borderId="0" xfId="166" applyFont="1" applyAlignment="1">
      <alignment horizontal="center" vertical="center"/>
    </xf>
    <xf numFmtId="0" fontId="44" fillId="0" borderId="0" xfId="0" applyFont="1" applyAlignment="1">
      <alignment vertical="center" wrapText="1"/>
    </xf>
    <xf numFmtId="0" fontId="49" fillId="0" borderId="0" xfId="166" applyFont="1" applyAlignment="1">
      <alignment horizontal="center" vertical="center"/>
    </xf>
    <xf numFmtId="0" fontId="45" fillId="24" borderId="4" xfId="166" applyFont="1" applyFill="1" applyBorder="1" applyAlignment="1">
      <alignment horizontal="left" vertical="center"/>
    </xf>
    <xf numFmtId="0" fontId="45" fillId="24" borderId="15" xfId="166" applyFont="1" applyFill="1" applyBorder="1" applyAlignment="1">
      <alignment horizontal="left" vertical="center"/>
    </xf>
    <xf numFmtId="0" fontId="39" fillId="0" borderId="0" xfId="166" applyFont="1" applyAlignment="1">
      <alignment horizontal="center" vertical="center"/>
    </xf>
    <xf numFmtId="44" fontId="39" fillId="0" borderId="0" xfId="166" applyNumberFormat="1" applyFont="1" applyAlignment="1">
      <alignment horizontal="center" vertical="center"/>
    </xf>
    <xf numFmtId="44" fontId="39" fillId="0" borderId="0" xfId="166" applyNumberFormat="1" applyFont="1" applyAlignment="1">
      <alignment vertical="center"/>
    </xf>
    <xf numFmtId="171" fontId="39" fillId="0" borderId="0" xfId="166" applyNumberFormat="1" applyFont="1" applyAlignment="1">
      <alignment horizontal="center" vertical="center"/>
    </xf>
    <xf numFmtId="172" fontId="39" fillId="0" borderId="0" xfId="202" applyNumberFormat="1" applyFont="1" applyBorder="1" applyAlignment="1">
      <alignment horizontal="center" vertical="center"/>
    </xf>
    <xf numFmtId="173" fontId="39" fillId="0" borderId="0" xfId="201" applyNumberFormat="1" applyFont="1" applyBorder="1" applyAlignment="1">
      <alignment horizontal="center" vertical="center"/>
    </xf>
    <xf numFmtId="174" fontId="39" fillId="0" borderId="0" xfId="166" applyNumberFormat="1" applyFont="1" applyAlignment="1">
      <alignment horizontal="center" vertical="center"/>
    </xf>
    <xf numFmtId="44" fontId="36" fillId="27" borderId="0" xfId="1" applyFont="1" applyFill="1" applyAlignment="1">
      <alignment vertical="center"/>
    </xf>
    <xf numFmtId="44" fontId="9" fillId="0" borderId="0" xfId="1" applyFont="1" applyAlignment="1">
      <alignment horizontal="left" vertical="center"/>
    </xf>
    <xf numFmtId="44" fontId="17" fillId="0" borderId="0" xfId="1" applyFont="1" applyAlignment="1">
      <alignment horizontal="center" vertical="center" wrapText="1"/>
    </xf>
    <xf numFmtId="44" fontId="9" fillId="0" borderId="7" xfId="1" applyFont="1" applyBorder="1" applyAlignment="1">
      <alignment horizontal="left" vertical="center"/>
    </xf>
    <xf numFmtId="44" fontId="36" fillId="24" borderId="11" xfId="1" applyFont="1" applyFill="1" applyBorder="1" applyAlignment="1">
      <alignment vertical="center"/>
    </xf>
    <xf numFmtId="44" fontId="36" fillId="24" borderId="18" xfId="1" applyFont="1" applyFill="1" applyBorder="1" applyAlignment="1">
      <alignment vertical="center"/>
    </xf>
    <xf numFmtId="44" fontId="36" fillId="24" borderId="12" xfId="1" applyFont="1" applyFill="1" applyBorder="1" applyAlignment="1">
      <alignment vertical="center"/>
    </xf>
    <xf numFmtId="0" fontId="45" fillId="0" borderId="20" xfId="166" applyFont="1" applyBorder="1" applyAlignment="1">
      <alignment horizontal="right" vertical="center"/>
    </xf>
    <xf numFmtId="44" fontId="36" fillId="0" borderId="21" xfId="0" applyNumberFormat="1" applyFont="1" applyBorder="1" applyAlignment="1">
      <alignment vertical="center"/>
    </xf>
    <xf numFmtId="0" fontId="47" fillId="0" borderId="22" xfId="166" applyFont="1" applyBorder="1" applyAlignment="1">
      <alignment horizontal="right" vertical="center"/>
    </xf>
    <xf numFmtId="44" fontId="36" fillId="0" borderId="23" xfId="0" applyNumberFormat="1" applyFont="1" applyBorder="1" applyAlignment="1">
      <alignment vertical="center"/>
    </xf>
    <xf numFmtId="0" fontId="50" fillId="0" borderId="24" xfId="166" applyFont="1" applyBorder="1" applyAlignment="1">
      <alignment horizontal="right" vertical="center"/>
    </xf>
    <xf numFmtId="44" fontId="36" fillId="0" borderId="25" xfId="0" applyNumberFormat="1" applyFont="1" applyBorder="1" applyAlignment="1">
      <alignment vertical="center"/>
    </xf>
    <xf numFmtId="17" fontId="24" fillId="42" borderId="13" xfId="0" applyNumberFormat="1" applyFont="1" applyFill="1" applyBorder="1" applyAlignment="1">
      <alignment horizontal="center" vertical="center" wrapText="1"/>
    </xf>
    <xf numFmtId="0" fontId="51" fillId="0" borderId="0" xfId="0" applyFont="1" applyAlignment="1">
      <alignment horizontal="right" vertical="center"/>
    </xf>
    <xf numFmtId="0" fontId="51" fillId="0" borderId="0" xfId="0" applyFont="1" applyAlignment="1">
      <alignment horizontal="center" vertical="center"/>
    </xf>
    <xf numFmtId="0" fontId="10" fillId="22" borderId="19" xfId="0" applyFont="1" applyFill="1" applyBorder="1" applyAlignment="1">
      <alignment horizontal="left" vertical="center" wrapText="1"/>
    </xf>
    <xf numFmtId="0" fontId="36" fillId="28" borderId="19" xfId="0" applyFont="1" applyFill="1" applyBorder="1" applyAlignment="1">
      <alignment horizontal="center" vertical="center"/>
    </xf>
    <xf numFmtId="0" fontId="10" fillId="28" borderId="19" xfId="0" applyFont="1" applyFill="1" applyBorder="1" applyAlignment="1">
      <alignment horizontal="center" vertical="center"/>
    </xf>
    <xf numFmtId="17" fontId="24" fillId="42" borderId="19" xfId="0" applyNumberFormat="1" applyFont="1" applyFill="1" applyBorder="1" applyAlignment="1">
      <alignment horizontal="center" vertical="center" wrapText="1"/>
    </xf>
    <xf numFmtId="17" fontId="40" fillId="42" borderId="19" xfId="0" applyNumberFormat="1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3" fillId="29" borderId="0" xfId="0" applyFont="1" applyFill="1" applyAlignment="1">
      <alignment horizontal="center" vertical="center"/>
    </xf>
    <xf numFmtId="0" fontId="54" fillId="30" borderId="2" xfId="0" applyFont="1" applyFill="1" applyBorder="1" applyAlignment="1">
      <alignment horizontal="center" vertical="center"/>
    </xf>
    <xf numFmtId="0" fontId="54" fillId="39" borderId="2" xfId="0" applyFont="1" applyFill="1" applyBorder="1" applyAlignment="1">
      <alignment vertical="center"/>
    </xf>
    <xf numFmtId="43" fontId="54" fillId="39" borderId="2" xfId="201" applyFont="1" applyFill="1" applyBorder="1" applyAlignment="1">
      <alignment vertical="center"/>
    </xf>
    <xf numFmtId="0" fontId="53" fillId="29" borderId="0" xfId="0" applyFont="1" applyFill="1" applyAlignment="1">
      <alignment vertical="center"/>
    </xf>
    <xf numFmtId="0" fontId="55" fillId="0" borderId="2" xfId="0" applyFont="1" applyBorder="1" applyAlignment="1">
      <alignment vertical="center"/>
    </xf>
    <xf numFmtId="43" fontId="55" fillId="0" borderId="2" xfId="201" applyFont="1" applyFill="1" applyBorder="1" applyAlignment="1">
      <alignment vertical="center"/>
    </xf>
    <xf numFmtId="0" fontId="55" fillId="24" borderId="2" xfId="0" applyFont="1" applyFill="1" applyBorder="1" applyAlignment="1">
      <alignment vertical="center"/>
    </xf>
    <xf numFmtId="43" fontId="55" fillId="24" borderId="2" xfId="201" applyFont="1" applyFill="1" applyBorder="1" applyAlignment="1">
      <alignment vertical="center"/>
    </xf>
    <xf numFmtId="0" fontId="54" fillId="34" borderId="2" xfId="0" applyFont="1" applyFill="1" applyBorder="1" applyAlignment="1">
      <alignment vertical="center"/>
    </xf>
    <xf numFmtId="43" fontId="54" fillId="34" borderId="2" xfId="201" applyFont="1" applyFill="1" applyBorder="1" applyAlignment="1">
      <alignment vertical="center"/>
    </xf>
    <xf numFmtId="10" fontId="54" fillId="34" borderId="6" xfId="202" applyNumberFormat="1" applyFont="1" applyFill="1" applyBorder="1" applyAlignment="1">
      <alignment horizontal="center" vertical="center"/>
    </xf>
    <xf numFmtId="0" fontId="51" fillId="0" borderId="0" xfId="0" applyFont="1" applyAlignment="1">
      <alignment vertical="center"/>
    </xf>
    <xf numFmtId="43" fontId="55" fillId="0" borderId="2" xfId="201" applyFont="1" applyBorder="1" applyAlignment="1">
      <alignment vertical="center"/>
    </xf>
    <xf numFmtId="0" fontId="54" fillId="33" borderId="2" xfId="0" applyFont="1" applyFill="1" applyBorder="1" applyAlignment="1">
      <alignment vertical="center"/>
    </xf>
    <xf numFmtId="43" fontId="54" fillId="33" borderId="2" xfId="201" applyFont="1" applyFill="1" applyBorder="1" applyAlignment="1">
      <alignment vertical="center"/>
    </xf>
    <xf numFmtId="43" fontId="54" fillId="31" borderId="2" xfId="201" applyFont="1" applyFill="1" applyBorder="1" applyAlignment="1">
      <alignment vertical="center"/>
    </xf>
    <xf numFmtId="43" fontId="51" fillId="0" borderId="0" xfId="0" applyNumberFormat="1" applyFont="1" applyAlignment="1">
      <alignment vertical="center"/>
    </xf>
    <xf numFmtId="49" fontId="55" fillId="0" borderId="2" xfId="0" applyNumberFormat="1" applyFont="1" applyBorder="1" applyAlignment="1">
      <alignment vertical="center"/>
    </xf>
    <xf numFmtId="43" fontId="54" fillId="30" borderId="2" xfId="201" applyFont="1" applyFill="1" applyBorder="1" applyAlignment="1">
      <alignment horizontal="center" vertical="center"/>
    </xf>
    <xf numFmtId="0" fontId="51" fillId="28" borderId="2" xfId="0" applyFont="1" applyFill="1" applyBorder="1" applyAlignment="1">
      <alignment horizontal="center" vertical="center"/>
    </xf>
    <xf numFmtId="43" fontId="51" fillId="28" borderId="2" xfId="0" applyNumberFormat="1" applyFont="1" applyFill="1" applyBorder="1" applyAlignment="1">
      <alignment vertical="center"/>
    </xf>
    <xf numFmtId="172" fontId="51" fillId="26" borderId="2" xfId="202" applyNumberFormat="1" applyFont="1" applyFill="1" applyBorder="1" applyAlignment="1">
      <alignment horizontal="center" vertical="center"/>
    </xf>
    <xf numFmtId="172" fontId="51" fillId="0" borderId="0" xfId="202" applyNumberFormat="1" applyFont="1" applyAlignment="1">
      <alignment horizontal="center" vertical="center"/>
    </xf>
    <xf numFmtId="44" fontId="36" fillId="32" borderId="19" xfId="0" applyNumberFormat="1" applyFont="1" applyFill="1" applyBorder="1" applyAlignment="1">
      <alignment horizontal="center" vertical="center"/>
    </xf>
    <xf numFmtId="173" fontId="36" fillId="27" borderId="19" xfId="0" applyNumberFormat="1" applyFont="1" applyFill="1" applyBorder="1" applyAlignment="1">
      <alignment horizontal="center" vertical="center"/>
    </xf>
    <xf numFmtId="0" fontId="36" fillId="31" borderId="19" xfId="0" applyFont="1" applyFill="1" applyBorder="1" applyAlignment="1">
      <alignment horizontal="center" vertical="center"/>
    </xf>
    <xf numFmtId="44" fontId="36" fillId="35" borderId="19" xfId="1" applyFont="1" applyFill="1" applyBorder="1" applyAlignment="1">
      <alignment horizontal="center" vertical="center"/>
    </xf>
    <xf numFmtId="44" fontId="36" fillId="28" borderId="19" xfId="1" applyFont="1" applyFill="1" applyBorder="1" applyAlignment="1">
      <alignment horizontal="center" vertical="center"/>
    </xf>
    <xf numFmtId="0" fontId="57" fillId="0" borderId="0" xfId="0" applyFont="1" applyAlignment="1">
      <alignment horizontal="right" vertical="center"/>
    </xf>
    <xf numFmtId="0" fontId="57" fillId="0" borderId="0" xfId="0" applyFont="1" applyAlignment="1">
      <alignment vertical="center"/>
    </xf>
    <xf numFmtId="0" fontId="58" fillId="29" borderId="0" xfId="0" applyFont="1" applyFill="1" applyAlignment="1">
      <alignment horizontal="right" vertical="center"/>
    </xf>
    <xf numFmtId="0" fontId="58" fillId="29" borderId="0" xfId="0" applyFont="1" applyFill="1" applyAlignment="1">
      <alignment horizontal="left" vertical="center"/>
    </xf>
    <xf numFmtId="0" fontId="21" fillId="43" borderId="27" xfId="0" applyFont="1" applyFill="1" applyBorder="1" applyAlignment="1">
      <alignment horizontal="center" vertical="center" wrapText="1"/>
    </xf>
    <xf numFmtId="0" fontId="41" fillId="43" borderId="27" xfId="0" applyFont="1" applyFill="1" applyBorder="1" applyAlignment="1">
      <alignment horizontal="center" vertical="center" wrapText="1"/>
    </xf>
    <xf numFmtId="44" fontId="39" fillId="28" borderId="19" xfId="0" applyNumberFormat="1" applyFont="1" applyFill="1" applyBorder="1" applyAlignment="1">
      <alignment horizontal="left" vertical="center" wrapText="1"/>
    </xf>
    <xf numFmtId="44" fontId="36" fillId="31" borderId="19" xfId="0" applyNumberFormat="1" applyFont="1" applyFill="1" applyBorder="1" applyAlignment="1">
      <alignment vertical="center"/>
    </xf>
    <xf numFmtId="44" fontId="39" fillId="0" borderId="19" xfId="1" applyFont="1" applyBorder="1" applyAlignment="1">
      <alignment vertical="center"/>
    </xf>
    <xf numFmtId="0" fontId="51" fillId="32" borderId="19" xfId="0" applyFont="1" applyFill="1" applyBorder="1" applyAlignment="1">
      <alignment horizontal="center" vertical="center"/>
    </xf>
    <xf numFmtId="0" fontId="51" fillId="27" borderId="19" xfId="0" applyFont="1" applyFill="1" applyBorder="1" applyAlignment="1">
      <alignment horizontal="center" vertical="center"/>
    </xf>
    <xf numFmtId="0" fontId="51" fillId="31" borderId="19" xfId="0" applyFont="1" applyFill="1" applyBorder="1" applyAlignment="1">
      <alignment horizontal="center" vertical="center" wrapText="1"/>
    </xf>
    <xf numFmtId="0" fontId="51" fillId="35" borderId="19" xfId="0" applyFont="1" applyFill="1" applyBorder="1" applyAlignment="1">
      <alignment horizontal="center" vertical="center"/>
    </xf>
    <xf numFmtId="0" fontId="51" fillId="36" borderId="19" xfId="0" applyFont="1" applyFill="1" applyBorder="1" applyAlignment="1">
      <alignment horizontal="center" vertical="center"/>
    </xf>
    <xf numFmtId="0" fontId="51" fillId="37" borderId="19" xfId="0" applyFont="1" applyFill="1" applyBorder="1" applyAlignment="1">
      <alignment horizontal="center" vertical="center"/>
    </xf>
    <xf numFmtId="0" fontId="10" fillId="22" borderId="19" xfId="0" applyFont="1" applyFill="1" applyBorder="1" applyAlignment="1">
      <alignment horizontal="center" vertical="center"/>
    </xf>
    <xf numFmtId="44" fontId="39" fillId="0" borderId="19" xfId="0" applyNumberFormat="1" applyFont="1" applyBorder="1" applyAlignment="1">
      <alignment horizontal="left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vertical="center" wrapText="1"/>
    </xf>
    <xf numFmtId="0" fontId="27" fillId="0" borderId="19" xfId="2" applyFont="1" applyBorder="1" applyAlignment="1">
      <alignment horizontal="center" vertical="center"/>
    </xf>
    <xf numFmtId="44" fontId="27" fillId="0" borderId="19" xfId="1" applyFont="1" applyFill="1" applyBorder="1" applyAlignment="1">
      <alignment horizontal="center" vertical="center"/>
    </xf>
    <xf numFmtId="0" fontId="10" fillId="22" borderId="19" xfId="0" applyFont="1" applyFill="1" applyBorder="1" applyAlignment="1">
      <alignment horizontal="center" vertical="center" wrapText="1"/>
    </xf>
    <xf numFmtId="17" fontId="9" fillId="22" borderId="19" xfId="0" applyNumberFormat="1" applyFont="1" applyFill="1" applyBorder="1" applyAlignment="1">
      <alignment horizontal="center" vertical="center" wrapText="1"/>
    </xf>
    <xf numFmtId="44" fontId="42" fillId="0" borderId="19" xfId="0" applyNumberFormat="1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 wrapText="1"/>
    </xf>
    <xf numFmtId="44" fontId="9" fillId="0" borderId="19" xfId="1" applyFont="1" applyBorder="1" applyAlignment="1">
      <alignment horizontal="center" vertical="center" wrapText="1"/>
    </xf>
    <xf numFmtId="0" fontId="10" fillId="28" borderId="19" xfId="0" applyFont="1" applyFill="1" applyBorder="1" applyAlignment="1">
      <alignment horizontal="center" vertical="center" wrapText="1"/>
    </xf>
    <xf numFmtId="44" fontId="9" fillId="0" borderId="19" xfId="1" applyFont="1" applyFill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27" fillId="0" borderId="19" xfId="2" applyFont="1" applyBorder="1" applyAlignment="1">
      <alignment horizontal="left" vertical="center"/>
    </xf>
    <xf numFmtId="44" fontId="10" fillId="24" borderId="31" xfId="0" applyNumberFormat="1" applyFont="1" applyFill="1" applyBorder="1" applyAlignment="1">
      <alignment vertical="center"/>
    </xf>
    <xf numFmtId="44" fontId="10" fillId="24" borderId="32" xfId="0" applyNumberFormat="1" applyFont="1" applyFill="1" applyBorder="1" applyAlignment="1">
      <alignment vertical="center"/>
    </xf>
    <xf numFmtId="44" fontId="10" fillId="24" borderId="33" xfId="0" applyNumberFormat="1" applyFont="1" applyFill="1" applyBorder="1" applyAlignment="1">
      <alignment vertical="center"/>
    </xf>
    <xf numFmtId="44" fontId="39" fillId="47" borderId="19" xfId="1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/>
    </xf>
    <xf numFmtId="169" fontId="9" fillId="0" borderId="19" xfId="1" applyNumberFormat="1" applyFont="1" applyFill="1" applyBorder="1" applyAlignment="1">
      <alignment horizontal="center" vertical="center"/>
    </xf>
    <xf numFmtId="9" fontId="9" fillId="0" borderId="19" xfId="202" applyFont="1" applyFill="1" applyBorder="1" applyAlignment="1">
      <alignment horizontal="center" vertical="center"/>
    </xf>
    <xf numFmtId="44" fontId="9" fillId="0" borderId="19" xfId="0" applyNumberFormat="1" applyFont="1" applyBorder="1" applyAlignment="1">
      <alignment horizontal="center" vertical="center"/>
    </xf>
    <xf numFmtId="44" fontId="9" fillId="0" borderId="19" xfId="1" applyFont="1" applyFill="1" applyBorder="1" applyAlignment="1">
      <alignment horizontal="center" vertical="center"/>
    </xf>
    <xf numFmtId="44" fontId="9" fillId="0" borderId="19" xfId="1" applyFont="1" applyBorder="1" applyAlignment="1">
      <alignment vertical="center"/>
    </xf>
    <xf numFmtId="44" fontId="9" fillId="0" borderId="19" xfId="0" applyNumberFormat="1" applyFont="1" applyBorder="1" applyAlignment="1">
      <alignment vertical="center"/>
    </xf>
    <xf numFmtId="44" fontId="9" fillId="31" borderId="19" xfId="0" applyNumberFormat="1" applyFont="1" applyFill="1" applyBorder="1" applyAlignment="1">
      <alignment vertical="center"/>
    </xf>
    <xf numFmtId="44" fontId="9" fillId="44" borderId="19" xfId="0" applyNumberFormat="1" applyFont="1" applyFill="1" applyBorder="1" applyAlignment="1">
      <alignment vertical="center"/>
    </xf>
    <xf numFmtId="0" fontId="10" fillId="44" borderId="19" xfId="0" applyFont="1" applyFill="1" applyBorder="1" applyAlignment="1">
      <alignment horizontal="left" vertical="center"/>
    </xf>
    <xf numFmtId="9" fontId="10" fillId="44" borderId="19" xfId="202" applyFont="1" applyFill="1" applyBorder="1" applyAlignment="1">
      <alignment horizontal="center" vertical="center"/>
    </xf>
    <xf numFmtId="0" fontId="9" fillId="31" borderId="19" xfId="0" applyFont="1" applyFill="1" applyBorder="1" applyAlignment="1">
      <alignment horizontal="center" vertical="center"/>
    </xf>
    <xf numFmtId="0" fontId="9" fillId="44" borderId="19" xfId="0" applyFont="1" applyFill="1" applyBorder="1" applyAlignment="1">
      <alignment horizontal="center" vertical="center"/>
    </xf>
    <xf numFmtId="44" fontId="9" fillId="47" borderId="19" xfId="0" applyNumberFormat="1" applyFont="1" applyFill="1" applyBorder="1" applyAlignment="1">
      <alignment vertical="center"/>
    </xf>
    <xf numFmtId="44" fontId="39" fillId="0" borderId="19" xfId="1" applyFont="1" applyFill="1" applyBorder="1" applyAlignment="1">
      <alignment horizontal="center" vertical="center" wrapText="1"/>
    </xf>
    <xf numFmtId="44" fontId="9" fillId="0" borderId="0" xfId="1" applyFont="1" applyFill="1" applyAlignment="1">
      <alignment vertical="center"/>
    </xf>
    <xf numFmtId="0" fontId="51" fillId="37" borderId="27" xfId="0" applyFont="1" applyFill="1" applyBorder="1" applyAlignment="1">
      <alignment horizontal="center" vertical="center"/>
    </xf>
    <xf numFmtId="44" fontId="36" fillId="32" borderId="27" xfId="0" applyNumberFormat="1" applyFont="1" applyFill="1" applyBorder="1" applyAlignment="1">
      <alignment horizontal="center" vertical="center"/>
    </xf>
    <xf numFmtId="0" fontId="0" fillId="0" borderId="34" xfId="0" applyBorder="1"/>
    <xf numFmtId="0" fontId="42" fillId="0" borderId="0" xfId="0" applyFont="1" applyAlignment="1">
      <alignment horizontal="right" vertical="center" wrapText="1"/>
    </xf>
    <xf numFmtId="0" fontId="10" fillId="28" borderId="27" xfId="0" applyFont="1" applyFill="1" applyBorder="1" applyAlignment="1">
      <alignment horizontal="center" vertical="center" wrapText="1"/>
    </xf>
    <xf numFmtId="44" fontId="42" fillId="0" borderId="0" xfId="0" applyNumberFormat="1" applyFont="1" applyAlignment="1">
      <alignment vertical="center" wrapText="1"/>
    </xf>
    <xf numFmtId="0" fontId="10" fillId="28" borderId="26" xfId="0" applyFont="1" applyFill="1" applyBorder="1" applyAlignment="1">
      <alignment horizontal="center" vertical="center"/>
    </xf>
    <xf numFmtId="0" fontId="9" fillId="0" borderId="19" xfId="1" applyNumberFormat="1" applyFont="1" applyBorder="1" applyAlignment="1">
      <alignment horizontal="center" vertical="center"/>
    </xf>
    <xf numFmtId="44" fontId="9" fillId="47" borderId="19" xfId="1" applyFont="1" applyFill="1" applyBorder="1" applyAlignment="1">
      <alignment vertical="center"/>
    </xf>
    <xf numFmtId="44" fontId="36" fillId="0" borderId="19" xfId="0" applyNumberFormat="1" applyFont="1" applyBorder="1" applyAlignment="1">
      <alignment vertical="center"/>
    </xf>
    <xf numFmtId="44" fontId="52" fillId="0" borderId="0" xfId="0" applyNumberFormat="1" applyFont="1" applyAlignment="1">
      <alignment vertical="center"/>
    </xf>
    <xf numFmtId="44" fontId="51" fillId="0" borderId="0" xfId="0" applyNumberFormat="1" applyFont="1" applyAlignment="1">
      <alignment vertical="center"/>
    </xf>
    <xf numFmtId="9" fontId="54" fillId="46" borderId="2" xfId="202" applyFont="1" applyFill="1" applyBorder="1" applyAlignment="1">
      <alignment horizontal="center" vertical="center"/>
    </xf>
    <xf numFmtId="10" fontId="54" fillId="34" borderId="2" xfId="202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/>
    </xf>
    <xf numFmtId="0" fontId="60" fillId="0" borderId="0" xfId="0" applyFont="1"/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horizontal="center"/>
    </xf>
    <xf numFmtId="44" fontId="60" fillId="0" borderId="0" xfId="0" applyNumberFormat="1" applyFont="1" applyAlignment="1">
      <alignment vertical="center"/>
    </xf>
    <xf numFmtId="43" fontId="60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43" fontId="60" fillId="46" borderId="0" xfId="0" applyNumberFormat="1" applyFont="1" applyFill="1" applyAlignment="1">
      <alignment vertical="center"/>
    </xf>
    <xf numFmtId="44" fontId="60" fillId="46" borderId="0" xfId="0" applyNumberFormat="1" applyFont="1" applyFill="1" applyAlignment="1">
      <alignment vertical="center"/>
    </xf>
    <xf numFmtId="44" fontId="61" fillId="48" borderId="19" xfId="0" applyNumberFormat="1" applyFont="1" applyFill="1" applyBorder="1" applyAlignment="1">
      <alignment horizontal="left" vertical="center" wrapText="1"/>
    </xf>
    <xf numFmtId="0" fontId="10" fillId="28" borderId="29" xfId="0" applyFont="1" applyFill="1" applyBorder="1" applyAlignment="1">
      <alignment vertical="center"/>
    </xf>
    <xf numFmtId="0" fontId="51" fillId="32" borderId="44" xfId="0" applyFont="1" applyFill="1" applyBorder="1" applyAlignment="1">
      <alignment horizontal="center" vertical="center"/>
    </xf>
    <xf numFmtId="44" fontId="36" fillId="32" borderId="45" xfId="0" applyNumberFormat="1" applyFont="1" applyFill="1" applyBorder="1" applyAlignment="1">
      <alignment horizontal="center" vertical="center"/>
    </xf>
    <xf numFmtId="0" fontId="51" fillId="27" borderId="44" xfId="0" applyFont="1" applyFill="1" applyBorder="1" applyAlignment="1">
      <alignment horizontal="center" vertical="center"/>
    </xf>
    <xf numFmtId="173" fontId="36" fillId="27" borderId="45" xfId="0" applyNumberFormat="1" applyFont="1" applyFill="1" applyBorder="1" applyAlignment="1">
      <alignment horizontal="center" vertical="center"/>
    </xf>
    <xf numFmtId="0" fontId="51" fillId="31" borderId="44" xfId="0" applyFont="1" applyFill="1" applyBorder="1" applyAlignment="1">
      <alignment horizontal="center" vertical="center" wrapText="1"/>
    </xf>
    <xf numFmtId="0" fontId="36" fillId="31" borderId="45" xfId="0" applyFont="1" applyFill="1" applyBorder="1" applyAlignment="1">
      <alignment horizontal="center" vertical="center"/>
    </xf>
    <xf numFmtId="0" fontId="51" fillId="35" borderId="44" xfId="0" applyFont="1" applyFill="1" applyBorder="1" applyAlignment="1">
      <alignment horizontal="center" vertical="center"/>
    </xf>
    <xf numFmtId="44" fontId="36" fillId="35" borderId="45" xfId="1" applyFont="1" applyFill="1" applyBorder="1" applyAlignment="1">
      <alignment horizontal="center" vertical="center"/>
    </xf>
    <xf numFmtId="0" fontId="51" fillId="36" borderId="44" xfId="0" applyFont="1" applyFill="1" applyBorder="1" applyAlignment="1">
      <alignment horizontal="center" vertical="center"/>
    </xf>
    <xf numFmtId="44" fontId="36" fillId="28" borderId="45" xfId="1" applyFont="1" applyFill="1" applyBorder="1" applyAlignment="1">
      <alignment horizontal="center" vertical="center"/>
    </xf>
    <xf numFmtId="0" fontId="51" fillId="37" borderId="44" xfId="0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3" fillId="0" borderId="2" xfId="0" applyFont="1" applyBorder="1" applyAlignment="1">
      <alignment vertical="center"/>
    </xf>
    <xf numFmtId="43" fontId="63" fillId="0" borderId="2" xfId="201" applyFont="1" applyBorder="1" applyAlignment="1">
      <alignment vertical="center"/>
    </xf>
    <xf numFmtId="13" fontId="9" fillId="0" borderId="19" xfId="1" applyNumberFormat="1" applyFont="1" applyBorder="1" applyAlignment="1">
      <alignment vertical="center"/>
    </xf>
    <xf numFmtId="0" fontId="9" fillId="0" borderId="13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/>
    </xf>
    <xf numFmtId="0" fontId="9" fillId="22" borderId="19" xfId="0" applyFont="1" applyFill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64" fillId="0" borderId="19" xfId="0" applyFont="1" applyBorder="1" applyAlignment="1">
      <alignment vertical="center"/>
    </xf>
    <xf numFmtId="44" fontId="9" fillId="22" borderId="19" xfId="1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10" fillId="28" borderId="19" xfId="0" applyFont="1" applyFill="1" applyBorder="1" applyAlignment="1">
      <alignment horizontal="center" vertical="center"/>
    </xf>
    <xf numFmtId="0" fontId="36" fillId="28" borderId="19" xfId="0" applyFont="1" applyFill="1" applyBorder="1" applyAlignment="1">
      <alignment horizontal="center" vertical="center"/>
    </xf>
    <xf numFmtId="0" fontId="39" fillId="0" borderId="0" xfId="166" applyFont="1" applyAlignment="1">
      <alignment horizontal="left" vertical="center"/>
    </xf>
    <xf numFmtId="0" fontId="39" fillId="27" borderId="0" xfId="0" applyFont="1" applyFill="1" applyAlignment="1">
      <alignment horizontal="center" vertical="center" wrapText="1"/>
    </xf>
    <xf numFmtId="0" fontId="39" fillId="0" borderId="0" xfId="166" applyFont="1" applyAlignment="1">
      <alignment horizontal="center" vertical="center"/>
    </xf>
    <xf numFmtId="0" fontId="10" fillId="28" borderId="42" xfId="0" applyFont="1" applyFill="1" applyBorder="1" applyAlignment="1">
      <alignment horizontal="center" vertical="center"/>
    </xf>
    <xf numFmtId="0" fontId="36" fillId="28" borderId="43" xfId="0" applyFont="1" applyFill="1" applyBorder="1" applyAlignment="1">
      <alignment horizontal="center" vertical="center"/>
    </xf>
    <xf numFmtId="0" fontId="59" fillId="46" borderId="46" xfId="397" applyFont="1" applyFill="1" applyBorder="1" applyAlignment="1">
      <alignment horizontal="left" vertical="center" wrapText="1"/>
    </xf>
    <xf numFmtId="0" fontId="59" fillId="46" borderId="47" xfId="397" applyFont="1" applyFill="1" applyBorder="1" applyAlignment="1">
      <alignment horizontal="left" vertical="center" wrapText="1"/>
    </xf>
    <xf numFmtId="0" fontId="59" fillId="46" borderId="48" xfId="397" applyFont="1" applyFill="1" applyBorder="1" applyAlignment="1">
      <alignment horizontal="left" vertical="center" wrapText="1"/>
    </xf>
    <xf numFmtId="0" fontId="59" fillId="46" borderId="49" xfId="397" applyFont="1" applyFill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3" fillId="25" borderId="0" xfId="0" applyFont="1" applyFill="1" applyAlignment="1">
      <alignment horizontal="center" vertical="center" wrapText="1"/>
    </xf>
    <xf numFmtId="0" fontId="15" fillId="0" borderId="13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35" fillId="23" borderId="0" xfId="0" applyFont="1" applyFill="1" applyAlignment="1">
      <alignment horizontal="center" vertical="center" wrapText="1"/>
    </xf>
    <xf numFmtId="44" fontId="62" fillId="48" borderId="40" xfId="0" applyNumberFormat="1" applyFont="1" applyFill="1" applyBorder="1" applyAlignment="1">
      <alignment horizontal="center" vertical="center" wrapText="1"/>
    </xf>
    <xf numFmtId="44" fontId="62" fillId="48" borderId="41" xfId="0" applyNumberFormat="1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0" fontId="36" fillId="28" borderId="19" xfId="0" applyFont="1" applyFill="1" applyBorder="1" applyAlignment="1">
      <alignment horizontal="center" vertical="center" wrapText="1"/>
    </xf>
    <xf numFmtId="0" fontId="17" fillId="33" borderId="26" xfId="0" applyFont="1" applyFill="1" applyBorder="1" applyAlignment="1">
      <alignment horizontal="right" vertical="center" wrapText="1"/>
    </xf>
    <xf numFmtId="0" fontId="42" fillId="33" borderId="29" xfId="0" applyFont="1" applyFill="1" applyBorder="1" applyAlignment="1">
      <alignment horizontal="right" vertical="center" wrapText="1"/>
    </xf>
    <xf numFmtId="0" fontId="17" fillId="0" borderId="26" xfId="0" applyFont="1" applyBorder="1" applyAlignment="1">
      <alignment horizontal="right" vertical="center" wrapText="1"/>
    </xf>
    <xf numFmtId="0" fontId="42" fillId="0" borderId="29" xfId="0" applyFont="1" applyBorder="1" applyAlignment="1">
      <alignment horizontal="right" vertical="center" wrapText="1"/>
    </xf>
    <xf numFmtId="0" fontId="59" fillId="46" borderId="22" xfId="397" applyFont="1" applyFill="1" applyBorder="1" applyAlignment="1">
      <alignment horizontal="left" vertical="center" wrapText="1"/>
    </xf>
    <xf numFmtId="0" fontId="59" fillId="46" borderId="23" xfId="397" applyFont="1" applyFill="1" applyBorder="1" applyAlignment="1">
      <alignment horizontal="left" vertical="center" wrapText="1"/>
    </xf>
    <xf numFmtId="0" fontId="59" fillId="46" borderId="24" xfId="397" applyFont="1" applyFill="1" applyBorder="1" applyAlignment="1">
      <alignment horizontal="left" vertical="center" wrapText="1"/>
    </xf>
    <xf numFmtId="0" fontId="59" fillId="46" borderId="25" xfId="397" applyFont="1" applyFill="1" applyBorder="1" applyAlignment="1">
      <alignment horizontal="left" vertical="center" wrapText="1"/>
    </xf>
    <xf numFmtId="0" fontId="17" fillId="28" borderId="19" xfId="2" applyFont="1" applyFill="1" applyBorder="1" applyAlignment="1">
      <alignment horizontal="center" vertical="center" wrapText="1"/>
    </xf>
    <xf numFmtId="0" fontId="25" fillId="28" borderId="19" xfId="0" applyFont="1" applyFill="1" applyBorder="1" applyAlignment="1">
      <alignment horizontal="center" vertical="center" wrapText="1" readingOrder="1"/>
    </xf>
    <xf numFmtId="0" fontId="36" fillId="28" borderId="27" xfId="0" applyFont="1" applyFill="1" applyBorder="1" applyAlignment="1">
      <alignment horizontal="center" vertical="center" wrapText="1"/>
    </xf>
    <xf numFmtId="0" fontId="36" fillId="28" borderId="30" xfId="0" applyFont="1" applyFill="1" applyBorder="1" applyAlignment="1">
      <alignment horizontal="center" vertical="center" wrapText="1"/>
    </xf>
    <xf numFmtId="0" fontId="36" fillId="28" borderId="28" xfId="0" applyFont="1" applyFill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60" fillId="0" borderId="2" xfId="0" applyFont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10" fillId="38" borderId="19" xfId="0" applyFont="1" applyFill="1" applyBorder="1" applyAlignment="1">
      <alignment horizontal="center" vertical="center"/>
    </xf>
    <xf numFmtId="0" fontId="10" fillId="31" borderId="19" xfId="0" applyFont="1" applyFill="1" applyBorder="1" applyAlignment="1">
      <alignment horizontal="center" vertical="center"/>
    </xf>
    <xf numFmtId="0" fontId="10" fillId="31" borderId="19" xfId="0" applyFont="1" applyFill="1" applyBorder="1" applyAlignment="1">
      <alignment horizontal="center" vertical="center" wrapText="1"/>
    </xf>
    <xf numFmtId="0" fontId="10" fillId="44" borderId="19" xfId="0" applyFont="1" applyFill="1" applyBorder="1" applyAlignment="1">
      <alignment horizontal="center" vertical="center" wrapText="1"/>
    </xf>
    <xf numFmtId="0" fontId="10" fillId="28" borderId="19" xfId="0" applyFont="1" applyFill="1" applyBorder="1" applyAlignment="1">
      <alignment horizontal="center" vertical="center" wrapText="1"/>
    </xf>
    <xf numFmtId="0" fontId="59" fillId="46" borderId="35" xfId="397" applyFont="1" applyFill="1" applyBorder="1" applyAlignment="1">
      <alignment horizontal="left" vertical="center" wrapText="1"/>
    </xf>
    <xf numFmtId="0" fontId="59" fillId="46" borderId="36" xfId="397" applyFont="1" applyFill="1" applyBorder="1" applyAlignment="1">
      <alignment horizontal="left" vertical="center" wrapText="1"/>
    </xf>
    <xf numFmtId="0" fontId="59" fillId="46" borderId="37" xfId="397" applyFont="1" applyFill="1" applyBorder="1" applyAlignment="1">
      <alignment horizontal="left" vertical="center" wrapText="1"/>
    </xf>
    <xf numFmtId="0" fontId="59" fillId="46" borderId="38" xfId="397" applyFont="1" applyFill="1" applyBorder="1" applyAlignment="1">
      <alignment horizontal="left" vertical="center" wrapText="1"/>
    </xf>
    <xf numFmtId="0" fontId="10" fillId="28" borderId="26" xfId="0" applyFont="1" applyFill="1" applyBorder="1" applyAlignment="1">
      <alignment horizontal="center" vertical="center"/>
    </xf>
    <xf numFmtId="0" fontId="10" fillId="28" borderId="29" xfId="0" applyFont="1" applyFill="1" applyBorder="1" applyAlignment="1">
      <alignment horizontal="center" vertical="center"/>
    </xf>
    <xf numFmtId="0" fontId="10" fillId="28" borderId="27" xfId="0" applyFont="1" applyFill="1" applyBorder="1" applyAlignment="1">
      <alignment horizontal="center" vertical="center" wrapText="1"/>
    </xf>
    <xf numFmtId="0" fontId="17" fillId="28" borderId="27" xfId="2" applyFont="1" applyFill="1" applyBorder="1" applyAlignment="1">
      <alignment horizontal="center" vertical="center" wrapText="1"/>
    </xf>
    <xf numFmtId="0" fontId="17" fillId="28" borderId="28" xfId="2" applyFont="1" applyFill="1" applyBorder="1" applyAlignment="1">
      <alignment horizontal="center" vertical="center" wrapText="1"/>
    </xf>
    <xf numFmtId="0" fontId="15" fillId="41" borderId="2" xfId="0" applyFont="1" applyFill="1" applyBorder="1" applyAlignment="1">
      <alignment horizontal="center"/>
    </xf>
    <xf numFmtId="0" fontId="17" fillId="33" borderId="39" xfId="0" applyFont="1" applyFill="1" applyBorder="1" applyAlignment="1">
      <alignment horizontal="right" vertical="center" wrapText="1"/>
    </xf>
    <xf numFmtId="0" fontId="17" fillId="0" borderId="39" xfId="0" applyFont="1" applyBorder="1" applyAlignment="1">
      <alignment horizontal="right" vertical="center" wrapText="1"/>
    </xf>
    <xf numFmtId="44" fontId="10" fillId="40" borderId="2" xfId="0" applyNumberFormat="1" applyFont="1" applyFill="1" applyBorder="1" applyAlignment="1">
      <alignment horizontal="center" vertical="center"/>
    </xf>
    <xf numFmtId="0" fontId="10" fillId="40" borderId="2" xfId="0" applyFont="1" applyFill="1" applyBorder="1" applyAlignment="1">
      <alignment horizontal="center" vertical="center"/>
    </xf>
  </cellXfs>
  <cellStyles count="398">
    <cellStyle name="20% - Énfasis1 2" xfId="49" xr:uid="{00000000-0005-0000-0000-000000000000}"/>
    <cellStyle name="20% - Énfasis1 2 2" xfId="50" xr:uid="{00000000-0005-0000-0000-000001000000}"/>
    <cellStyle name="20% - Énfasis1 2 2 2" xfId="79" xr:uid="{00000000-0005-0000-0000-000002000000}"/>
    <cellStyle name="20% - Énfasis1 2 2 3" xfId="106" xr:uid="{00000000-0005-0000-0000-000003000000}"/>
    <cellStyle name="20% - Énfasis1 2 2 4" xfId="107" xr:uid="{00000000-0005-0000-0000-000004000000}"/>
    <cellStyle name="20% - Énfasis1 2 3" xfId="78" xr:uid="{00000000-0005-0000-0000-000005000000}"/>
    <cellStyle name="20% - Énfasis1 2 4" xfId="108" xr:uid="{00000000-0005-0000-0000-000006000000}"/>
    <cellStyle name="20% - Énfasis1 2 5" xfId="109" xr:uid="{00000000-0005-0000-0000-000007000000}"/>
    <cellStyle name="20% - Énfasis2 2" xfId="51" xr:uid="{00000000-0005-0000-0000-000008000000}"/>
    <cellStyle name="20% - Énfasis2 2 2" xfId="52" xr:uid="{00000000-0005-0000-0000-000009000000}"/>
    <cellStyle name="20% - Énfasis2 2 2 2" xfId="81" xr:uid="{00000000-0005-0000-0000-00000A000000}"/>
    <cellStyle name="20% - Énfasis2 2 2 3" xfId="110" xr:uid="{00000000-0005-0000-0000-00000B000000}"/>
    <cellStyle name="20% - Énfasis2 2 2 4" xfId="111" xr:uid="{00000000-0005-0000-0000-00000C000000}"/>
    <cellStyle name="20% - Énfasis2 2 3" xfId="80" xr:uid="{00000000-0005-0000-0000-00000D000000}"/>
    <cellStyle name="20% - Énfasis2 2 4" xfId="112" xr:uid="{00000000-0005-0000-0000-00000E000000}"/>
    <cellStyle name="20% - Énfasis2 2 5" xfId="113" xr:uid="{00000000-0005-0000-0000-00000F000000}"/>
    <cellStyle name="20% - Énfasis3 2" xfId="53" xr:uid="{00000000-0005-0000-0000-000010000000}"/>
    <cellStyle name="20% - Énfasis3 2 2" xfId="54" xr:uid="{00000000-0005-0000-0000-000011000000}"/>
    <cellStyle name="20% - Énfasis3 2 2 2" xfId="83" xr:uid="{00000000-0005-0000-0000-000012000000}"/>
    <cellStyle name="20% - Énfasis3 2 2 3" xfId="114" xr:uid="{00000000-0005-0000-0000-000013000000}"/>
    <cellStyle name="20% - Énfasis3 2 2 4" xfId="115" xr:uid="{00000000-0005-0000-0000-000014000000}"/>
    <cellStyle name="20% - Énfasis3 2 3" xfId="82" xr:uid="{00000000-0005-0000-0000-000015000000}"/>
    <cellStyle name="20% - Énfasis3 2 4" xfId="116" xr:uid="{00000000-0005-0000-0000-000016000000}"/>
    <cellStyle name="20% - Énfasis3 2 5" xfId="117" xr:uid="{00000000-0005-0000-0000-000017000000}"/>
    <cellStyle name="20% - Énfasis4 2" xfId="55" xr:uid="{00000000-0005-0000-0000-000018000000}"/>
    <cellStyle name="20% - Énfasis4 2 2" xfId="56" xr:uid="{00000000-0005-0000-0000-000019000000}"/>
    <cellStyle name="20% - Énfasis4 2 2 2" xfId="85" xr:uid="{00000000-0005-0000-0000-00001A000000}"/>
    <cellStyle name="20% - Énfasis4 2 2 3" xfId="118" xr:uid="{00000000-0005-0000-0000-00001B000000}"/>
    <cellStyle name="20% - Énfasis4 2 2 4" xfId="119" xr:uid="{00000000-0005-0000-0000-00001C000000}"/>
    <cellStyle name="20% - Énfasis4 2 3" xfId="84" xr:uid="{00000000-0005-0000-0000-00001D000000}"/>
    <cellStyle name="20% - Énfasis4 2 4" xfId="120" xr:uid="{00000000-0005-0000-0000-00001E000000}"/>
    <cellStyle name="20% - Énfasis4 2 5" xfId="121" xr:uid="{00000000-0005-0000-0000-00001F000000}"/>
    <cellStyle name="20% - Énfasis5 2" xfId="57" xr:uid="{00000000-0005-0000-0000-000020000000}"/>
    <cellStyle name="20% - Énfasis5 2 2" xfId="58" xr:uid="{00000000-0005-0000-0000-000021000000}"/>
    <cellStyle name="20% - Énfasis5 2 2 2" xfId="87" xr:uid="{00000000-0005-0000-0000-000022000000}"/>
    <cellStyle name="20% - Énfasis5 2 2 3" xfId="122" xr:uid="{00000000-0005-0000-0000-000023000000}"/>
    <cellStyle name="20% - Énfasis5 2 2 4" xfId="123" xr:uid="{00000000-0005-0000-0000-000024000000}"/>
    <cellStyle name="20% - Énfasis5 2 3" xfId="86" xr:uid="{00000000-0005-0000-0000-000025000000}"/>
    <cellStyle name="20% - Énfasis5 2 4" xfId="124" xr:uid="{00000000-0005-0000-0000-000026000000}"/>
    <cellStyle name="20% - Énfasis5 2 5" xfId="125" xr:uid="{00000000-0005-0000-0000-000027000000}"/>
    <cellStyle name="20% - Énfasis6 2" xfId="59" xr:uid="{00000000-0005-0000-0000-000028000000}"/>
    <cellStyle name="20% - Énfasis6 2 2" xfId="60" xr:uid="{00000000-0005-0000-0000-000029000000}"/>
    <cellStyle name="20% - Énfasis6 2 2 2" xfId="89" xr:uid="{00000000-0005-0000-0000-00002A000000}"/>
    <cellStyle name="20% - Énfasis6 2 2 3" xfId="126" xr:uid="{00000000-0005-0000-0000-00002B000000}"/>
    <cellStyle name="20% - Énfasis6 2 2 4" xfId="127" xr:uid="{00000000-0005-0000-0000-00002C000000}"/>
    <cellStyle name="20% - Énfasis6 2 3" xfId="88" xr:uid="{00000000-0005-0000-0000-00002D000000}"/>
    <cellStyle name="20% - Énfasis6 2 4" xfId="128" xr:uid="{00000000-0005-0000-0000-00002E000000}"/>
    <cellStyle name="20% - Énfasis6 2 5" xfId="129" xr:uid="{00000000-0005-0000-0000-00002F000000}"/>
    <cellStyle name="40% - Énfasis1 2" xfId="61" xr:uid="{00000000-0005-0000-0000-000030000000}"/>
    <cellStyle name="40% - Énfasis1 2 2" xfId="62" xr:uid="{00000000-0005-0000-0000-000031000000}"/>
    <cellStyle name="40% - Énfasis1 2 2 2" xfId="91" xr:uid="{00000000-0005-0000-0000-000032000000}"/>
    <cellStyle name="40% - Énfasis1 2 2 3" xfId="130" xr:uid="{00000000-0005-0000-0000-000033000000}"/>
    <cellStyle name="40% - Énfasis1 2 2 4" xfId="131" xr:uid="{00000000-0005-0000-0000-000034000000}"/>
    <cellStyle name="40% - Énfasis1 2 3" xfId="90" xr:uid="{00000000-0005-0000-0000-000035000000}"/>
    <cellStyle name="40% - Énfasis1 2 4" xfId="132" xr:uid="{00000000-0005-0000-0000-000036000000}"/>
    <cellStyle name="40% - Énfasis1 2 5" xfId="133" xr:uid="{00000000-0005-0000-0000-000037000000}"/>
    <cellStyle name="40% - Énfasis2 2" xfId="63" xr:uid="{00000000-0005-0000-0000-000038000000}"/>
    <cellStyle name="40% - Énfasis2 2 2" xfId="64" xr:uid="{00000000-0005-0000-0000-000039000000}"/>
    <cellStyle name="40% - Énfasis2 2 2 2" xfId="93" xr:uid="{00000000-0005-0000-0000-00003A000000}"/>
    <cellStyle name="40% - Énfasis2 2 2 3" xfId="134" xr:uid="{00000000-0005-0000-0000-00003B000000}"/>
    <cellStyle name="40% - Énfasis2 2 2 4" xfId="135" xr:uid="{00000000-0005-0000-0000-00003C000000}"/>
    <cellStyle name="40% - Énfasis2 2 3" xfId="92" xr:uid="{00000000-0005-0000-0000-00003D000000}"/>
    <cellStyle name="40% - Énfasis2 2 4" xfId="136" xr:uid="{00000000-0005-0000-0000-00003E000000}"/>
    <cellStyle name="40% - Énfasis2 2 5" xfId="137" xr:uid="{00000000-0005-0000-0000-00003F000000}"/>
    <cellStyle name="40% - Énfasis3 2" xfId="65" xr:uid="{00000000-0005-0000-0000-000040000000}"/>
    <cellStyle name="40% - Énfasis3 2 2" xfId="66" xr:uid="{00000000-0005-0000-0000-000041000000}"/>
    <cellStyle name="40% - Énfasis3 2 2 2" xfId="95" xr:uid="{00000000-0005-0000-0000-000042000000}"/>
    <cellStyle name="40% - Énfasis3 2 2 3" xfId="138" xr:uid="{00000000-0005-0000-0000-000043000000}"/>
    <cellStyle name="40% - Énfasis3 2 2 4" xfId="139" xr:uid="{00000000-0005-0000-0000-000044000000}"/>
    <cellStyle name="40% - Énfasis3 2 3" xfId="94" xr:uid="{00000000-0005-0000-0000-000045000000}"/>
    <cellStyle name="40% - Énfasis3 2 4" xfId="140" xr:uid="{00000000-0005-0000-0000-000046000000}"/>
    <cellStyle name="40% - Énfasis3 2 5" xfId="141" xr:uid="{00000000-0005-0000-0000-000047000000}"/>
    <cellStyle name="40% - Énfasis4 2" xfId="67" xr:uid="{00000000-0005-0000-0000-000048000000}"/>
    <cellStyle name="40% - Énfasis4 2 2" xfId="68" xr:uid="{00000000-0005-0000-0000-000049000000}"/>
    <cellStyle name="40% - Énfasis4 2 2 2" xfId="97" xr:uid="{00000000-0005-0000-0000-00004A000000}"/>
    <cellStyle name="40% - Énfasis4 2 2 3" xfId="142" xr:uid="{00000000-0005-0000-0000-00004B000000}"/>
    <cellStyle name="40% - Énfasis4 2 2 4" xfId="143" xr:uid="{00000000-0005-0000-0000-00004C000000}"/>
    <cellStyle name="40% - Énfasis4 2 3" xfId="96" xr:uid="{00000000-0005-0000-0000-00004D000000}"/>
    <cellStyle name="40% - Énfasis4 2 4" xfId="144" xr:uid="{00000000-0005-0000-0000-00004E000000}"/>
    <cellStyle name="40% - Énfasis4 2 5" xfId="145" xr:uid="{00000000-0005-0000-0000-00004F000000}"/>
    <cellStyle name="40% - Énfasis5 2" xfId="69" xr:uid="{00000000-0005-0000-0000-000050000000}"/>
    <cellStyle name="40% - Énfasis5 2 2" xfId="70" xr:uid="{00000000-0005-0000-0000-000051000000}"/>
    <cellStyle name="40% - Énfasis5 2 2 2" xfId="99" xr:uid="{00000000-0005-0000-0000-000052000000}"/>
    <cellStyle name="40% - Énfasis5 2 2 3" xfId="146" xr:uid="{00000000-0005-0000-0000-000053000000}"/>
    <cellStyle name="40% - Énfasis5 2 2 4" xfId="147" xr:uid="{00000000-0005-0000-0000-000054000000}"/>
    <cellStyle name="40% - Énfasis5 2 3" xfId="98" xr:uid="{00000000-0005-0000-0000-000055000000}"/>
    <cellStyle name="40% - Énfasis5 2 4" xfId="148" xr:uid="{00000000-0005-0000-0000-000056000000}"/>
    <cellStyle name="40% - Énfasis5 2 5" xfId="149" xr:uid="{00000000-0005-0000-0000-000057000000}"/>
    <cellStyle name="40% - Énfasis6 2" xfId="71" xr:uid="{00000000-0005-0000-0000-000058000000}"/>
    <cellStyle name="40% - Énfasis6 2 2" xfId="72" xr:uid="{00000000-0005-0000-0000-000059000000}"/>
    <cellStyle name="40% - Énfasis6 2 2 2" xfId="101" xr:uid="{00000000-0005-0000-0000-00005A000000}"/>
    <cellStyle name="40% - Énfasis6 2 2 3" xfId="150" xr:uid="{00000000-0005-0000-0000-00005B000000}"/>
    <cellStyle name="40% - Énfasis6 2 2 4" xfId="151" xr:uid="{00000000-0005-0000-0000-00005C000000}"/>
    <cellStyle name="40% - Énfasis6 2 3" xfId="100" xr:uid="{00000000-0005-0000-0000-00005D000000}"/>
    <cellStyle name="40% - Énfasis6 2 4" xfId="152" xr:uid="{00000000-0005-0000-0000-00005E000000}"/>
    <cellStyle name="40% - Énfasis6 2 5" xfId="153" xr:uid="{00000000-0005-0000-0000-00005F000000}"/>
    <cellStyle name="Currency_BOMBAS CONFIANZA" xfId="3" xr:uid="{00000000-0005-0000-0000-000060000000}"/>
    <cellStyle name="Excel Built-in Normal" xfId="4" xr:uid="{00000000-0005-0000-0000-000061000000}"/>
    <cellStyle name="Excel Built-in Normal 2" xfId="5" xr:uid="{00000000-0005-0000-0000-000062000000}"/>
    <cellStyle name="Hipervínculo" xfId="102" builtinId="8" hidden="1"/>
    <cellStyle name="Hipervínculo" xfId="104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/>
    <cellStyle name="Hipervínculo visitado" xfId="103" builtinId="9" hidden="1"/>
    <cellStyle name="Hipervínculo visitado" xfId="105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Millares" xfId="201" builtinId="3"/>
    <cellStyle name="Millares 2" xfId="6" xr:uid="{00000000-0005-0000-0000-00002A010000}"/>
    <cellStyle name="Millares 2 2" xfId="7" xr:uid="{00000000-0005-0000-0000-00002B010000}"/>
    <cellStyle name="Millares 4" xfId="8" xr:uid="{00000000-0005-0000-0000-00002C010000}"/>
    <cellStyle name="Millares 5" xfId="9" xr:uid="{00000000-0005-0000-0000-00002D010000}"/>
    <cellStyle name="Moneda" xfId="1" builtinId="4"/>
    <cellStyle name="Moneda 2" xfId="10" xr:uid="{00000000-0005-0000-0000-00002F010000}"/>
    <cellStyle name="Moneda 2 2" xfId="154" xr:uid="{00000000-0005-0000-0000-000030010000}"/>
    <cellStyle name="Moneda 2 3" xfId="155" xr:uid="{00000000-0005-0000-0000-000031010000}"/>
    <cellStyle name="Moneda 3" xfId="11" xr:uid="{00000000-0005-0000-0000-000032010000}"/>
    <cellStyle name="Moneda 3 2" xfId="12" xr:uid="{00000000-0005-0000-0000-000033010000}"/>
    <cellStyle name="Moneda 3 3" xfId="156" xr:uid="{00000000-0005-0000-0000-000034010000}"/>
    <cellStyle name="Moneda 3 4" xfId="157" xr:uid="{00000000-0005-0000-0000-000035010000}"/>
    <cellStyle name="Moneda 4" xfId="13" xr:uid="{00000000-0005-0000-0000-000036010000}"/>
    <cellStyle name="Moneda 5" xfId="14" xr:uid="{00000000-0005-0000-0000-000037010000}"/>
    <cellStyle name="Moneda 5 2" xfId="158" xr:uid="{00000000-0005-0000-0000-000038010000}"/>
    <cellStyle name="Moneda 6" xfId="159" xr:uid="{00000000-0005-0000-0000-000039010000}"/>
    <cellStyle name="Moneda 6 2" xfId="160" xr:uid="{00000000-0005-0000-0000-00003A010000}"/>
    <cellStyle name="Moneda 6 3" xfId="161" xr:uid="{00000000-0005-0000-0000-00003B010000}"/>
    <cellStyle name="Moneda 6 3 2" xfId="162" xr:uid="{00000000-0005-0000-0000-00003C010000}"/>
    <cellStyle name="Moneda 6 3 3" xfId="163" xr:uid="{00000000-0005-0000-0000-00003D010000}"/>
    <cellStyle name="Moneda 6 3 4" xfId="164" xr:uid="{00000000-0005-0000-0000-00003E010000}"/>
    <cellStyle name="Moneda 6 3 5" xfId="165" xr:uid="{00000000-0005-0000-0000-00003F010000}"/>
    <cellStyle name="Normal" xfId="0" builtinId="0" customBuiltin="1"/>
    <cellStyle name="Normal 10" xfId="166" xr:uid="{00000000-0005-0000-0000-000041010000}"/>
    <cellStyle name="Normal 10 2" xfId="167" xr:uid="{00000000-0005-0000-0000-000042010000}"/>
    <cellStyle name="Normal 10 3" xfId="168" xr:uid="{00000000-0005-0000-0000-000043010000}"/>
    <cellStyle name="Normal 10 3 2" xfId="169" xr:uid="{00000000-0005-0000-0000-000044010000}"/>
    <cellStyle name="Normal 10 3 3" xfId="170" xr:uid="{00000000-0005-0000-0000-000045010000}"/>
    <cellStyle name="Normal 10 3 4" xfId="171" xr:uid="{00000000-0005-0000-0000-000046010000}"/>
    <cellStyle name="Normal 10 3 5" xfId="172" xr:uid="{00000000-0005-0000-0000-000047010000}"/>
    <cellStyle name="Normal 2" xfId="2" xr:uid="{00000000-0005-0000-0000-000048010000}"/>
    <cellStyle name="Normal 2 2" xfId="15" xr:uid="{00000000-0005-0000-0000-000049010000}"/>
    <cellStyle name="Normal 2 2 2" xfId="16" xr:uid="{00000000-0005-0000-0000-00004A010000}"/>
    <cellStyle name="Normal 2 2 3" xfId="173" xr:uid="{00000000-0005-0000-0000-00004B010000}"/>
    <cellStyle name="Normal 2 2 3 2" xfId="174" xr:uid="{00000000-0005-0000-0000-00004C010000}"/>
    <cellStyle name="Normal 2 2 3 3" xfId="175" xr:uid="{00000000-0005-0000-0000-00004D010000}"/>
    <cellStyle name="Normal 2 2 3 3 2" xfId="176" xr:uid="{00000000-0005-0000-0000-00004E010000}"/>
    <cellStyle name="Normal 2 2 3 3 3" xfId="177" xr:uid="{00000000-0005-0000-0000-00004F010000}"/>
    <cellStyle name="Normal 2 2 3 3 4" xfId="178" xr:uid="{00000000-0005-0000-0000-000050010000}"/>
    <cellStyle name="Normal 2 2 3 3 5" xfId="179" xr:uid="{00000000-0005-0000-0000-000051010000}"/>
    <cellStyle name="Normal 2 3" xfId="17" xr:uid="{00000000-0005-0000-0000-000052010000}"/>
    <cellStyle name="Normal 2 3 2" xfId="18" xr:uid="{00000000-0005-0000-0000-000053010000}"/>
    <cellStyle name="Normal 2 4" xfId="19" xr:uid="{00000000-0005-0000-0000-000054010000}"/>
    <cellStyle name="Normal 2 5" xfId="20" xr:uid="{00000000-0005-0000-0000-000055010000}"/>
    <cellStyle name="Normal 2 6" xfId="21" xr:uid="{00000000-0005-0000-0000-000056010000}"/>
    <cellStyle name="Normal 2 7" xfId="22" xr:uid="{00000000-0005-0000-0000-000057010000}"/>
    <cellStyle name="Normal 2 8" xfId="180" xr:uid="{00000000-0005-0000-0000-000058010000}"/>
    <cellStyle name="Normal 2 8 2" xfId="181" xr:uid="{00000000-0005-0000-0000-000059010000}"/>
    <cellStyle name="Normal 2 8 3" xfId="182" xr:uid="{00000000-0005-0000-0000-00005A010000}"/>
    <cellStyle name="Normal 2 8 3 2" xfId="183" xr:uid="{00000000-0005-0000-0000-00005B010000}"/>
    <cellStyle name="Normal 2 8 3 3" xfId="184" xr:uid="{00000000-0005-0000-0000-00005C010000}"/>
    <cellStyle name="Normal 2 8 3 4" xfId="185" xr:uid="{00000000-0005-0000-0000-00005D010000}"/>
    <cellStyle name="Normal 2 8 3 5" xfId="186" xr:uid="{00000000-0005-0000-0000-00005E010000}"/>
    <cellStyle name="Normal 2 9" xfId="187" xr:uid="{00000000-0005-0000-0000-00005F010000}"/>
    <cellStyle name="Normal 23" xfId="23" xr:uid="{00000000-0005-0000-0000-000060010000}"/>
    <cellStyle name="Normal 3" xfId="24" xr:uid="{00000000-0005-0000-0000-000061010000}"/>
    <cellStyle name="Normal 3 2" xfId="25" xr:uid="{00000000-0005-0000-0000-000062010000}"/>
    <cellStyle name="Normal 3 2 2" xfId="188" xr:uid="{00000000-0005-0000-0000-000063010000}"/>
    <cellStyle name="Normal 3 3" xfId="189" xr:uid="{00000000-0005-0000-0000-000064010000}"/>
    <cellStyle name="Normal 3 4" xfId="190" xr:uid="{00000000-0005-0000-0000-000065010000}"/>
    <cellStyle name="Normal 4" xfId="26" xr:uid="{00000000-0005-0000-0000-000066010000}"/>
    <cellStyle name="Normal 4 2" xfId="73" xr:uid="{00000000-0005-0000-0000-000067010000}"/>
    <cellStyle name="Normal 4 3" xfId="191" xr:uid="{00000000-0005-0000-0000-000068010000}"/>
    <cellStyle name="Normal 4 4" xfId="192" xr:uid="{00000000-0005-0000-0000-000069010000}"/>
    <cellStyle name="Normal 45" xfId="27" xr:uid="{00000000-0005-0000-0000-00006A010000}"/>
    <cellStyle name="Normal 46" xfId="28" xr:uid="{00000000-0005-0000-0000-00006B010000}"/>
    <cellStyle name="Normal 5" xfId="29" xr:uid="{00000000-0005-0000-0000-00006C010000}"/>
    <cellStyle name="Normal 5 2" xfId="30" xr:uid="{00000000-0005-0000-0000-00006D010000}"/>
    <cellStyle name="Normal 5 3" xfId="193" xr:uid="{00000000-0005-0000-0000-00006E010000}"/>
    <cellStyle name="Normal 5 4" xfId="194" xr:uid="{00000000-0005-0000-0000-00006F010000}"/>
    <cellStyle name="Normal 50" xfId="31" xr:uid="{00000000-0005-0000-0000-000070010000}"/>
    <cellStyle name="Normal 52" xfId="32" xr:uid="{00000000-0005-0000-0000-000071010000}"/>
    <cellStyle name="Normal 6" xfId="33" xr:uid="{00000000-0005-0000-0000-000072010000}"/>
    <cellStyle name="Normal 6 2" xfId="195" xr:uid="{00000000-0005-0000-0000-000073010000}"/>
    <cellStyle name="Normal 6 3" xfId="196" xr:uid="{00000000-0005-0000-0000-000074010000}"/>
    <cellStyle name="Normal 6 3 2" xfId="197" xr:uid="{00000000-0005-0000-0000-000075010000}"/>
    <cellStyle name="Normal 6 3 3" xfId="198" xr:uid="{00000000-0005-0000-0000-000076010000}"/>
    <cellStyle name="Normal 60" xfId="34" xr:uid="{00000000-0005-0000-0000-000077010000}"/>
    <cellStyle name="Normal 7" xfId="35" xr:uid="{00000000-0005-0000-0000-000078010000}"/>
    <cellStyle name="Normal 70" xfId="36" xr:uid="{00000000-0005-0000-0000-000079010000}"/>
    <cellStyle name="Normal 71" xfId="37" xr:uid="{00000000-0005-0000-0000-00007A010000}"/>
    <cellStyle name="Normal 73" xfId="38" xr:uid="{00000000-0005-0000-0000-00007B010000}"/>
    <cellStyle name="Normal 8" xfId="39" xr:uid="{00000000-0005-0000-0000-00007C010000}"/>
    <cellStyle name="Normal 81" xfId="40" xr:uid="{00000000-0005-0000-0000-00007D010000}"/>
    <cellStyle name="Normal 82" xfId="41" xr:uid="{00000000-0005-0000-0000-00007E010000}"/>
    <cellStyle name="Normal 86" xfId="42" xr:uid="{00000000-0005-0000-0000-00007F010000}"/>
    <cellStyle name="Normal 88" xfId="43" xr:uid="{00000000-0005-0000-0000-000080010000}"/>
    <cellStyle name="Normal 9" xfId="44" xr:uid="{00000000-0005-0000-0000-000081010000}"/>
    <cellStyle name="Normal 9 2" xfId="199" xr:uid="{00000000-0005-0000-0000-000082010000}"/>
    <cellStyle name="Normal 92" xfId="45" xr:uid="{00000000-0005-0000-0000-000083010000}"/>
    <cellStyle name="Normal 94" xfId="46" xr:uid="{00000000-0005-0000-0000-000084010000}"/>
    <cellStyle name="Notas 2" xfId="74" xr:uid="{00000000-0005-0000-0000-000085010000}"/>
    <cellStyle name="Notas 2 2" xfId="75" xr:uid="{00000000-0005-0000-0000-000086010000}"/>
    <cellStyle name="Notas 3" xfId="76" xr:uid="{00000000-0005-0000-0000-000087010000}"/>
    <cellStyle name="Notas 3 2" xfId="77" xr:uid="{00000000-0005-0000-0000-000088010000}"/>
    <cellStyle name="Porcentaje" xfId="202" builtinId="5"/>
    <cellStyle name="Porcentaje 2" xfId="47" xr:uid="{00000000-0005-0000-0000-00008A010000}"/>
    <cellStyle name="Porcentual 2" xfId="48" xr:uid="{00000000-0005-0000-0000-00008B010000}"/>
    <cellStyle name="Porcentual 3" xfId="200" xr:uid="{00000000-0005-0000-0000-00008C010000}"/>
  </cellStyles>
  <dxfs count="4"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auto="1"/>
      </font>
    </dxf>
  </dxfs>
  <tableStyles count="0" defaultTableStyle="TableStyleMedium2" defaultPivotStyle="PivotStyleLight16"/>
  <colors>
    <mruColors>
      <color rgb="FFA8FFB4"/>
      <color rgb="FFFFFDB7"/>
      <color rgb="FFF4FFAB"/>
      <color rgb="FF008F00"/>
      <color rgb="FF00FA00"/>
      <color rgb="FFFFFD78"/>
      <color rgb="FFFFB926"/>
      <color rgb="FFB5B204"/>
      <color rgb="FFFFFC00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89491376539227"/>
          <c:y val="0.11270582852691859"/>
          <c:w val="0.72315035648703307"/>
          <c:h val="0.72111264427335342"/>
        </c:manualLayout>
      </c:layout>
      <c:barChart>
        <c:barDir val="col"/>
        <c:grouping val="clustered"/>
        <c:varyColors val="0"/>
        <c:ser>
          <c:idx val="0"/>
          <c:order val="0"/>
          <c:tx>
            <c:v>Flujo de efectivo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FLUJO!$C$4:$N$4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AGO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DIC</c:v>
                </c:pt>
                <c:pt idx="7">
                  <c:v>ENE</c:v>
                </c:pt>
                <c:pt idx="8">
                  <c:v>FEB</c:v>
                </c:pt>
                <c:pt idx="9">
                  <c:v>MAR</c:v>
                </c:pt>
                <c:pt idx="10">
                  <c:v>ABR</c:v>
                </c:pt>
                <c:pt idx="11">
                  <c:v>MAY</c:v>
                </c:pt>
              </c:strCache>
            </c:strRef>
          </c:cat>
          <c:val>
            <c:numRef>
              <c:f>FLUJO!$C$24:$N$24</c:f>
              <c:numCache>
                <c:formatCode>_("€"* #,##0.00_);_("€"* \(#,##0.00\);_("€"* "-"??_);_(@_)</c:formatCode>
                <c:ptCount val="12"/>
                <c:pt idx="0">
                  <c:v>0</c:v>
                </c:pt>
                <c:pt idx="1">
                  <c:v>-94460.018059868424</c:v>
                </c:pt>
                <c:pt idx="2">
                  <c:v>-125060.01805986842</c:v>
                </c:pt>
                <c:pt idx="3">
                  <c:v>-92810.018059868424</c:v>
                </c:pt>
                <c:pt idx="4">
                  <c:v>-95060.018059868424</c:v>
                </c:pt>
                <c:pt idx="5">
                  <c:v>-98142.518381296992</c:v>
                </c:pt>
                <c:pt idx="6">
                  <c:v>-94663.018059868424</c:v>
                </c:pt>
                <c:pt idx="7">
                  <c:v>-92810.018059868424</c:v>
                </c:pt>
                <c:pt idx="8">
                  <c:v>-92810.018059868424</c:v>
                </c:pt>
                <c:pt idx="9">
                  <c:v>-92810.018059868424</c:v>
                </c:pt>
                <c:pt idx="10">
                  <c:v>-92810.018059868424</c:v>
                </c:pt>
                <c:pt idx="11">
                  <c:v>-92810.018059868424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863312"/>
        <c:axId val="186863872"/>
      </c:barChart>
      <c:lineChart>
        <c:grouping val="standard"/>
        <c:varyColors val="0"/>
        <c:ser>
          <c:idx val="1"/>
          <c:order val="1"/>
          <c:tx>
            <c:v>Flujo acumulado</c:v>
          </c:tx>
          <c:spPr>
            <a:ln w="57150" cmpd="sng"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 w="57150" cmpd="sng">
                <a:solidFill>
                  <a:srgbClr val="FFC000"/>
                </a:solidFill>
              </a:ln>
            </c:spPr>
          </c:marker>
          <c:dLbls>
            <c:dLbl>
              <c:idx val="59"/>
              <c:layout>
                <c:manualLayout>
                  <c:x val="-2.1805156163978601E-2"/>
                  <c:y val="5.62540516991452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1E-024A-844C-34FDE27EBE8D}"/>
                </c:ext>
              </c:extLst>
            </c:dLbl>
            <c:dLbl>
              <c:idx val="66"/>
              <c:layout>
                <c:manualLayout>
                  <c:x val="0"/>
                  <c:y val="5.2624758041135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1E-024A-844C-34FDE27EBE8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FLUJO!$C$4:$N$4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AGO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DIC</c:v>
                </c:pt>
                <c:pt idx="7">
                  <c:v>ENE</c:v>
                </c:pt>
                <c:pt idx="8">
                  <c:v>FEB</c:v>
                </c:pt>
                <c:pt idx="9">
                  <c:v>MAR</c:v>
                </c:pt>
                <c:pt idx="10">
                  <c:v>ABR</c:v>
                </c:pt>
                <c:pt idx="11">
                  <c:v>MAY</c:v>
                </c:pt>
              </c:strCache>
            </c:strRef>
          </c:cat>
          <c:val>
            <c:numRef>
              <c:f>FLUJO!$C$28:$N$28</c:f>
              <c:numCache>
                <c:formatCode>_("€"* #,##0.00_);_("€"* \(#,##0.00\);_("€"* "-"??_);_(@_)</c:formatCode>
                <c:ptCount val="12"/>
                <c:pt idx="0">
                  <c:v>0</c:v>
                </c:pt>
                <c:pt idx="1">
                  <c:v>-94460.018059868424</c:v>
                </c:pt>
                <c:pt idx="2">
                  <c:v>-219520.03611973685</c:v>
                </c:pt>
                <c:pt idx="3">
                  <c:v>-312330.05417960527</c:v>
                </c:pt>
                <c:pt idx="4">
                  <c:v>-407390.07223947369</c:v>
                </c:pt>
                <c:pt idx="5">
                  <c:v>-505532.5906207707</c:v>
                </c:pt>
                <c:pt idx="6">
                  <c:v>-600195.60868063918</c:v>
                </c:pt>
                <c:pt idx="7">
                  <c:v>-693005.62674050755</c:v>
                </c:pt>
                <c:pt idx="8">
                  <c:v>-785815.64480037591</c:v>
                </c:pt>
                <c:pt idx="9">
                  <c:v>-878625.66286024428</c:v>
                </c:pt>
                <c:pt idx="10">
                  <c:v>-971435.68092011265</c:v>
                </c:pt>
                <c:pt idx="11">
                  <c:v>-1064245.698979981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64992"/>
        <c:axId val="186864432"/>
      </c:lineChart>
      <c:catAx>
        <c:axId val="18686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s-MX"/>
          </a:p>
        </c:txPr>
        <c:crossAx val="186863872"/>
        <c:crosses val="autoZero"/>
        <c:auto val="1"/>
        <c:lblAlgn val="ctr"/>
        <c:lblOffset val="100"/>
        <c:noMultiLvlLbl val="1"/>
      </c:catAx>
      <c:valAx>
        <c:axId val="186863872"/>
        <c:scaling>
          <c:orientation val="minMax"/>
        </c:scaling>
        <c:delete val="0"/>
        <c:axPos val="l"/>
        <c:majorGridlines/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3312"/>
        <c:crosses val="autoZero"/>
        <c:crossBetween val="between"/>
        <c:dispUnits>
          <c:builtInUnit val="millions"/>
          <c:dispUnitsLbl/>
        </c:dispUnits>
      </c:valAx>
      <c:valAx>
        <c:axId val="186864432"/>
        <c:scaling>
          <c:orientation val="minMax"/>
        </c:scaling>
        <c:delete val="0"/>
        <c:axPos val="r"/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4992"/>
        <c:crosses val="max"/>
        <c:crossBetween val="between"/>
      </c:valAx>
      <c:catAx>
        <c:axId val="186864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864432"/>
        <c:crosses val="autoZero"/>
        <c:auto val="1"/>
        <c:lblAlgn val="ctr"/>
        <c:lblOffset val="100"/>
        <c:tickLblSkip val="1"/>
        <c:tickMarkSkip val="1"/>
        <c:noMultiLvlLbl val="1"/>
      </c:catAx>
    </c:plotArea>
    <c:legend>
      <c:legendPos val="r"/>
      <c:layout>
        <c:manualLayout>
          <c:xMode val="edge"/>
          <c:yMode val="edge"/>
          <c:x val="0.28189644222537608"/>
          <c:y val="0.89992737126116673"/>
          <c:w val="0.52736807695790267"/>
          <c:h val="9.839529494940924E-2"/>
        </c:manualLayout>
      </c:layout>
      <c:overlay val="0"/>
      <c:txPr>
        <a:bodyPr/>
        <a:lstStyle/>
        <a:p>
          <a:pPr>
            <a:defRPr sz="3200"/>
          </a:pPr>
          <a:endParaRPr lang="es-MX"/>
        </a:p>
      </c:txPr>
    </c:legend>
    <c:plotVisOnly val="1"/>
    <c:dispBlanksAs val="gap"/>
    <c:showDLblsOverMax val="0"/>
  </c:chart>
  <c:spPr>
    <a:ln w="6350" cmpd="sng"/>
  </c:spPr>
  <c:txPr>
    <a:bodyPr/>
    <a:lstStyle/>
    <a:p>
      <a:pPr>
        <a:defRPr sz="1800">
          <a:latin typeface="Avenir Book" panose="02000503020000020003" pitchFamily="2" charset="0"/>
        </a:defRPr>
      </a:pPr>
      <a:endParaRPr lang="es-MX"/>
    </a:p>
  </c:txPr>
  <c:printSettings>
    <c:headerFooter/>
    <c:pageMargins b="1" l="0.75" r="0.75" t="1" header="0.5" footer="0.5"/>
    <c:pageSetup paperSize="0"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9680549250127519"/>
          <c:y val="6.8537482952116313E-2"/>
          <c:w val="0.75706166808387831"/>
          <c:h val="0.86709533223433033"/>
        </c:manualLayout>
      </c:layout>
      <c:lineChart>
        <c:grouping val="standard"/>
        <c:varyColors val="0"/>
        <c:ser>
          <c:idx val="0"/>
          <c:order val="0"/>
          <c:tx>
            <c:strRef>
              <c:f>'GRÁFICA II'!$B$33</c:f>
              <c:strCache>
                <c:ptCount val="1"/>
                <c:pt idx="0">
                  <c:v>ARRENDA DE INMUEBLES Y SERV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II'!$C$33:$Q$33</c:f>
              <c:numCache>
                <c:formatCode>#,##0.00</c:formatCode>
                <c:ptCount val="15"/>
                <c:pt idx="0">
                  <c:v>0</c:v>
                </c:pt>
                <c:pt idx="1">
                  <c:v>2020</c:v>
                </c:pt>
                <c:pt idx="2">
                  <c:v>2020</c:v>
                </c:pt>
                <c:pt idx="3">
                  <c:v>2020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2020</c:v>
                </c:pt>
                <c:pt idx="9">
                  <c:v>2020</c:v>
                </c:pt>
                <c:pt idx="10">
                  <c:v>2020</c:v>
                </c:pt>
                <c:pt idx="11">
                  <c:v>2020</c:v>
                </c:pt>
                <c:pt idx="12">
                  <c:v>2020</c:v>
                </c:pt>
                <c:pt idx="13">
                  <c:v>2020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1-8641-B2BE-81F2B98F6301}"/>
            </c:ext>
          </c:extLst>
        </c:ser>
        <c:ser>
          <c:idx val="1"/>
          <c:order val="1"/>
          <c:tx>
            <c:strRef>
              <c:f>'GRÁFICA II'!$B$34</c:f>
              <c:strCache>
                <c:ptCount val="1"/>
                <c:pt idx="0">
                  <c:v>ARTICULOS DE SEGURIDAD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II'!$C$34:$Q$34</c:f>
              <c:numCache>
                <c:formatCode>#,##0.00</c:formatCode>
                <c:ptCount val="15"/>
                <c:pt idx="0">
                  <c:v>0</c:v>
                </c:pt>
                <c:pt idx="1">
                  <c:v>405</c:v>
                </c:pt>
                <c:pt idx="2">
                  <c:v>405</c:v>
                </c:pt>
                <c:pt idx="3">
                  <c:v>405</c:v>
                </c:pt>
                <c:pt idx="4">
                  <c:v>405</c:v>
                </c:pt>
                <c:pt idx="5">
                  <c:v>405</c:v>
                </c:pt>
                <c:pt idx="6">
                  <c:v>405</c:v>
                </c:pt>
                <c:pt idx="7">
                  <c:v>405</c:v>
                </c:pt>
                <c:pt idx="8">
                  <c:v>405</c:v>
                </c:pt>
                <c:pt idx="9">
                  <c:v>405</c:v>
                </c:pt>
                <c:pt idx="10">
                  <c:v>405</c:v>
                </c:pt>
                <c:pt idx="11">
                  <c:v>405</c:v>
                </c:pt>
                <c:pt idx="12">
                  <c:v>405</c:v>
                </c:pt>
                <c:pt idx="13">
                  <c:v>405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A1-8641-B2BE-81F2B98F6301}"/>
            </c:ext>
          </c:extLst>
        </c:ser>
        <c:ser>
          <c:idx val="2"/>
          <c:order val="2"/>
          <c:tx>
            <c:strRef>
              <c:f>'GRÁFICA II'!$B$35</c:f>
              <c:strCache>
                <c:ptCount val="1"/>
                <c:pt idx="0">
                  <c:v>EQUIPO DE COMPUTO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II'!$C$35:$Q$35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A1-8641-B2BE-81F2B98F6301}"/>
            </c:ext>
          </c:extLst>
        </c:ser>
        <c:ser>
          <c:idx val="3"/>
          <c:order val="3"/>
          <c:tx>
            <c:strRef>
              <c:f>'GRÁFICA II'!$B$36</c:f>
              <c:strCache>
                <c:ptCount val="1"/>
                <c:pt idx="0">
                  <c:v>EQUIPOS Y ENSERES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II'!$C$36:$Q$36</c:f>
              <c:numCache>
                <c:formatCode>#,##0.00</c:formatCode>
                <c:ptCount val="15"/>
                <c:pt idx="0">
                  <c:v>0</c:v>
                </c:pt>
                <c:pt idx="1">
                  <c:v>82.5</c:v>
                </c:pt>
                <c:pt idx="2">
                  <c:v>82.5</c:v>
                </c:pt>
                <c:pt idx="3">
                  <c:v>82.5</c:v>
                </c:pt>
                <c:pt idx="4">
                  <c:v>82.5</c:v>
                </c:pt>
                <c:pt idx="5">
                  <c:v>82.5</c:v>
                </c:pt>
                <c:pt idx="6">
                  <c:v>82.5</c:v>
                </c:pt>
                <c:pt idx="7">
                  <c:v>82.5</c:v>
                </c:pt>
                <c:pt idx="8">
                  <c:v>82.5</c:v>
                </c:pt>
                <c:pt idx="9">
                  <c:v>82.5</c:v>
                </c:pt>
                <c:pt idx="10">
                  <c:v>82.5</c:v>
                </c:pt>
                <c:pt idx="11">
                  <c:v>82.5</c:v>
                </c:pt>
                <c:pt idx="12">
                  <c:v>82.5</c:v>
                </c:pt>
                <c:pt idx="13">
                  <c:v>82.5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A1-8641-B2BE-81F2B98F6301}"/>
            </c:ext>
          </c:extLst>
        </c:ser>
        <c:ser>
          <c:idx val="4"/>
          <c:order val="4"/>
          <c:tx>
            <c:strRef>
              <c:f>'GRÁFICA II'!$B$37</c:f>
              <c:strCache>
                <c:ptCount val="1"/>
                <c:pt idx="0">
                  <c:v>INSUMOS AGRICOLAS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II'!$C$37:$Q$37</c:f>
              <c:numCache>
                <c:formatCode>#,##0.00</c:formatCode>
                <c:ptCount val="15"/>
                <c:pt idx="0">
                  <c:v>0</c:v>
                </c:pt>
                <c:pt idx="1">
                  <c:v>57.711500000000001</c:v>
                </c:pt>
                <c:pt idx="2">
                  <c:v>57.711500000000001</c:v>
                </c:pt>
                <c:pt idx="3">
                  <c:v>57.711500000000001</c:v>
                </c:pt>
                <c:pt idx="4">
                  <c:v>57.711500000000001</c:v>
                </c:pt>
                <c:pt idx="5">
                  <c:v>57.711500000000001</c:v>
                </c:pt>
                <c:pt idx="6">
                  <c:v>57.711500000000001</c:v>
                </c:pt>
                <c:pt idx="7">
                  <c:v>57.711500000000001</c:v>
                </c:pt>
                <c:pt idx="8">
                  <c:v>57.711500000000001</c:v>
                </c:pt>
                <c:pt idx="9">
                  <c:v>57.711500000000001</c:v>
                </c:pt>
                <c:pt idx="10">
                  <c:v>57.711500000000001</c:v>
                </c:pt>
                <c:pt idx="11">
                  <c:v>57.711500000000001</c:v>
                </c:pt>
                <c:pt idx="12">
                  <c:v>57.711500000000001</c:v>
                </c:pt>
                <c:pt idx="13">
                  <c:v>57.711500000000001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A1-8641-B2BE-81F2B98F6301}"/>
            </c:ext>
          </c:extLst>
        </c:ser>
        <c:ser>
          <c:idx val="5"/>
          <c:order val="5"/>
          <c:tx>
            <c:strRef>
              <c:f>'GRÁFICA II'!$B$38</c:f>
              <c:strCache>
                <c:ptCount val="1"/>
                <c:pt idx="0">
                  <c:v>INSUMOS DE OFICINA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II'!$C$38:$Q$38</c:f>
              <c:numCache>
                <c:formatCode>#,##0.00</c:formatCode>
                <c:ptCount val="15"/>
                <c:pt idx="0">
                  <c:v>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A1-8641-B2BE-81F2B98F6301}"/>
            </c:ext>
          </c:extLst>
        </c:ser>
        <c:ser>
          <c:idx val="6"/>
          <c:order val="6"/>
          <c:tx>
            <c:strRef>
              <c:f>'GRÁFICA II'!$B$39</c:f>
              <c:strCache>
                <c:ptCount val="1"/>
                <c:pt idx="0">
                  <c:v>MARKETING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II'!$C$39:$Q$39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A1-8641-B2BE-81F2B98F6301}"/>
            </c:ext>
          </c:extLst>
        </c:ser>
        <c:ser>
          <c:idx val="7"/>
          <c:order val="7"/>
          <c:tx>
            <c:strRef>
              <c:f>'GRÁFICA II'!$B$40</c:f>
              <c:strCache>
                <c:ptCount val="1"/>
                <c:pt idx="0">
                  <c:v>MATERIALES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II'!$C$40:$Q$40</c:f>
              <c:numCache>
                <c:formatCode>#,##0.00</c:formatCode>
                <c:ptCount val="15"/>
                <c:pt idx="0">
                  <c:v>0</c:v>
                </c:pt>
                <c:pt idx="1">
                  <c:v>2760</c:v>
                </c:pt>
                <c:pt idx="2">
                  <c:v>1260</c:v>
                </c:pt>
                <c:pt idx="3">
                  <c:v>1260</c:v>
                </c:pt>
                <c:pt idx="4">
                  <c:v>3510</c:v>
                </c:pt>
                <c:pt idx="5">
                  <c:v>1260</c:v>
                </c:pt>
                <c:pt idx="6">
                  <c:v>2963</c:v>
                </c:pt>
                <c:pt idx="7">
                  <c:v>1260</c:v>
                </c:pt>
                <c:pt idx="8">
                  <c:v>1260</c:v>
                </c:pt>
                <c:pt idx="9">
                  <c:v>1260</c:v>
                </c:pt>
                <c:pt idx="10">
                  <c:v>1260</c:v>
                </c:pt>
                <c:pt idx="11">
                  <c:v>1260</c:v>
                </c:pt>
                <c:pt idx="12">
                  <c:v>2760</c:v>
                </c:pt>
                <c:pt idx="13">
                  <c:v>1260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A1-8641-B2BE-81F2B98F6301}"/>
            </c:ext>
          </c:extLst>
        </c:ser>
        <c:ser>
          <c:idx val="8"/>
          <c:order val="8"/>
          <c:tx>
            <c:strRef>
              <c:f>'GRÁFICA II'!$B$41</c:f>
              <c:strCache>
                <c:ptCount val="1"/>
                <c:pt idx="0">
                  <c:v>MATERIALES DE SALUD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II'!$C$41:$Q$41</c:f>
              <c:numCache>
                <c:formatCode>#,##0.00</c:formatCode>
                <c:ptCount val="15"/>
                <c:pt idx="0">
                  <c:v>0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A1-8641-B2BE-81F2B98F6301}"/>
            </c:ext>
          </c:extLst>
        </c:ser>
        <c:ser>
          <c:idx val="10"/>
          <c:order val="10"/>
          <c:tx>
            <c:strRef>
              <c:f>'GRÁFICA II'!$B$43</c:f>
              <c:strCache>
                <c:ptCount val="1"/>
                <c:pt idx="0">
                  <c:v>SERV TELEFONIA CELULAR Y RADIO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II'!$C$43:$Q$43</c:f>
              <c:numCache>
                <c:formatCode>#,##0.00</c:formatCode>
                <c:ptCount val="15"/>
                <c:pt idx="0">
                  <c:v>0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75</c:v>
                </c:pt>
                <c:pt idx="13">
                  <c:v>75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A1-8641-B2BE-81F2B98F6301}"/>
            </c:ext>
          </c:extLst>
        </c:ser>
        <c:ser>
          <c:idx val="12"/>
          <c:order val="12"/>
          <c:tx>
            <c:strRef>
              <c:f>'GRÁFICA II'!$B$45</c:f>
              <c:strCache>
                <c:ptCount val="1"/>
                <c:pt idx="0">
                  <c:v>SERVICIOS DE CAPACITACION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II'!$C$45:$Q$45</c:f>
              <c:numCache>
                <c:formatCode>#,##0.00</c:formatCode>
                <c:ptCount val="15"/>
                <c:pt idx="0">
                  <c:v>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A1-8641-B2BE-81F2B98F6301}"/>
            </c:ext>
          </c:extLst>
        </c:ser>
        <c:ser>
          <c:idx val="13"/>
          <c:order val="13"/>
          <c:tx>
            <c:strRef>
              <c:f>'GRÁFICA II'!$B$46</c:f>
              <c:strCache>
                <c:ptCount val="1"/>
                <c:pt idx="0">
                  <c:v>SERVICIOS DE SALUD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II'!$C$46:$Q$46</c:f>
              <c:numCache>
                <c:formatCode>#,##0.00</c:formatCode>
                <c:ptCount val="15"/>
                <c:pt idx="0">
                  <c:v>0</c:v>
                </c:pt>
                <c:pt idx="1">
                  <c:v>113.03399999999999</c:v>
                </c:pt>
                <c:pt idx="2">
                  <c:v>113.03399999999999</c:v>
                </c:pt>
                <c:pt idx="3">
                  <c:v>113.03399999999999</c:v>
                </c:pt>
                <c:pt idx="4">
                  <c:v>113.03399999999999</c:v>
                </c:pt>
                <c:pt idx="5">
                  <c:v>113.03399999999999</c:v>
                </c:pt>
                <c:pt idx="6">
                  <c:v>113.03399999999999</c:v>
                </c:pt>
                <c:pt idx="7">
                  <c:v>113.03399999999999</c:v>
                </c:pt>
                <c:pt idx="8">
                  <c:v>113.03399999999999</c:v>
                </c:pt>
                <c:pt idx="9">
                  <c:v>113.03399999999999</c:v>
                </c:pt>
                <c:pt idx="10">
                  <c:v>113.03399999999999</c:v>
                </c:pt>
                <c:pt idx="11">
                  <c:v>113.03399999999999</c:v>
                </c:pt>
                <c:pt idx="12">
                  <c:v>113.03399999999999</c:v>
                </c:pt>
                <c:pt idx="13">
                  <c:v>113.03399999999999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0A1-8641-B2BE-81F2B98F6301}"/>
            </c:ext>
          </c:extLst>
        </c:ser>
        <c:ser>
          <c:idx val="14"/>
          <c:order val="14"/>
          <c:tx>
            <c:strRef>
              <c:f>'GRÁFICA II'!$B$47</c:f>
              <c:strCache>
                <c:ptCount val="1"/>
                <c:pt idx="0">
                  <c:v>UNIFORMES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II'!$C$47:$Q$47</c:f>
              <c:numCache>
                <c:formatCode>#,##0.00</c:formatCode>
                <c:ptCount val="15"/>
                <c:pt idx="0">
                  <c:v>0</c:v>
                </c:pt>
                <c:pt idx="1">
                  <c:v>144</c:v>
                </c:pt>
                <c:pt idx="2">
                  <c:v>144</c:v>
                </c:pt>
                <c:pt idx="3">
                  <c:v>144</c:v>
                </c:pt>
                <c:pt idx="4">
                  <c:v>144</c:v>
                </c:pt>
                <c:pt idx="5">
                  <c:v>144</c:v>
                </c:pt>
                <c:pt idx="6">
                  <c:v>144</c:v>
                </c:pt>
                <c:pt idx="7">
                  <c:v>144</c:v>
                </c:pt>
                <c:pt idx="8">
                  <c:v>144</c:v>
                </c:pt>
                <c:pt idx="9">
                  <c:v>144</c:v>
                </c:pt>
                <c:pt idx="10">
                  <c:v>144</c:v>
                </c:pt>
                <c:pt idx="11">
                  <c:v>144</c:v>
                </c:pt>
                <c:pt idx="12">
                  <c:v>144</c:v>
                </c:pt>
                <c:pt idx="13">
                  <c:v>144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0A1-8641-B2BE-81F2B98F6301}"/>
            </c:ext>
          </c:extLst>
        </c:ser>
        <c:ser>
          <c:idx val="15"/>
          <c:order val="15"/>
          <c:tx>
            <c:strRef>
              <c:f>'GRÁFICA II'!$B$48</c:f>
              <c:strCache>
                <c:ptCount val="1"/>
                <c:pt idx="0">
                  <c:v>VEHICULOS Y COMBUSTIBLE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II'!$C$48:$Q$48</c:f>
              <c:numCache>
                <c:formatCode>#,##0.00</c:formatCode>
                <c:ptCount val="15"/>
                <c:pt idx="0">
                  <c:v>0</c:v>
                </c:pt>
                <c:pt idx="1">
                  <c:v>1386</c:v>
                </c:pt>
                <c:pt idx="2">
                  <c:v>1386</c:v>
                </c:pt>
                <c:pt idx="3">
                  <c:v>1386</c:v>
                </c:pt>
                <c:pt idx="4">
                  <c:v>1386</c:v>
                </c:pt>
                <c:pt idx="5">
                  <c:v>1386</c:v>
                </c:pt>
                <c:pt idx="6">
                  <c:v>1386</c:v>
                </c:pt>
                <c:pt idx="7">
                  <c:v>1386</c:v>
                </c:pt>
                <c:pt idx="8">
                  <c:v>1386</c:v>
                </c:pt>
                <c:pt idx="9">
                  <c:v>1386</c:v>
                </c:pt>
                <c:pt idx="10">
                  <c:v>1386</c:v>
                </c:pt>
                <c:pt idx="11">
                  <c:v>1386</c:v>
                </c:pt>
                <c:pt idx="12">
                  <c:v>1386</c:v>
                </c:pt>
                <c:pt idx="13">
                  <c:v>1386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0A1-8641-B2BE-81F2B98F6301}"/>
            </c:ext>
          </c:extLst>
        </c:ser>
        <c:ser>
          <c:idx val="16"/>
          <c:order val="16"/>
          <c:tx>
            <c:strRef>
              <c:f>'GRÁFICA II'!$B$49</c:f>
              <c:strCache>
                <c:ptCount val="1"/>
                <c:pt idx="0">
                  <c:v>VIATICOS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II'!$C$49:$Q$49</c:f>
              <c:numCache>
                <c:formatCode>#,##0.00</c:formatCode>
                <c:ptCount val="15"/>
                <c:pt idx="0">
                  <c:v>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450</c:v>
                </c:pt>
                <c:pt idx="10">
                  <c:v>450</c:v>
                </c:pt>
                <c:pt idx="11">
                  <c:v>450</c:v>
                </c:pt>
                <c:pt idx="12">
                  <c:v>450</c:v>
                </c:pt>
                <c:pt idx="13">
                  <c:v>450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975200"/>
        <c:axId val="1952720656"/>
      </c:lineChart>
      <c:lineChart>
        <c:grouping val="standard"/>
        <c:varyColors val="0"/>
        <c:ser>
          <c:idx val="9"/>
          <c:order val="9"/>
          <c:tx>
            <c:strRef>
              <c:f>'GRÁFICA II'!$B$42</c:f>
              <c:strCache>
                <c:ptCount val="1"/>
                <c:pt idx="0">
                  <c:v>NOMINA Y ADICIONALES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II'!$C$42:$Q$42</c:f>
              <c:numCache>
                <c:formatCode>#,##0.00</c:formatCode>
                <c:ptCount val="15"/>
                <c:pt idx="0">
                  <c:v>0</c:v>
                </c:pt>
                <c:pt idx="1">
                  <c:v>16104.272559868417</c:v>
                </c:pt>
                <c:pt idx="2">
                  <c:v>16104.272559868417</c:v>
                </c:pt>
                <c:pt idx="3">
                  <c:v>16104.272559868417</c:v>
                </c:pt>
                <c:pt idx="4">
                  <c:v>16104.272559868417</c:v>
                </c:pt>
                <c:pt idx="5">
                  <c:v>21436.772881296994</c:v>
                </c:pt>
                <c:pt idx="6">
                  <c:v>16104.272559868417</c:v>
                </c:pt>
                <c:pt idx="7">
                  <c:v>16104.272559868417</c:v>
                </c:pt>
                <c:pt idx="8">
                  <c:v>16104.272559868417</c:v>
                </c:pt>
                <c:pt idx="9">
                  <c:v>16104.272559868417</c:v>
                </c:pt>
                <c:pt idx="10">
                  <c:v>16104.272559868417</c:v>
                </c:pt>
                <c:pt idx="11">
                  <c:v>16104.272559868417</c:v>
                </c:pt>
                <c:pt idx="12">
                  <c:v>29435.523363439846</c:v>
                </c:pt>
                <c:pt idx="13">
                  <c:v>16104.272559868417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0A1-8641-B2BE-81F2B98F6301}"/>
            </c:ext>
          </c:extLst>
        </c:ser>
        <c:ser>
          <c:idx val="11"/>
          <c:order val="11"/>
          <c:tx>
            <c:strRef>
              <c:f>'GRÁFICA II'!$B$44</c:f>
              <c:strCache>
                <c:ptCount val="1"/>
                <c:pt idx="0">
                  <c:v>SERVICIOS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II'!$C$44:$Q$44</c:f>
              <c:numCache>
                <c:formatCode>#,##0.00</c:formatCode>
                <c:ptCount val="15"/>
                <c:pt idx="0">
                  <c:v>0</c:v>
                </c:pt>
                <c:pt idx="1">
                  <c:v>70537.5</c:v>
                </c:pt>
                <c:pt idx="2">
                  <c:v>70837.5</c:v>
                </c:pt>
                <c:pt idx="3">
                  <c:v>70387.5</c:v>
                </c:pt>
                <c:pt idx="4">
                  <c:v>70387.5</c:v>
                </c:pt>
                <c:pt idx="5">
                  <c:v>70387.5</c:v>
                </c:pt>
                <c:pt idx="6">
                  <c:v>70537.5</c:v>
                </c:pt>
                <c:pt idx="7">
                  <c:v>70387.5</c:v>
                </c:pt>
                <c:pt idx="8">
                  <c:v>70387.5</c:v>
                </c:pt>
                <c:pt idx="9">
                  <c:v>70387.5</c:v>
                </c:pt>
                <c:pt idx="10">
                  <c:v>70387.5</c:v>
                </c:pt>
                <c:pt idx="11">
                  <c:v>70387.5</c:v>
                </c:pt>
                <c:pt idx="12">
                  <c:v>70537.5</c:v>
                </c:pt>
                <c:pt idx="13">
                  <c:v>75387.5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248464"/>
        <c:axId val="1933070368"/>
      </c:lineChart>
      <c:catAx>
        <c:axId val="19559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2720656"/>
        <c:crosses val="autoZero"/>
        <c:auto val="1"/>
        <c:lblAlgn val="ctr"/>
        <c:lblOffset val="100"/>
        <c:noMultiLvlLbl val="0"/>
      </c:catAx>
      <c:valAx>
        <c:axId val="19527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5975200"/>
        <c:crosses val="autoZero"/>
        <c:crossBetween val="between"/>
      </c:valAx>
      <c:valAx>
        <c:axId val="1933070368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8248464"/>
        <c:crosses val="max"/>
        <c:crossBetween val="between"/>
      </c:valAx>
      <c:catAx>
        <c:axId val="1958248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070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2011806281708068E-3"/>
          <c:y val="4.0599349520281186E-2"/>
          <c:w val="0.12634555033863432"/>
          <c:h val="0.901363813337976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FLUJ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12699</xdr:colOff>
      <xdr:row>1</xdr:row>
      <xdr:rowOff>63499</xdr:rowOff>
    </xdr:from>
    <xdr:to>
      <xdr:col>33</xdr:col>
      <xdr:colOff>76200</xdr:colOff>
      <xdr:row>90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241022</xdr:colOff>
      <xdr:row>0</xdr:row>
      <xdr:rowOff>120511</xdr:rowOff>
    </xdr:from>
    <xdr:to>
      <xdr:col>16</xdr:col>
      <xdr:colOff>444964</xdr:colOff>
      <xdr:row>30</xdr:row>
      <xdr:rowOff>41344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B6FF16C-7E3D-21AB-C6A0-14BF4E251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710046</xdr:colOff>
      <xdr:row>40</xdr:row>
      <xdr:rowOff>121227</xdr:rowOff>
    </xdr:from>
    <xdr:to>
      <xdr:col>1</xdr:col>
      <xdr:colOff>2996046</xdr:colOff>
      <xdr:row>47</xdr:row>
      <xdr:rowOff>51954</xdr:rowOff>
    </xdr:to>
    <xdr:sp macro="" textlink="">
      <xdr:nvSpPr>
        <xdr:cNvPr id="2" name="Pentágono regula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5182" y="15032182"/>
          <a:ext cx="2286000" cy="1264227"/>
        </a:xfrm>
        <a:prstGeom prst="pentagon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000" b="1">
              <a:solidFill>
                <a:sysClr val="windowText" lastClr="000000"/>
              </a:solidFill>
            </a:rPr>
            <a:t>PREMISAS</a:t>
          </a:r>
          <a:endParaRPr lang="es-MX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10.10.3.201/Users/imejial/AppData/Local/Microsoft/Windows/Temporary%20Internet%20Files/Content.Outlook/A4OMUGPP/Nuvoil%20Competencias%20Laboral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alacioss/Documents/Geolis/01%20PEMEX/1.%20BECH%20RMNE/3.%20Cronograma%20Proyecto/Cronograma%20de%20Ejecuci&#243;n%20de%20BE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Competenci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chedule"/>
      <sheetName val="ProjectSchedule "/>
      <sheetName val="25_06al_12_07_2020 (2)"/>
      <sheetName val="13_07 al al_15_08_2020"/>
      <sheetName val="13_07 al al_15_08_2020 (2)"/>
      <sheetName val="About"/>
    </sheetNames>
    <sheetDataSet>
      <sheetData sheetId="0">
        <row r="2">
          <cell r="I2">
            <v>43957</v>
          </cell>
        </row>
        <row r="3">
          <cell r="I3">
            <v>1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google.com/search?client=firefox-b-d&amp;q=precio+del+dolar+h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D579"/>
  </sheetPr>
  <dimension ref="A1:U207"/>
  <sheetViews>
    <sheetView tabSelected="1" zoomScale="43" zoomScaleNormal="100" workbookViewId="0">
      <pane xSplit="2" ySplit="7" topLeftCell="C23" activePane="bottomRight" state="frozen"/>
      <selection pane="topRight" activeCell="C1" sqref="C1"/>
      <selection pane="bottomLeft" activeCell="A7" sqref="A7"/>
      <selection pane="bottomRight" activeCell="D5" sqref="D5:P5"/>
    </sheetView>
  </sheetViews>
  <sheetFormatPr baseColWidth="10" defaultRowHeight="26" customHeight="1" outlineLevelRow="1" x14ac:dyDescent="0.35"/>
  <cols>
    <col min="1" max="1" width="40.1640625" style="173" bestFit="1" customWidth="1"/>
    <col min="2" max="2" width="28.33203125" style="173" customWidth="1"/>
    <col min="3" max="16" width="18" style="173" customWidth="1"/>
    <col min="17" max="17" width="13.6640625" style="173" customWidth="1"/>
    <col min="18" max="18" width="10.83203125" style="173"/>
    <col min="19" max="19" width="15.1640625" style="173" bestFit="1" customWidth="1"/>
    <col min="20" max="229" width="10.83203125" style="173"/>
    <col min="230" max="230" width="34.1640625" style="173" customWidth="1"/>
    <col min="231" max="269" width="15.6640625" style="173" customWidth="1"/>
    <col min="270" max="485" width="10.83203125" style="173"/>
    <col min="486" max="486" width="34.1640625" style="173" customWidth="1"/>
    <col min="487" max="525" width="15.6640625" style="173" customWidth="1"/>
    <col min="526" max="741" width="10.83203125" style="173"/>
    <col min="742" max="742" width="34.1640625" style="173" customWidth="1"/>
    <col min="743" max="781" width="15.6640625" style="173" customWidth="1"/>
    <col min="782" max="997" width="10.83203125" style="173"/>
    <col min="998" max="998" width="34.1640625" style="173" customWidth="1"/>
    <col min="999" max="1037" width="15.6640625" style="173" customWidth="1"/>
    <col min="1038" max="1253" width="10.83203125" style="173"/>
    <col min="1254" max="1254" width="34.1640625" style="173" customWidth="1"/>
    <col min="1255" max="1293" width="15.6640625" style="173" customWidth="1"/>
    <col min="1294" max="1509" width="10.83203125" style="173"/>
    <col min="1510" max="1510" width="34.1640625" style="173" customWidth="1"/>
    <col min="1511" max="1549" width="15.6640625" style="173" customWidth="1"/>
    <col min="1550" max="1765" width="10.83203125" style="173"/>
    <col min="1766" max="1766" width="34.1640625" style="173" customWidth="1"/>
    <col min="1767" max="1805" width="15.6640625" style="173" customWidth="1"/>
    <col min="1806" max="2021" width="10.83203125" style="173"/>
    <col min="2022" max="2022" width="34.1640625" style="173" customWidth="1"/>
    <col min="2023" max="2061" width="15.6640625" style="173" customWidth="1"/>
    <col min="2062" max="2277" width="10.83203125" style="173"/>
    <col min="2278" max="2278" width="34.1640625" style="173" customWidth="1"/>
    <col min="2279" max="2317" width="15.6640625" style="173" customWidth="1"/>
    <col min="2318" max="2533" width="10.83203125" style="173"/>
    <col min="2534" max="2534" width="34.1640625" style="173" customWidth="1"/>
    <col min="2535" max="2573" width="15.6640625" style="173" customWidth="1"/>
    <col min="2574" max="2789" width="10.83203125" style="173"/>
    <col min="2790" max="2790" width="34.1640625" style="173" customWidth="1"/>
    <col min="2791" max="2829" width="15.6640625" style="173" customWidth="1"/>
    <col min="2830" max="3045" width="10.83203125" style="173"/>
    <col min="3046" max="3046" width="34.1640625" style="173" customWidth="1"/>
    <col min="3047" max="3085" width="15.6640625" style="173" customWidth="1"/>
    <col min="3086" max="3301" width="10.83203125" style="173"/>
    <col min="3302" max="3302" width="34.1640625" style="173" customWidth="1"/>
    <col min="3303" max="3341" width="15.6640625" style="173" customWidth="1"/>
    <col min="3342" max="3557" width="10.83203125" style="173"/>
    <col min="3558" max="3558" width="34.1640625" style="173" customWidth="1"/>
    <col min="3559" max="3597" width="15.6640625" style="173" customWidth="1"/>
    <col min="3598" max="3813" width="10.83203125" style="173"/>
    <col min="3814" max="3814" width="34.1640625" style="173" customWidth="1"/>
    <col min="3815" max="3853" width="15.6640625" style="173" customWidth="1"/>
    <col min="3854" max="4069" width="10.83203125" style="173"/>
    <col min="4070" max="4070" width="34.1640625" style="173" customWidth="1"/>
    <col min="4071" max="4109" width="15.6640625" style="173" customWidth="1"/>
    <col min="4110" max="4325" width="10.83203125" style="173"/>
    <col min="4326" max="4326" width="34.1640625" style="173" customWidth="1"/>
    <col min="4327" max="4365" width="15.6640625" style="173" customWidth="1"/>
    <col min="4366" max="4581" width="10.83203125" style="173"/>
    <col min="4582" max="4582" width="34.1640625" style="173" customWidth="1"/>
    <col min="4583" max="4621" width="15.6640625" style="173" customWidth="1"/>
    <col min="4622" max="4837" width="10.83203125" style="173"/>
    <col min="4838" max="4838" width="34.1640625" style="173" customWidth="1"/>
    <col min="4839" max="4877" width="15.6640625" style="173" customWidth="1"/>
    <col min="4878" max="5093" width="10.83203125" style="173"/>
    <col min="5094" max="5094" width="34.1640625" style="173" customWidth="1"/>
    <col min="5095" max="5133" width="15.6640625" style="173" customWidth="1"/>
    <col min="5134" max="5349" width="10.83203125" style="173"/>
    <col min="5350" max="5350" width="34.1640625" style="173" customWidth="1"/>
    <col min="5351" max="5389" width="15.6640625" style="173" customWidth="1"/>
    <col min="5390" max="5605" width="10.83203125" style="173"/>
    <col min="5606" max="5606" width="34.1640625" style="173" customWidth="1"/>
    <col min="5607" max="5645" width="15.6640625" style="173" customWidth="1"/>
    <col min="5646" max="5861" width="10.83203125" style="173"/>
    <col min="5862" max="5862" width="34.1640625" style="173" customWidth="1"/>
    <col min="5863" max="5901" width="15.6640625" style="173" customWidth="1"/>
    <col min="5902" max="6117" width="10.83203125" style="173"/>
    <col min="6118" max="6118" width="34.1640625" style="173" customWidth="1"/>
    <col min="6119" max="6157" width="15.6640625" style="173" customWidth="1"/>
    <col min="6158" max="6373" width="10.83203125" style="173"/>
    <col min="6374" max="6374" width="34.1640625" style="173" customWidth="1"/>
    <col min="6375" max="6413" width="15.6640625" style="173" customWidth="1"/>
    <col min="6414" max="6629" width="10.83203125" style="173"/>
    <col min="6630" max="6630" width="34.1640625" style="173" customWidth="1"/>
    <col min="6631" max="6669" width="15.6640625" style="173" customWidth="1"/>
    <col min="6670" max="6885" width="10.83203125" style="173"/>
    <col min="6886" max="6886" width="34.1640625" style="173" customWidth="1"/>
    <col min="6887" max="6925" width="15.6640625" style="173" customWidth="1"/>
    <col min="6926" max="7141" width="10.83203125" style="173"/>
    <col min="7142" max="7142" width="34.1640625" style="173" customWidth="1"/>
    <col min="7143" max="7181" width="15.6640625" style="173" customWidth="1"/>
    <col min="7182" max="7397" width="10.83203125" style="173"/>
    <col min="7398" max="7398" width="34.1640625" style="173" customWidth="1"/>
    <col min="7399" max="7437" width="15.6640625" style="173" customWidth="1"/>
    <col min="7438" max="7653" width="10.83203125" style="173"/>
    <col min="7654" max="7654" width="34.1640625" style="173" customWidth="1"/>
    <col min="7655" max="7693" width="15.6640625" style="173" customWidth="1"/>
    <col min="7694" max="7909" width="10.83203125" style="173"/>
    <col min="7910" max="7910" width="34.1640625" style="173" customWidth="1"/>
    <col min="7911" max="7949" width="15.6640625" style="173" customWidth="1"/>
    <col min="7950" max="8165" width="10.83203125" style="173"/>
    <col min="8166" max="8166" width="34.1640625" style="173" customWidth="1"/>
    <col min="8167" max="8205" width="15.6640625" style="173" customWidth="1"/>
    <col min="8206" max="8421" width="10.83203125" style="173"/>
    <col min="8422" max="8422" width="34.1640625" style="173" customWidth="1"/>
    <col min="8423" max="8461" width="15.6640625" style="173" customWidth="1"/>
    <col min="8462" max="8677" width="10.83203125" style="173"/>
    <col min="8678" max="8678" width="34.1640625" style="173" customWidth="1"/>
    <col min="8679" max="8717" width="15.6640625" style="173" customWidth="1"/>
    <col min="8718" max="8933" width="10.83203125" style="173"/>
    <col min="8934" max="8934" width="34.1640625" style="173" customWidth="1"/>
    <col min="8935" max="8973" width="15.6640625" style="173" customWidth="1"/>
    <col min="8974" max="9189" width="10.83203125" style="173"/>
    <col min="9190" max="9190" width="34.1640625" style="173" customWidth="1"/>
    <col min="9191" max="9229" width="15.6640625" style="173" customWidth="1"/>
    <col min="9230" max="9445" width="10.83203125" style="173"/>
    <col min="9446" max="9446" width="34.1640625" style="173" customWidth="1"/>
    <col min="9447" max="9485" width="15.6640625" style="173" customWidth="1"/>
    <col min="9486" max="9701" width="10.83203125" style="173"/>
    <col min="9702" max="9702" width="34.1640625" style="173" customWidth="1"/>
    <col min="9703" max="9741" width="15.6640625" style="173" customWidth="1"/>
    <col min="9742" max="9957" width="10.83203125" style="173"/>
    <col min="9958" max="9958" width="34.1640625" style="173" customWidth="1"/>
    <col min="9959" max="9997" width="15.6640625" style="173" customWidth="1"/>
    <col min="9998" max="10213" width="10.83203125" style="173"/>
    <col min="10214" max="10214" width="34.1640625" style="173" customWidth="1"/>
    <col min="10215" max="10253" width="15.6640625" style="173" customWidth="1"/>
    <col min="10254" max="10469" width="10.83203125" style="173"/>
    <col min="10470" max="10470" width="34.1640625" style="173" customWidth="1"/>
    <col min="10471" max="10509" width="15.6640625" style="173" customWidth="1"/>
    <col min="10510" max="10725" width="10.83203125" style="173"/>
    <col min="10726" max="10726" width="34.1640625" style="173" customWidth="1"/>
    <col min="10727" max="10765" width="15.6640625" style="173" customWidth="1"/>
    <col min="10766" max="10981" width="10.83203125" style="173"/>
    <col min="10982" max="10982" width="34.1640625" style="173" customWidth="1"/>
    <col min="10983" max="11021" width="15.6640625" style="173" customWidth="1"/>
    <col min="11022" max="11237" width="10.83203125" style="173"/>
    <col min="11238" max="11238" width="34.1640625" style="173" customWidth="1"/>
    <col min="11239" max="11277" width="15.6640625" style="173" customWidth="1"/>
    <col min="11278" max="11493" width="10.83203125" style="173"/>
    <col min="11494" max="11494" width="34.1640625" style="173" customWidth="1"/>
    <col min="11495" max="11533" width="15.6640625" style="173" customWidth="1"/>
    <col min="11534" max="11749" width="10.83203125" style="173"/>
    <col min="11750" max="11750" width="34.1640625" style="173" customWidth="1"/>
    <col min="11751" max="11789" width="15.6640625" style="173" customWidth="1"/>
    <col min="11790" max="12005" width="10.83203125" style="173"/>
    <col min="12006" max="12006" width="34.1640625" style="173" customWidth="1"/>
    <col min="12007" max="12045" width="15.6640625" style="173" customWidth="1"/>
    <col min="12046" max="12261" width="10.83203125" style="173"/>
    <col min="12262" max="12262" width="34.1640625" style="173" customWidth="1"/>
    <col min="12263" max="12301" width="15.6640625" style="173" customWidth="1"/>
    <col min="12302" max="12517" width="10.83203125" style="173"/>
    <col min="12518" max="12518" width="34.1640625" style="173" customWidth="1"/>
    <col min="12519" max="12557" width="15.6640625" style="173" customWidth="1"/>
    <col min="12558" max="12773" width="10.83203125" style="173"/>
    <col min="12774" max="12774" width="34.1640625" style="173" customWidth="1"/>
    <col min="12775" max="12813" width="15.6640625" style="173" customWidth="1"/>
    <col min="12814" max="13029" width="10.83203125" style="173"/>
    <col min="13030" max="13030" width="34.1640625" style="173" customWidth="1"/>
    <col min="13031" max="13069" width="15.6640625" style="173" customWidth="1"/>
    <col min="13070" max="13285" width="10.83203125" style="173"/>
    <col min="13286" max="13286" width="34.1640625" style="173" customWidth="1"/>
    <col min="13287" max="13325" width="15.6640625" style="173" customWidth="1"/>
    <col min="13326" max="13541" width="10.83203125" style="173"/>
    <col min="13542" max="13542" width="34.1640625" style="173" customWidth="1"/>
    <col min="13543" max="13581" width="15.6640625" style="173" customWidth="1"/>
    <col min="13582" max="13797" width="10.83203125" style="173"/>
    <col min="13798" max="13798" width="34.1640625" style="173" customWidth="1"/>
    <col min="13799" max="13837" width="15.6640625" style="173" customWidth="1"/>
    <col min="13838" max="14053" width="10.83203125" style="173"/>
    <col min="14054" max="14054" width="34.1640625" style="173" customWidth="1"/>
    <col min="14055" max="14093" width="15.6640625" style="173" customWidth="1"/>
    <col min="14094" max="14309" width="10.83203125" style="173"/>
    <col min="14310" max="14310" width="34.1640625" style="173" customWidth="1"/>
    <col min="14311" max="14349" width="15.6640625" style="173" customWidth="1"/>
    <col min="14350" max="14565" width="10.83203125" style="173"/>
    <col min="14566" max="14566" width="34.1640625" style="173" customWidth="1"/>
    <col min="14567" max="14605" width="15.6640625" style="173" customWidth="1"/>
    <col min="14606" max="14821" width="10.83203125" style="173"/>
    <col min="14822" max="14822" width="34.1640625" style="173" customWidth="1"/>
    <col min="14823" max="14861" width="15.6640625" style="173" customWidth="1"/>
    <col min="14862" max="15077" width="10.83203125" style="173"/>
    <col min="15078" max="15078" width="34.1640625" style="173" customWidth="1"/>
    <col min="15079" max="15117" width="15.6640625" style="173" customWidth="1"/>
    <col min="15118" max="15333" width="10.83203125" style="173"/>
    <col min="15334" max="15334" width="34.1640625" style="173" customWidth="1"/>
    <col min="15335" max="15373" width="15.6640625" style="173" customWidth="1"/>
    <col min="15374" max="15589" width="10.83203125" style="173"/>
    <col min="15590" max="15590" width="34.1640625" style="173" customWidth="1"/>
    <col min="15591" max="15629" width="15.6640625" style="173" customWidth="1"/>
    <col min="15630" max="15845" width="10.83203125" style="173"/>
    <col min="15846" max="15846" width="34.1640625" style="173" customWidth="1"/>
    <col min="15847" max="15885" width="15.6640625" style="173" customWidth="1"/>
    <col min="15886" max="16101" width="10.83203125" style="173"/>
    <col min="16102" max="16102" width="34.1640625" style="173" customWidth="1"/>
    <col min="16103" max="16141" width="15.6640625" style="173" customWidth="1"/>
    <col min="16142" max="16384" width="10.83203125" style="173"/>
  </cols>
  <sheetData>
    <row r="1" spans="1:20" ht="26" customHeight="1" x14ac:dyDescent="0.35">
      <c r="A1" s="299" t="s">
        <v>382</v>
      </c>
      <c r="B1" s="299"/>
    </row>
    <row r="2" spans="1:20" ht="26" customHeight="1" x14ac:dyDescent="0.35">
      <c r="A2" s="203" t="s">
        <v>383</v>
      </c>
      <c r="B2" s="204"/>
    </row>
    <row r="3" spans="1:20" ht="26" customHeight="1" x14ac:dyDescent="0.35">
      <c r="A3" s="205" t="s">
        <v>412</v>
      </c>
      <c r="B3" s="206" t="s">
        <v>242</v>
      </c>
      <c r="C3" s="174" t="s">
        <v>369</v>
      </c>
      <c r="D3" s="174" t="s">
        <v>356</v>
      </c>
      <c r="E3" s="174" t="s">
        <v>357</v>
      </c>
      <c r="F3" s="174" t="s">
        <v>358</v>
      </c>
      <c r="G3" s="174" t="s">
        <v>359</v>
      </c>
      <c r="H3" s="174" t="s">
        <v>360</v>
      </c>
      <c r="I3" s="174" t="s">
        <v>361</v>
      </c>
      <c r="J3" s="174" t="s">
        <v>362</v>
      </c>
      <c r="K3" s="174" t="s">
        <v>363</v>
      </c>
      <c r="L3" s="174" t="s">
        <v>364</v>
      </c>
      <c r="M3" s="174" t="s">
        <v>365</v>
      </c>
      <c r="N3" s="174" t="s">
        <v>366</v>
      </c>
      <c r="O3" s="174" t="s">
        <v>367</v>
      </c>
      <c r="P3" s="174" t="s">
        <v>368</v>
      </c>
    </row>
    <row r="4" spans="1:20" ht="26" customHeight="1" x14ac:dyDescent="0.35">
      <c r="A4" s="175" t="s">
        <v>24</v>
      </c>
      <c r="B4" s="175" t="s">
        <v>104</v>
      </c>
      <c r="C4" s="175" t="s">
        <v>251</v>
      </c>
      <c r="D4" s="175" t="s">
        <v>339</v>
      </c>
      <c r="E4" s="175" t="s">
        <v>340</v>
      </c>
      <c r="F4" s="175" t="s">
        <v>341</v>
      </c>
      <c r="G4" s="175" t="s">
        <v>330</v>
      </c>
      <c r="H4" s="175" t="s">
        <v>331</v>
      </c>
      <c r="I4" s="175" t="s">
        <v>332</v>
      </c>
      <c r="J4" s="175" t="s">
        <v>333</v>
      </c>
      <c r="K4" s="175" t="s">
        <v>334</v>
      </c>
      <c r="L4" s="175" t="s">
        <v>335</v>
      </c>
      <c r="M4" s="175" t="s">
        <v>336</v>
      </c>
      <c r="N4" s="175" t="s">
        <v>337</v>
      </c>
      <c r="O4" s="175" t="s">
        <v>338</v>
      </c>
      <c r="P4" s="175" t="s">
        <v>339</v>
      </c>
      <c r="Q4" s="167" t="s">
        <v>299</v>
      </c>
    </row>
    <row r="5" spans="1:20" ht="26" customHeight="1" x14ac:dyDescent="0.35">
      <c r="A5" s="176" t="s">
        <v>80</v>
      </c>
      <c r="B5" s="177">
        <f>SUM(C5:P5)</f>
        <v>2633114.88</v>
      </c>
      <c r="C5" s="177">
        <f>'F08 INGRESOS'!M15</f>
        <v>0</v>
      </c>
      <c r="D5" s="177">
        <f>'F08 INGRESOS'!N15</f>
        <v>206127.68</v>
      </c>
      <c r="E5" s="177">
        <f>'F08 INGRESOS'!O15</f>
        <v>186179.84</v>
      </c>
      <c r="F5" s="177">
        <f>'F08 INGRESOS'!P15</f>
        <v>206127.68</v>
      </c>
      <c r="G5" s="177">
        <f>'F08 INGRESOS'!Q15</f>
        <v>199478.39999999999</v>
      </c>
      <c r="H5" s="177">
        <f>'F08 INGRESOS'!R15</f>
        <v>206127.68</v>
      </c>
      <c r="I5" s="177">
        <f>'F08 INGRESOS'!S15</f>
        <v>199478.39999999999</v>
      </c>
      <c r="J5" s="177">
        <f>'F08 INGRESOS'!T15</f>
        <v>206127.68</v>
      </c>
      <c r="K5" s="177">
        <f>'F08 INGRESOS'!U15</f>
        <v>206127.68</v>
      </c>
      <c r="L5" s="177">
        <f>'F08 INGRESOS'!V15</f>
        <v>199478.39999999999</v>
      </c>
      <c r="M5" s="177">
        <f>'F08 INGRESOS'!W15</f>
        <v>206127.68</v>
      </c>
      <c r="N5" s="177">
        <f>'F08 INGRESOS'!X15</f>
        <v>199478.39999999999</v>
      </c>
      <c r="O5" s="177">
        <f>'F08 INGRESOS'!Y15</f>
        <v>206127.68</v>
      </c>
      <c r="P5" s="177">
        <f>'F08 INGRESOS'!Z15</f>
        <v>206127.68</v>
      </c>
      <c r="Q5" s="167">
        <f>COUNTA(E4:P4)</f>
        <v>12</v>
      </c>
      <c r="S5" s="264">
        <f>'F08 INGRESOS'!M17</f>
        <v>2633114.88</v>
      </c>
      <c r="T5" s="263">
        <f>+B5-S5</f>
        <v>0</v>
      </c>
    </row>
    <row r="6" spans="1:20" ht="26" customHeight="1" x14ac:dyDescent="0.35">
      <c r="A6" s="205" t="s">
        <v>412</v>
      </c>
      <c r="B6" s="206" t="s">
        <v>242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20" ht="26" customHeight="1" x14ac:dyDescent="0.35">
      <c r="A7" s="175" t="s">
        <v>24</v>
      </c>
      <c r="B7" s="175" t="s">
        <v>384</v>
      </c>
      <c r="C7" s="175" t="s">
        <v>251</v>
      </c>
      <c r="D7" s="175" t="s">
        <v>370</v>
      </c>
      <c r="E7" s="175" t="s">
        <v>371</v>
      </c>
      <c r="F7" s="175" t="s">
        <v>372</v>
      </c>
      <c r="G7" s="175" t="s">
        <v>373</v>
      </c>
      <c r="H7" s="175" t="s">
        <v>374</v>
      </c>
      <c r="I7" s="175" t="s">
        <v>375</v>
      </c>
      <c r="J7" s="175" t="s">
        <v>376</v>
      </c>
      <c r="K7" s="175" t="s">
        <v>377</v>
      </c>
      <c r="L7" s="175" t="s">
        <v>378</v>
      </c>
      <c r="M7" s="175" t="s">
        <v>379</v>
      </c>
      <c r="N7" s="175" t="s">
        <v>380</v>
      </c>
      <c r="O7" s="175" t="s">
        <v>381</v>
      </c>
      <c r="P7" s="175" t="s">
        <v>370</v>
      </c>
    </row>
    <row r="8" spans="1:20" ht="26" hidden="1" customHeight="1" outlineLevel="1" x14ac:dyDescent="0.35">
      <c r="A8" s="179" t="s">
        <v>99</v>
      </c>
      <c r="B8" s="180">
        <f>SUM(C8:P8)</f>
        <v>31800</v>
      </c>
      <c r="C8" s="180">
        <f>'F00 INVERSIÓN'!L11</f>
        <v>0</v>
      </c>
      <c r="D8" s="180">
        <f>'F00 INVERSIÓN'!M11</f>
        <v>0</v>
      </c>
      <c r="E8" s="180">
        <f>'F00 INVERSIÓN'!N11</f>
        <v>31800</v>
      </c>
      <c r="F8" s="180">
        <f>'F00 INVERSIÓN'!O11</f>
        <v>0</v>
      </c>
      <c r="G8" s="180">
        <f>'F00 INVERSIÓN'!P11</f>
        <v>0</v>
      </c>
      <c r="H8" s="180">
        <f>'F00 INVERSIÓN'!Q11</f>
        <v>0</v>
      </c>
      <c r="I8" s="180">
        <f>'F00 INVERSIÓN'!R11</f>
        <v>0</v>
      </c>
      <c r="J8" s="180">
        <f>'F00 INVERSIÓN'!S11</f>
        <v>0</v>
      </c>
      <c r="K8" s="180">
        <f>'F00 INVERSIÓN'!T11</f>
        <v>0</v>
      </c>
      <c r="L8" s="180">
        <f>'F00 INVERSIÓN'!U11</f>
        <v>0</v>
      </c>
      <c r="M8" s="180">
        <f>'F00 INVERSIÓN'!V11</f>
        <v>0</v>
      </c>
      <c r="N8" s="180">
        <f>'F00 INVERSIÓN'!W11</f>
        <v>0</v>
      </c>
      <c r="O8" s="180">
        <f>'F00 INVERSIÓN'!X11</f>
        <v>0</v>
      </c>
      <c r="P8" s="180">
        <f>'F00 INVERSIÓN'!Y11</f>
        <v>0</v>
      </c>
      <c r="Q8" s="185">
        <f t="shared" ref="Q8:Q12" si="0">B8/$B$166</f>
        <v>2.5042387274226963E-2</v>
      </c>
    </row>
    <row r="9" spans="1:20" ht="26" hidden="1" customHeight="1" outlineLevel="1" x14ac:dyDescent="0.35">
      <c r="A9" s="181" t="s">
        <v>100</v>
      </c>
      <c r="B9" s="182">
        <f>SUM(C9:P9)</f>
        <v>0</v>
      </c>
      <c r="C9" s="182">
        <f>'F00 INVERSIÓN'!L17</f>
        <v>0</v>
      </c>
      <c r="D9" s="182">
        <f>'F00 INVERSIÓN'!M17</f>
        <v>0</v>
      </c>
      <c r="E9" s="182">
        <f>'F00 INVERSIÓN'!N17</f>
        <v>0</v>
      </c>
      <c r="F9" s="182">
        <f>'F00 INVERSIÓN'!O17</f>
        <v>0</v>
      </c>
      <c r="G9" s="182">
        <f>'F00 INVERSIÓN'!P17</f>
        <v>0</v>
      </c>
      <c r="H9" s="182">
        <f>'F00 INVERSIÓN'!Q17</f>
        <v>0</v>
      </c>
      <c r="I9" s="182">
        <f>'F00 INVERSIÓN'!R17</f>
        <v>0</v>
      </c>
      <c r="J9" s="182">
        <f>'F00 INVERSIÓN'!S17</f>
        <v>0</v>
      </c>
      <c r="K9" s="182">
        <f>'F00 INVERSIÓN'!T17</f>
        <v>0</v>
      </c>
      <c r="L9" s="182">
        <f>'F00 INVERSIÓN'!U17</f>
        <v>0</v>
      </c>
      <c r="M9" s="182">
        <f>'F00 INVERSIÓN'!V17</f>
        <v>0</v>
      </c>
      <c r="N9" s="182">
        <f>'F00 INVERSIÓN'!W17</f>
        <v>0</v>
      </c>
      <c r="O9" s="182">
        <f>'F00 INVERSIÓN'!X17</f>
        <v>0</v>
      </c>
      <c r="P9" s="182">
        <f>'F00 INVERSIÓN'!Y17</f>
        <v>0</v>
      </c>
      <c r="Q9" s="185">
        <f t="shared" si="0"/>
        <v>0</v>
      </c>
    </row>
    <row r="10" spans="1:20" ht="26" hidden="1" customHeight="1" outlineLevel="1" x14ac:dyDescent="0.35">
      <c r="A10" s="179" t="s">
        <v>101</v>
      </c>
      <c r="B10" s="180">
        <f>SUM(C10:P10)</f>
        <v>0</v>
      </c>
      <c r="C10" s="180">
        <f>'F00 INVERSIÓN'!L26</f>
        <v>0</v>
      </c>
      <c r="D10" s="180">
        <f>'F00 INVERSIÓN'!M26</f>
        <v>0</v>
      </c>
      <c r="E10" s="180">
        <f>'F00 INVERSIÓN'!N26</f>
        <v>0</v>
      </c>
      <c r="F10" s="180">
        <f>'F00 INVERSIÓN'!O26</f>
        <v>0</v>
      </c>
      <c r="G10" s="180">
        <f>'F00 INVERSIÓN'!P26</f>
        <v>0</v>
      </c>
      <c r="H10" s="180">
        <f>'F00 INVERSIÓN'!Q26</f>
        <v>0</v>
      </c>
      <c r="I10" s="180">
        <f>'F00 INVERSIÓN'!R26</f>
        <v>0</v>
      </c>
      <c r="J10" s="180">
        <f>'F00 INVERSIÓN'!S26</f>
        <v>0</v>
      </c>
      <c r="K10" s="180">
        <f>'F00 INVERSIÓN'!T26</f>
        <v>0</v>
      </c>
      <c r="L10" s="180">
        <f>'F00 INVERSIÓN'!U26</f>
        <v>0</v>
      </c>
      <c r="M10" s="180">
        <f>'F00 INVERSIÓN'!V26</f>
        <v>0</v>
      </c>
      <c r="N10" s="180">
        <f>'F00 INVERSIÓN'!W26</f>
        <v>0</v>
      </c>
      <c r="O10" s="180">
        <f>'F00 INVERSIÓN'!X26</f>
        <v>0</v>
      </c>
      <c r="P10" s="180">
        <f>'F00 INVERSIÓN'!Y26</f>
        <v>0</v>
      </c>
      <c r="Q10" s="185">
        <f t="shared" si="0"/>
        <v>0</v>
      </c>
    </row>
    <row r="11" spans="1:20" ht="26" hidden="1" customHeight="1" outlineLevel="1" x14ac:dyDescent="0.35">
      <c r="A11" s="181" t="s">
        <v>102</v>
      </c>
      <c r="B11" s="182">
        <f>SUM(C11:P11)</f>
        <v>0</v>
      </c>
      <c r="C11" s="182">
        <f>'F00 INVERSIÓN'!L32</f>
        <v>0</v>
      </c>
      <c r="D11" s="182">
        <f>'F00 INVERSIÓN'!M32</f>
        <v>0</v>
      </c>
      <c r="E11" s="182">
        <f>'F00 INVERSIÓN'!N32</f>
        <v>0</v>
      </c>
      <c r="F11" s="182">
        <f>'F00 INVERSIÓN'!O32</f>
        <v>0</v>
      </c>
      <c r="G11" s="182">
        <f>'F00 INVERSIÓN'!P32</f>
        <v>0</v>
      </c>
      <c r="H11" s="182">
        <f>'F00 INVERSIÓN'!Q32</f>
        <v>0</v>
      </c>
      <c r="I11" s="182">
        <f>'F00 INVERSIÓN'!R32</f>
        <v>0</v>
      </c>
      <c r="J11" s="182">
        <f>'F00 INVERSIÓN'!S32</f>
        <v>0</v>
      </c>
      <c r="K11" s="182">
        <f>'F00 INVERSIÓN'!T32</f>
        <v>0</v>
      </c>
      <c r="L11" s="182">
        <f>'F00 INVERSIÓN'!U32</f>
        <v>0</v>
      </c>
      <c r="M11" s="182">
        <f>'F00 INVERSIÓN'!V32</f>
        <v>0</v>
      </c>
      <c r="N11" s="182">
        <f>'F00 INVERSIÓN'!W32</f>
        <v>0</v>
      </c>
      <c r="O11" s="182">
        <f>'F00 INVERSIÓN'!X32</f>
        <v>0</v>
      </c>
      <c r="P11" s="182">
        <f>'F00 INVERSIÓN'!Y32</f>
        <v>0</v>
      </c>
      <c r="Q11" s="185">
        <f t="shared" si="0"/>
        <v>0</v>
      </c>
    </row>
    <row r="12" spans="1:20" ht="26" hidden="1" customHeight="1" outlineLevel="1" x14ac:dyDescent="0.35">
      <c r="A12" s="179" t="s">
        <v>103</v>
      </c>
      <c r="B12" s="180">
        <f>SUM(C12:P12)</f>
        <v>0</v>
      </c>
      <c r="C12" s="180">
        <f>'F00 INVERSIÓN'!L38</f>
        <v>0</v>
      </c>
      <c r="D12" s="180">
        <f>'F00 INVERSIÓN'!M38</f>
        <v>0</v>
      </c>
      <c r="E12" s="180">
        <f>'F00 INVERSIÓN'!N38</f>
        <v>0</v>
      </c>
      <c r="F12" s="180">
        <f>'F00 INVERSIÓN'!O38</f>
        <v>0</v>
      </c>
      <c r="G12" s="180">
        <f>'F00 INVERSIÓN'!P38</f>
        <v>0</v>
      </c>
      <c r="H12" s="180">
        <f>'F00 INVERSIÓN'!Q38</f>
        <v>0</v>
      </c>
      <c r="I12" s="180">
        <f>'F00 INVERSIÓN'!R38</f>
        <v>0</v>
      </c>
      <c r="J12" s="180">
        <f>'F00 INVERSIÓN'!S38</f>
        <v>0</v>
      </c>
      <c r="K12" s="180">
        <f>'F00 INVERSIÓN'!T38</f>
        <v>0</v>
      </c>
      <c r="L12" s="180">
        <f>'F00 INVERSIÓN'!U38</f>
        <v>0</v>
      </c>
      <c r="M12" s="180">
        <f>'F00 INVERSIÓN'!V38</f>
        <v>0</v>
      </c>
      <c r="N12" s="180">
        <f>'F00 INVERSIÓN'!W38</f>
        <v>0</v>
      </c>
      <c r="O12" s="180">
        <f>'F00 INVERSIÓN'!X38</f>
        <v>0</v>
      </c>
      <c r="P12" s="180">
        <f>'F00 INVERSIÓN'!Y38</f>
        <v>0</v>
      </c>
      <c r="Q12" s="185">
        <f t="shared" si="0"/>
        <v>0</v>
      </c>
    </row>
    <row r="13" spans="1:20" s="186" customFormat="1" ht="26" customHeight="1" collapsed="1" x14ac:dyDescent="0.35">
      <c r="A13" s="183" t="s">
        <v>81</v>
      </c>
      <c r="B13" s="184">
        <f>SUM(B8:B12)</f>
        <v>31800</v>
      </c>
      <c r="C13" s="184">
        <f t="shared" ref="C13:P13" si="1">SUM(C8:C12)</f>
        <v>0</v>
      </c>
      <c r="D13" s="184">
        <f t="shared" si="1"/>
        <v>0</v>
      </c>
      <c r="E13" s="184">
        <f t="shared" si="1"/>
        <v>31800</v>
      </c>
      <c r="F13" s="184">
        <f t="shared" si="1"/>
        <v>0</v>
      </c>
      <c r="G13" s="184">
        <f t="shared" si="1"/>
        <v>0</v>
      </c>
      <c r="H13" s="184">
        <f t="shared" si="1"/>
        <v>0</v>
      </c>
      <c r="I13" s="184">
        <f t="shared" si="1"/>
        <v>0</v>
      </c>
      <c r="J13" s="184">
        <f t="shared" si="1"/>
        <v>0</v>
      </c>
      <c r="K13" s="184">
        <f t="shared" si="1"/>
        <v>0</v>
      </c>
      <c r="L13" s="184">
        <f t="shared" si="1"/>
        <v>0</v>
      </c>
      <c r="M13" s="184">
        <f t="shared" si="1"/>
        <v>0</v>
      </c>
      <c r="N13" s="184">
        <f t="shared" si="1"/>
        <v>0</v>
      </c>
      <c r="O13" s="184">
        <f t="shared" si="1"/>
        <v>0</v>
      </c>
      <c r="P13" s="184">
        <f t="shared" si="1"/>
        <v>0</v>
      </c>
      <c r="Q13" s="266">
        <f t="shared" ref="Q13:Q44" si="2">B13/$B$166</f>
        <v>2.5042387274226963E-2</v>
      </c>
      <c r="R13" s="173"/>
      <c r="S13" s="263">
        <f>'F00 INVERSIÓN'!L42</f>
        <v>31800</v>
      </c>
      <c r="T13" s="263">
        <f>+B13-S13</f>
        <v>0</v>
      </c>
    </row>
    <row r="14" spans="1:20" ht="26" hidden="1" customHeight="1" outlineLevel="1" x14ac:dyDescent="0.35">
      <c r="A14" s="179" t="s">
        <v>105</v>
      </c>
      <c r="B14" s="187">
        <f t="shared" ref="B14:B22" si="3">SUM(C14:P14)</f>
        <v>0</v>
      </c>
      <c r="C14" s="187">
        <f>'F02 INMUEBLES Y S'!M7</f>
        <v>0</v>
      </c>
      <c r="D14" s="187">
        <f>'F02 INMUEBLES Y S'!N7</f>
        <v>0</v>
      </c>
      <c r="E14" s="187">
        <f>'F02 INMUEBLES Y S'!O7</f>
        <v>0</v>
      </c>
      <c r="F14" s="187">
        <f>'F02 INMUEBLES Y S'!P7</f>
        <v>0</v>
      </c>
      <c r="G14" s="187">
        <f>'F02 INMUEBLES Y S'!Q7</f>
        <v>0</v>
      </c>
      <c r="H14" s="187">
        <f>'F02 INMUEBLES Y S'!R7</f>
        <v>0</v>
      </c>
      <c r="I14" s="187">
        <f>'F02 INMUEBLES Y S'!S7</f>
        <v>0</v>
      </c>
      <c r="J14" s="187">
        <f>'F02 INMUEBLES Y S'!T7</f>
        <v>0</v>
      </c>
      <c r="K14" s="187">
        <f>'F02 INMUEBLES Y S'!U7</f>
        <v>0</v>
      </c>
      <c r="L14" s="187">
        <f>'F02 INMUEBLES Y S'!V7</f>
        <v>0</v>
      </c>
      <c r="M14" s="187">
        <f>'F02 INMUEBLES Y S'!W7</f>
        <v>0</v>
      </c>
      <c r="N14" s="187">
        <f>'F02 INMUEBLES Y S'!X7</f>
        <v>0</v>
      </c>
      <c r="O14" s="187">
        <f>'F02 INMUEBLES Y S'!Y7</f>
        <v>0</v>
      </c>
      <c r="P14" s="187">
        <f>'F02 INMUEBLES Y S'!Z7</f>
        <v>0</v>
      </c>
      <c r="Q14" s="266">
        <f t="shared" si="2"/>
        <v>0</v>
      </c>
    </row>
    <row r="15" spans="1:20" ht="26" hidden="1" customHeight="1" outlineLevel="1" x14ac:dyDescent="0.35">
      <c r="A15" s="181" t="s">
        <v>106</v>
      </c>
      <c r="B15" s="182">
        <f t="shared" si="3"/>
        <v>0</v>
      </c>
      <c r="C15" s="182">
        <f>'F02 INMUEBLES Y S'!M8</f>
        <v>0</v>
      </c>
      <c r="D15" s="182">
        <f>'F02 INMUEBLES Y S'!N8</f>
        <v>0</v>
      </c>
      <c r="E15" s="182">
        <f>'F02 INMUEBLES Y S'!O8</f>
        <v>0</v>
      </c>
      <c r="F15" s="182">
        <f>'F02 INMUEBLES Y S'!P8</f>
        <v>0</v>
      </c>
      <c r="G15" s="182">
        <f>'F02 INMUEBLES Y S'!Q8</f>
        <v>0</v>
      </c>
      <c r="H15" s="182">
        <f>'F02 INMUEBLES Y S'!R8</f>
        <v>0</v>
      </c>
      <c r="I15" s="182">
        <f>'F02 INMUEBLES Y S'!S8</f>
        <v>0</v>
      </c>
      <c r="J15" s="182">
        <f>'F02 INMUEBLES Y S'!T8</f>
        <v>0</v>
      </c>
      <c r="K15" s="182">
        <f>'F02 INMUEBLES Y S'!U8</f>
        <v>0</v>
      </c>
      <c r="L15" s="182">
        <f>'F02 INMUEBLES Y S'!V8</f>
        <v>0</v>
      </c>
      <c r="M15" s="182">
        <f>'F02 INMUEBLES Y S'!W8</f>
        <v>0</v>
      </c>
      <c r="N15" s="182">
        <f>'F02 INMUEBLES Y S'!X8</f>
        <v>0</v>
      </c>
      <c r="O15" s="182">
        <f>'F02 INMUEBLES Y S'!Y8</f>
        <v>0</v>
      </c>
      <c r="P15" s="182">
        <f>'F02 INMUEBLES Y S'!Z8</f>
        <v>0</v>
      </c>
      <c r="Q15" s="266">
        <f t="shared" si="2"/>
        <v>0</v>
      </c>
    </row>
    <row r="16" spans="1:20" ht="26" hidden="1" customHeight="1" outlineLevel="1" x14ac:dyDescent="0.35">
      <c r="A16" s="179" t="s">
        <v>107</v>
      </c>
      <c r="B16" s="187">
        <f t="shared" si="3"/>
        <v>0</v>
      </c>
      <c r="C16" s="187">
        <f>'F02 INMUEBLES Y S'!M9</f>
        <v>0</v>
      </c>
      <c r="D16" s="187">
        <f>'F02 INMUEBLES Y S'!N9</f>
        <v>0</v>
      </c>
      <c r="E16" s="187">
        <f>'F02 INMUEBLES Y S'!O9</f>
        <v>0</v>
      </c>
      <c r="F16" s="187">
        <f>'F02 INMUEBLES Y S'!P9</f>
        <v>0</v>
      </c>
      <c r="G16" s="187">
        <f>'F02 INMUEBLES Y S'!Q9</f>
        <v>0</v>
      </c>
      <c r="H16" s="187">
        <f>'F02 INMUEBLES Y S'!R9</f>
        <v>0</v>
      </c>
      <c r="I16" s="187">
        <f>'F02 INMUEBLES Y S'!S9</f>
        <v>0</v>
      </c>
      <c r="J16" s="187">
        <f>'F02 INMUEBLES Y S'!T9</f>
        <v>0</v>
      </c>
      <c r="K16" s="187">
        <f>'F02 INMUEBLES Y S'!U9</f>
        <v>0</v>
      </c>
      <c r="L16" s="187">
        <f>'F02 INMUEBLES Y S'!V9</f>
        <v>0</v>
      </c>
      <c r="M16" s="187">
        <f>'F02 INMUEBLES Y S'!W9</f>
        <v>0</v>
      </c>
      <c r="N16" s="187">
        <f>'F02 INMUEBLES Y S'!X9</f>
        <v>0</v>
      </c>
      <c r="O16" s="187">
        <f>'F02 INMUEBLES Y S'!Y9</f>
        <v>0</v>
      </c>
      <c r="P16" s="187">
        <f>'F02 INMUEBLES Y S'!Z9</f>
        <v>0</v>
      </c>
      <c r="Q16" s="266">
        <f t="shared" si="2"/>
        <v>0</v>
      </c>
    </row>
    <row r="17" spans="1:21" ht="26" hidden="1" customHeight="1" outlineLevel="1" x14ac:dyDescent="0.35">
      <c r="A17" s="181" t="s">
        <v>108</v>
      </c>
      <c r="B17" s="182">
        <f t="shared" si="3"/>
        <v>0</v>
      </c>
      <c r="C17" s="182">
        <f>'F02 INMUEBLES Y S'!M10</f>
        <v>0</v>
      </c>
      <c r="D17" s="182">
        <f>'F02 INMUEBLES Y S'!N10</f>
        <v>0</v>
      </c>
      <c r="E17" s="182">
        <f>'F02 INMUEBLES Y S'!O10</f>
        <v>0</v>
      </c>
      <c r="F17" s="182">
        <f>'F02 INMUEBLES Y S'!P10</f>
        <v>0</v>
      </c>
      <c r="G17" s="182">
        <f>'F02 INMUEBLES Y S'!Q10</f>
        <v>0</v>
      </c>
      <c r="H17" s="182">
        <f>'F02 INMUEBLES Y S'!R10</f>
        <v>0</v>
      </c>
      <c r="I17" s="182">
        <f>'F02 INMUEBLES Y S'!S10</f>
        <v>0</v>
      </c>
      <c r="J17" s="182">
        <f>'F02 INMUEBLES Y S'!T10</f>
        <v>0</v>
      </c>
      <c r="K17" s="182">
        <f>'F02 INMUEBLES Y S'!U10</f>
        <v>0</v>
      </c>
      <c r="L17" s="182">
        <f>'F02 INMUEBLES Y S'!V10</f>
        <v>0</v>
      </c>
      <c r="M17" s="182">
        <f>'F02 INMUEBLES Y S'!W10</f>
        <v>0</v>
      </c>
      <c r="N17" s="182">
        <f>'F02 INMUEBLES Y S'!X10</f>
        <v>0</v>
      </c>
      <c r="O17" s="182">
        <f>'F02 INMUEBLES Y S'!Y10</f>
        <v>0</v>
      </c>
      <c r="P17" s="182">
        <f>'F02 INMUEBLES Y S'!Z10</f>
        <v>0</v>
      </c>
      <c r="Q17" s="266">
        <f t="shared" si="2"/>
        <v>0</v>
      </c>
    </row>
    <row r="18" spans="1:21" ht="26" hidden="1" customHeight="1" outlineLevel="1" x14ac:dyDescent="0.35">
      <c r="A18" s="179" t="s">
        <v>109</v>
      </c>
      <c r="B18" s="187">
        <f t="shared" si="3"/>
        <v>0</v>
      </c>
      <c r="C18" s="187">
        <f>'F02 INMUEBLES Y S'!M11</f>
        <v>0</v>
      </c>
      <c r="D18" s="187">
        <f>'F02 INMUEBLES Y S'!N11</f>
        <v>0</v>
      </c>
      <c r="E18" s="187">
        <f>'F02 INMUEBLES Y S'!O11</f>
        <v>0</v>
      </c>
      <c r="F18" s="187">
        <f>'F02 INMUEBLES Y S'!P11</f>
        <v>0</v>
      </c>
      <c r="G18" s="187">
        <f>'F02 INMUEBLES Y S'!Q11</f>
        <v>0</v>
      </c>
      <c r="H18" s="187">
        <f>'F02 INMUEBLES Y S'!R11</f>
        <v>0</v>
      </c>
      <c r="I18" s="187">
        <f>'F02 INMUEBLES Y S'!S11</f>
        <v>0</v>
      </c>
      <c r="J18" s="187">
        <f>'F02 INMUEBLES Y S'!T11</f>
        <v>0</v>
      </c>
      <c r="K18" s="187">
        <f>'F02 INMUEBLES Y S'!U11</f>
        <v>0</v>
      </c>
      <c r="L18" s="187">
        <f>'F02 INMUEBLES Y S'!V11</f>
        <v>0</v>
      </c>
      <c r="M18" s="187">
        <f>'F02 INMUEBLES Y S'!W11</f>
        <v>0</v>
      </c>
      <c r="N18" s="187">
        <f>'F02 INMUEBLES Y S'!X11</f>
        <v>0</v>
      </c>
      <c r="O18" s="187">
        <f>'F02 INMUEBLES Y S'!Y11</f>
        <v>0</v>
      </c>
      <c r="P18" s="187">
        <f>'F02 INMUEBLES Y S'!Z11</f>
        <v>0</v>
      </c>
      <c r="Q18" s="266">
        <f t="shared" si="2"/>
        <v>0</v>
      </c>
    </row>
    <row r="19" spans="1:21" ht="26" hidden="1" customHeight="1" outlineLevel="1" x14ac:dyDescent="0.35">
      <c r="A19" s="181" t="s">
        <v>110</v>
      </c>
      <c r="B19" s="182">
        <f t="shared" si="3"/>
        <v>0</v>
      </c>
      <c r="C19" s="182">
        <f>'F02 INMUEBLES Y S'!M12</f>
        <v>0</v>
      </c>
      <c r="D19" s="182">
        <f>'F02 INMUEBLES Y S'!N12</f>
        <v>0</v>
      </c>
      <c r="E19" s="182">
        <f>'F02 INMUEBLES Y S'!O12</f>
        <v>0</v>
      </c>
      <c r="F19" s="182">
        <f>'F02 INMUEBLES Y S'!P12</f>
        <v>0</v>
      </c>
      <c r="G19" s="182">
        <f>'F02 INMUEBLES Y S'!Q12</f>
        <v>0</v>
      </c>
      <c r="H19" s="182">
        <f>'F02 INMUEBLES Y S'!R12</f>
        <v>0</v>
      </c>
      <c r="I19" s="182">
        <f>'F02 INMUEBLES Y S'!S12</f>
        <v>0</v>
      </c>
      <c r="J19" s="182">
        <f>'F02 INMUEBLES Y S'!T12</f>
        <v>0</v>
      </c>
      <c r="K19" s="182">
        <f>'F02 INMUEBLES Y S'!U12</f>
        <v>0</v>
      </c>
      <c r="L19" s="182">
        <f>'F02 INMUEBLES Y S'!V12</f>
        <v>0</v>
      </c>
      <c r="M19" s="182">
        <f>'F02 INMUEBLES Y S'!W12</f>
        <v>0</v>
      </c>
      <c r="N19" s="182">
        <f>'F02 INMUEBLES Y S'!X12</f>
        <v>0</v>
      </c>
      <c r="O19" s="182">
        <f>'F02 INMUEBLES Y S'!Y12</f>
        <v>0</v>
      </c>
      <c r="P19" s="182">
        <f>'F02 INMUEBLES Y S'!Z12</f>
        <v>0</v>
      </c>
      <c r="Q19" s="266">
        <f t="shared" si="2"/>
        <v>0</v>
      </c>
    </row>
    <row r="20" spans="1:21" ht="26" hidden="1" customHeight="1" outlineLevel="1" x14ac:dyDescent="0.35">
      <c r="A20" s="179" t="s">
        <v>111</v>
      </c>
      <c r="B20" s="187">
        <f t="shared" si="3"/>
        <v>0</v>
      </c>
      <c r="C20" s="187">
        <f>'F02 INMUEBLES Y S'!M13</f>
        <v>0</v>
      </c>
      <c r="D20" s="187">
        <f>'F02 INMUEBLES Y S'!N13</f>
        <v>0</v>
      </c>
      <c r="E20" s="187">
        <f>'F02 INMUEBLES Y S'!O13</f>
        <v>0</v>
      </c>
      <c r="F20" s="187">
        <f>'F02 INMUEBLES Y S'!P13</f>
        <v>0</v>
      </c>
      <c r="G20" s="187">
        <f>'F02 INMUEBLES Y S'!Q13</f>
        <v>0</v>
      </c>
      <c r="H20" s="187">
        <f>'F02 INMUEBLES Y S'!R13</f>
        <v>0</v>
      </c>
      <c r="I20" s="187">
        <f>'F02 INMUEBLES Y S'!S13</f>
        <v>0</v>
      </c>
      <c r="J20" s="187">
        <f>'F02 INMUEBLES Y S'!T13</f>
        <v>0</v>
      </c>
      <c r="K20" s="187">
        <f>'F02 INMUEBLES Y S'!U13</f>
        <v>0</v>
      </c>
      <c r="L20" s="187">
        <f>'F02 INMUEBLES Y S'!V13</f>
        <v>0</v>
      </c>
      <c r="M20" s="187">
        <f>'F02 INMUEBLES Y S'!W13</f>
        <v>0</v>
      </c>
      <c r="N20" s="187">
        <f>'F02 INMUEBLES Y S'!X13</f>
        <v>0</v>
      </c>
      <c r="O20" s="187">
        <f>'F02 INMUEBLES Y S'!Y13</f>
        <v>0</v>
      </c>
      <c r="P20" s="187">
        <f>'F02 INMUEBLES Y S'!Z13</f>
        <v>0</v>
      </c>
      <c r="Q20" s="266">
        <f t="shared" si="2"/>
        <v>0</v>
      </c>
    </row>
    <row r="21" spans="1:21" ht="26" hidden="1" customHeight="1" outlineLevel="1" x14ac:dyDescent="0.35">
      <c r="A21" s="181" t="s">
        <v>112</v>
      </c>
      <c r="B21" s="182">
        <f t="shared" si="3"/>
        <v>11310</v>
      </c>
      <c r="C21" s="182">
        <f>'F02 INMUEBLES Y S'!M14</f>
        <v>0</v>
      </c>
      <c r="D21" s="182">
        <f>'F02 INMUEBLES Y S'!N14</f>
        <v>870</v>
      </c>
      <c r="E21" s="182">
        <f>'F02 INMUEBLES Y S'!O14</f>
        <v>870</v>
      </c>
      <c r="F21" s="182">
        <f>'F02 INMUEBLES Y S'!P14</f>
        <v>870</v>
      </c>
      <c r="G21" s="182">
        <f>'F02 INMUEBLES Y S'!Q14</f>
        <v>870</v>
      </c>
      <c r="H21" s="182">
        <f>'F02 INMUEBLES Y S'!R14</f>
        <v>870</v>
      </c>
      <c r="I21" s="182">
        <f>'F02 INMUEBLES Y S'!S14</f>
        <v>870</v>
      </c>
      <c r="J21" s="182">
        <f>'F02 INMUEBLES Y S'!T14</f>
        <v>870</v>
      </c>
      <c r="K21" s="182">
        <f>'F02 INMUEBLES Y S'!U14</f>
        <v>870</v>
      </c>
      <c r="L21" s="182">
        <f>'F02 INMUEBLES Y S'!V14</f>
        <v>870</v>
      </c>
      <c r="M21" s="182">
        <f>'F02 INMUEBLES Y S'!W14</f>
        <v>870</v>
      </c>
      <c r="N21" s="182">
        <f>'F02 INMUEBLES Y S'!X14</f>
        <v>870</v>
      </c>
      <c r="O21" s="182">
        <f>'F02 INMUEBLES Y S'!Y14</f>
        <v>870</v>
      </c>
      <c r="P21" s="182">
        <f>'F02 INMUEBLES Y S'!Z14</f>
        <v>870</v>
      </c>
      <c r="Q21" s="266">
        <f t="shared" si="2"/>
        <v>8.9065849079090244E-3</v>
      </c>
    </row>
    <row r="22" spans="1:21" ht="26" hidden="1" customHeight="1" outlineLevel="1" x14ac:dyDescent="0.35">
      <c r="A22" s="179" t="s">
        <v>113</v>
      </c>
      <c r="B22" s="187">
        <f t="shared" si="3"/>
        <v>14950</v>
      </c>
      <c r="C22" s="187">
        <f>'F02 INMUEBLES Y S'!M15</f>
        <v>0</v>
      </c>
      <c r="D22" s="187">
        <f>'F02 INMUEBLES Y S'!N15</f>
        <v>1150</v>
      </c>
      <c r="E22" s="187">
        <f>'F02 INMUEBLES Y S'!O15</f>
        <v>1150</v>
      </c>
      <c r="F22" s="187">
        <f>'F02 INMUEBLES Y S'!P15</f>
        <v>1150</v>
      </c>
      <c r="G22" s="187">
        <f>'F02 INMUEBLES Y S'!Q15</f>
        <v>1150</v>
      </c>
      <c r="H22" s="187">
        <f>'F02 INMUEBLES Y S'!R15</f>
        <v>1150</v>
      </c>
      <c r="I22" s="187">
        <f>'F02 INMUEBLES Y S'!S15</f>
        <v>1150</v>
      </c>
      <c r="J22" s="187">
        <f>'F02 INMUEBLES Y S'!T15</f>
        <v>1150</v>
      </c>
      <c r="K22" s="187">
        <f>'F02 INMUEBLES Y S'!U15</f>
        <v>1150</v>
      </c>
      <c r="L22" s="187">
        <f>'F02 INMUEBLES Y S'!V15</f>
        <v>1150</v>
      </c>
      <c r="M22" s="187">
        <f>'F02 INMUEBLES Y S'!W15</f>
        <v>1150</v>
      </c>
      <c r="N22" s="187">
        <f>'F02 INMUEBLES Y S'!X15</f>
        <v>1150</v>
      </c>
      <c r="O22" s="187">
        <f>'F02 INMUEBLES Y S'!Y15</f>
        <v>1150</v>
      </c>
      <c r="P22" s="187">
        <f>'F02 INMUEBLES Y S'!Z15</f>
        <v>1150</v>
      </c>
      <c r="Q22" s="266">
        <f t="shared" si="2"/>
        <v>1.1773072004707331E-2</v>
      </c>
    </row>
    <row r="23" spans="1:21" s="186" customFormat="1" ht="26" customHeight="1" collapsed="1" x14ac:dyDescent="0.35">
      <c r="A23" s="188" t="s">
        <v>82</v>
      </c>
      <c r="B23" s="189">
        <f>SUM(B14:B22)</f>
        <v>26260</v>
      </c>
      <c r="C23" s="190">
        <f t="shared" ref="C23:P23" si="4">SUM(C14:C22)</f>
        <v>0</v>
      </c>
      <c r="D23" s="190">
        <f t="shared" si="4"/>
        <v>2020</v>
      </c>
      <c r="E23" s="190">
        <f t="shared" si="4"/>
        <v>2020</v>
      </c>
      <c r="F23" s="190">
        <f t="shared" si="4"/>
        <v>2020</v>
      </c>
      <c r="G23" s="190">
        <f t="shared" si="4"/>
        <v>2020</v>
      </c>
      <c r="H23" s="190">
        <f t="shared" si="4"/>
        <v>2020</v>
      </c>
      <c r="I23" s="190">
        <f t="shared" si="4"/>
        <v>2020</v>
      </c>
      <c r="J23" s="190">
        <f t="shared" si="4"/>
        <v>2020</v>
      </c>
      <c r="K23" s="190">
        <f t="shared" si="4"/>
        <v>2020</v>
      </c>
      <c r="L23" s="190">
        <f t="shared" si="4"/>
        <v>2020</v>
      </c>
      <c r="M23" s="190">
        <f t="shared" si="4"/>
        <v>2020</v>
      </c>
      <c r="N23" s="190">
        <f t="shared" si="4"/>
        <v>2020</v>
      </c>
      <c r="O23" s="190">
        <f t="shared" si="4"/>
        <v>2020</v>
      </c>
      <c r="P23" s="190">
        <f t="shared" si="4"/>
        <v>2020</v>
      </c>
      <c r="Q23" s="266">
        <f t="shared" si="2"/>
        <v>2.0679656912616355E-2</v>
      </c>
      <c r="R23" s="173"/>
      <c r="S23" s="263">
        <f>'F02 INMUEBLES Y S'!M21</f>
        <v>26260</v>
      </c>
      <c r="T23" s="263">
        <f>+B23-S23</f>
        <v>0</v>
      </c>
    </row>
    <row r="24" spans="1:21" ht="26" hidden="1" customHeight="1" outlineLevel="1" x14ac:dyDescent="0.35">
      <c r="A24" s="179" t="s">
        <v>114</v>
      </c>
      <c r="B24" s="187">
        <f>SUM(C24:P24)</f>
        <v>5265</v>
      </c>
      <c r="C24" s="180">
        <f>'F01 EPP'!M19</f>
        <v>0</v>
      </c>
      <c r="D24" s="180">
        <f>'F01 EPP'!N19</f>
        <v>405</v>
      </c>
      <c r="E24" s="180">
        <f>'F01 EPP'!O19</f>
        <v>405</v>
      </c>
      <c r="F24" s="180">
        <f>'F01 EPP'!P19</f>
        <v>405</v>
      </c>
      <c r="G24" s="180">
        <f>'F01 EPP'!Q19</f>
        <v>405</v>
      </c>
      <c r="H24" s="180">
        <f>'F01 EPP'!R19</f>
        <v>405</v>
      </c>
      <c r="I24" s="180">
        <f>'F01 EPP'!S19</f>
        <v>405</v>
      </c>
      <c r="J24" s="180">
        <f>'F01 EPP'!T19</f>
        <v>405</v>
      </c>
      <c r="K24" s="180">
        <f>'F01 EPP'!U19</f>
        <v>405</v>
      </c>
      <c r="L24" s="180">
        <f>'F01 EPP'!V19</f>
        <v>405</v>
      </c>
      <c r="M24" s="180">
        <f>'F01 EPP'!W19</f>
        <v>405</v>
      </c>
      <c r="N24" s="180">
        <f>'F01 EPP'!X19</f>
        <v>405</v>
      </c>
      <c r="O24" s="180">
        <f>'F01 EPP'!Y19</f>
        <v>405</v>
      </c>
      <c r="P24" s="180">
        <f>'F01 EPP'!Z19</f>
        <v>405</v>
      </c>
      <c r="Q24" s="266">
        <f t="shared" si="2"/>
        <v>4.1461688364404078E-3</v>
      </c>
    </row>
    <row r="25" spans="1:21" ht="26" customHeight="1" collapsed="1" x14ac:dyDescent="0.35">
      <c r="A25" s="188" t="s">
        <v>83</v>
      </c>
      <c r="B25" s="189">
        <f>B24</f>
        <v>5265</v>
      </c>
      <c r="C25" s="190">
        <f t="shared" ref="C25:P25" si="5">C24</f>
        <v>0</v>
      </c>
      <c r="D25" s="190">
        <f t="shared" si="5"/>
        <v>405</v>
      </c>
      <c r="E25" s="190">
        <f t="shared" si="5"/>
        <v>405</v>
      </c>
      <c r="F25" s="190">
        <f t="shared" si="5"/>
        <v>405</v>
      </c>
      <c r="G25" s="190">
        <f t="shared" si="5"/>
        <v>405</v>
      </c>
      <c r="H25" s="190">
        <f t="shared" si="5"/>
        <v>405</v>
      </c>
      <c r="I25" s="190">
        <f t="shared" si="5"/>
        <v>405</v>
      </c>
      <c r="J25" s="190">
        <f t="shared" si="5"/>
        <v>405</v>
      </c>
      <c r="K25" s="190">
        <f t="shared" si="5"/>
        <v>405</v>
      </c>
      <c r="L25" s="190">
        <f t="shared" si="5"/>
        <v>405</v>
      </c>
      <c r="M25" s="190">
        <f t="shared" si="5"/>
        <v>405</v>
      </c>
      <c r="N25" s="190">
        <f t="shared" si="5"/>
        <v>405</v>
      </c>
      <c r="O25" s="190">
        <f t="shared" si="5"/>
        <v>405</v>
      </c>
      <c r="P25" s="190">
        <f t="shared" si="5"/>
        <v>405</v>
      </c>
      <c r="Q25" s="266">
        <f t="shared" si="2"/>
        <v>4.1461688364404078E-3</v>
      </c>
      <c r="S25" s="263">
        <f>'F01 EPP'!M21</f>
        <v>5265</v>
      </c>
      <c r="T25" s="263">
        <f>+B25-S25</f>
        <v>0</v>
      </c>
    </row>
    <row r="26" spans="1:21" ht="26" hidden="1" customHeight="1" outlineLevel="1" x14ac:dyDescent="0.35">
      <c r="A26" s="179" t="s">
        <v>115</v>
      </c>
      <c r="B26" s="187">
        <f>SUM(C26:P26)</f>
        <v>0</v>
      </c>
      <c r="C26" s="187">
        <f>'F03 COM Y EQ COM'!L47</f>
        <v>0</v>
      </c>
      <c r="D26" s="187">
        <f>'F03 COM Y EQ COM'!M47</f>
        <v>0</v>
      </c>
      <c r="E26" s="187">
        <f>'F03 COM Y EQ COM'!N47</f>
        <v>0</v>
      </c>
      <c r="F26" s="187">
        <f>'F03 COM Y EQ COM'!O47</f>
        <v>0</v>
      </c>
      <c r="G26" s="187">
        <f>'F03 COM Y EQ COM'!P47</f>
        <v>0</v>
      </c>
      <c r="H26" s="187">
        <f>'F03 COM Y EQ COM'!Q47</f>
        <v>0</v>
      </c>
      <c r="I26" s="187">
        <f>'F03 COM Y EQ COM'!R47</f>
        <v>0</v>
      </c>
      <c r="J26" s="187">
        <f>'F03 COM Y EQ COM'!S47</f>
        <v>0</v>
      </c>
      <c r="K26" s="187">
        <f>'F03 COM Y EQ COM'!T47</f>
        <v>0</v>
      </c>
      <c r="L26" s="187">
        <f>'F03 COM Y EQ COM'!U47</f>
        <v>0</v>
      </c>
      <c r="M26" s="187">
        <f>'F03 COM Y EQ COM'!V47</f>
        <v>0</v>
      </c>
      <c r="N26" s="187">
        <f>'F03 COM Y EQ COM'!W47</f>
        <v>0</v>
      </c>
      <c r="O26" s="187">
        <f>'F03 COM Y EQ COM'!X47</f>
        <v>0</v>
      </c>
      <c r="P26" s="187">
        <f>'F03 COM Y EQ COM'!Y47</f>
        <v>0</v>
      </c>
      <c r="Q26" s="266">
        <f t="shared" si="2"/>
        <v>0</v>
      </c>
    </row>
    <row r="27" spans="1:21" ht="26" hidden="1" customHeight="1" outlineLevel="1" x14ac:dyDescent="0.35">
      <c r="A27" s="181" t="s">
        <v>116</v>
      </c>
      <c r="B27" s="182">
        <f>SUM(C27:P27)</f>
        <v>0</v>
      </c>
      <c r="C27" s="182">
        <f>'F03 COM Y EQ COM'!L48</f>
        <v>0</v>
      </c>
      <c r="D27" s="182">
        <f>'F03 COM Y EQ COM'!M48</f>
        <v>0</v>
      </c>
      <c r="E27" s="182">
        <f>'F03 COM Y EQ COM'!N48</f>
        <v>0</v>
      </c>
      <c r="F27" s="182">
        <f>'F03 COM Y EQ COM'!O48</f>
        <v>0</v>
      </c>
      <c r="G27" s="182">
        <f>'F03 COM Y EQ COM'!P48</f>
        <v>0</v>
      </c>
      <c r="H27" s="182">
        <f>'F03 COM Y EQ COM'!Q48</f>
        <v>0</v>
      </c>
      <c r="I27" s="182">
        <f>'F03 COM Y EQ COM'!R48</f>
        <v>0</v>
      </c>
      <c r="J27" s="182">
        <f>'F03 COM Y EQ COM'!S48</f>
        <v>0</v>
      </c>
      <c r="K27" s="182">
        <f>'F03 COM Y EQ COM'!T48</f>
        <v>0</v>
      </c>
      <c r="L27" s="182">
        <f>'F03 COM Y EQ COM'!U48</f>
        <v>0</v>
      </c>
      <c r="M27" s="182">
        <f>'F03 COM Y EQ COM'!V48</f>
        <v>0</v>
      </c>
      <c r="N27" s="182">
        <f>'F03 COM Y EQ COM'!W48</f>
        <v>0</v>
      </c>
      <c r="O27" s="182">
        <f>'F03 COM Y EQ COM'!X48</f>
        <v>0</v>
      </c>
      <c r="P27" s="182">
        <f>'F03 COM Y EQ COM'!Y48</f>
        <v>0</v>
      </c>
      <c r="Q27" s="266">
        <f t="shared" si="2"/>
        <v>0</v>
      </c>
    </row>
    <row r="28" spans="1:21" s="186" customFormat="1" ht="26" customHeight="1" collapsed="1" x14ac:dyDescent="0.35">
      <c r="A28" s="188" t="s">
        <v>10</v>
      </c>
      <c r="B28" s="189">
        <f>SUM(B26:B27)</f>
        <v>0</v>
      </c>
      <c r="C28" s="190">
        <f t="shared" ref="C28:P28" si="6">SUM(C26:C27)</f>
        <v>0</v>
      </c>
      <c r="D28" s="190">
        <f t="shared" si="6"/>
        <v>0</v>
      </c>
      <c r="E28" s="190">
        <f t="shared" si="6"/>
        <v>0</v>
      </c>
      <c r="F28" s="190">
        <f t="shared" si="6"/>
        <v>0</v>
      </c>
      <c r="G28" s="190">
        <f t="shared" si="6"/>
        <v>0</v>
      </c>
      <c r="H28" s="190">
        <f t="shared" si="6"/>
        <v>0</v>
      </c>
      <c r="I28" s="190">
        <f t="shared" si="6"/>
        <v>0</v>
      </c>
      <c r="J28" s="190">
        <f t="shared" si="6"/>
        <v>0</v>
      </c>
      <c r="K28" s="190">
        <f t="shared" si="6"/>
        <v>0</v>
      </c>
      <c r="L28" s="190">
        <f t="shared" si="6"/>
        <v>0</v>
      </c>
      <c r="M28" s="190">
        <f t="shared" si="6"/>
        <v>0</v>
      </c>
      <c r="N28" s="190">
        <f t="shared" si="6"/>
        <v>0</v>
      </c>
      <c r="O28" s="190">
        <f t="shared" si="6"/>
        <v>0</v>
      </c>
      <c r="P28" s="190">
        <f t="shared" si="6"/>
        <v>0</v>
      </c>
      <c r="Q28" s="266">
        <f t="shared" si="2"/>
        <v>0</v>
      </c>
      <c r="R28" s="173"/>
      <c r="S28" s="263">
        <f>'F03 COM Y EQ COM'!L52</f>
        <v>0</v>
      </c>
      <c r="T28" s="263">
        <f>+B28-S28</f>
        <v>0</v>
      </c>
    </row>
    <row r="29" spans="1:21" ht="26" hidden="1" customHeight="1" outlineLevel="1" x14ac:dyDescent="0.35">
      <c r="A29" s="179" t="s">
        <v>385</v>
      </c>
      <c r="B29" s="187">
        <f>SUM(C29:P29)</f>
        <v>1072.5</v>
      </c>
      <c r="C29" s="180">
        <f>'F07 OPERAC. (MAT,SERV &amp; EQUIPO)'!L21</f>
        <v>0</v>
      </c>
      <c r="D29" s="180">
        <f>'F07 OPERAC. (MAT,SERV &amp; EQUIPO)'!M21</f>
        <v>82.5</v>
      </c>
      <c r="E29" s="180">
        <f>'F07 OPERAC. (MAT,SERV &amp; EQUIPO)'!N21</f>
        <v>82.5</v>
      </c>
      <c r="F29" s="180">
        <f>'F07 OPERAC. (MAT,SERV &amp; EQUIPO)'!O21</f>
        <v>82.5</v>
      </c>
      <c r="G29" s="180">
        <f>'F07 OPERAC. (MAT,SERV &amp; EQUIPO)'!P21</f>
        <v>82.5</v>
      </c>
      <c r="H29" s="180">
        <f>'F07 OPERAC. (MAT,SERV &amp; EQUIPO)'!Q21</f>
        <v>82.5</v>
      </c>
      <c r="I29" s="180">
        <f>'F07 OPERAC. (MAT,SERV &amp; EQUIPO)'!R21</f>
        <v>82.5</v>
      </c>
      <c r="J29" s="180">
        <f>'F07 OPERAC. (MAT,SERV &amp; EQUIPO)'!S21</f>
        <v>82.5</v>
      </c>
      <c r="K29" s="180">
        <f>'F07 OPERAC. (MAT,SERV &amp; EQUIPO)'!T21</f>
        <v>82.5</v>
      </c>
      <c r="L29" s="180">
        <f>'F07 OPERAC. (MAT,SERV &amp; EQUIPO)'!U21</f>
        <v>82.5</v>
      </c>
      <c r="M29" s="180">
        <f>'F07 OPERAC. (MAT,SERV &amp; EQUIPO)'!V21</f>
        <v>82.5</v>
      </c>
      <c r="N29" s="180">
        <f>'F07 OPERAC. (MAT,SERV &amp; EQUIPO)'!W21</f>
        <v>82.5</v>
      </c>
      <c r="O29" s="180">
        <f>'F07 OPERAC. (MAT,SERV &amp; EQUIPO)'!X21</f>
        <v>82.5</v>
      </c>
      <c r="P29" s="180">
        <f>'F07 OPERAC. (MAT,SERV &amp; EQUIPO)'!Y21</f>
        <v>82.5</v>
      </c>
      <c r="Q29" s="266">
        <f t="shared" si="2"/>
        <v>8.4458994816378672E-4</v>
      </c>
    </row>
    <row r="30" spans="1:21" s="186" customFormat="1" ht="26" customHeight="1" collapsed="1" x14ac:dyDescent="0.35">
      <c r="A30" s="188" t="s">
        <v>84</v>
      </c>
      <c r="B30" s="189">
        <f>B29</f>
        <v>1072.5</v>
      </c>
      <c r="C30" s="190">
        <f>C29</f>
        <v>0</v>
      </c>
      <c r="D30" s="190">
        <f t="shared" ref="D30:P32" si="7">D29</f>
        <v>82.5</v>
      </c>
      <c r="E30" s="190">
        <f t="shared" si="7"/>
        <v>82.5</v>
      </c>
      <c r="F30" s="190">
        <f t="shared" si="7"/>
        <v>82.5</v>
      </c>
      <c r="G30" s="190">
        <f t="shared" si="7"/>
        <v>82.5</v>
      </c>
      <c r="H30" s="190">
        <f t="shared" si="7"/>
        <v>82.5</v>
      </c>
      <c r="I30" s="190">
        <f t="shared" si="7"/>
        <v>82.5</v>
      </c>
      <c r="J30" s="190">
        <f t="shared" si="7"/>
        <v>82.5</v>
      </c>
      <c r="K30" s="190">
        <f t="shared" si="7"/>
        <v>82.5</v>
      </c>
      <c r="L30" s="190">
        <f t="shared" si="7"/>
        <v>82.5</v>
      </c>
      <c r="M30" s="190">
        <f t="shared" si="7"/>
        <v>82.5</v>
      </c>
      <c r="N30" s="190">
        <f t="shared" si="7"/>
        <v>82.5</v>
      </c>
      <c r="O30" s="190">
        <f t="shared" si="7"/>
        <v>82.5</v>
      </c>
      <c r="P30" s="190">
        <f t="shared" si="7"/>
        <v>82.5</v>
      </c>
      <c r="Q30" s="266">
        <f t="shared" si="2"/>
        <v>8.4458994816378672E-4</v>
      </c>
      <c r="R30" s="173"/>
      <c r="S30" s="263">
        <f>'F07 OPERAC. (MAT,SERV &amp; EQUIPO)'!L23</f>
        <v>1072.5</v>
      </c>
      <c r="T30" s="263">
        <f>+B30-S30</f>
        <v>0</v>
      </c>
      <c r="U30" s="191"/>
    </row>
    <row r="31" spans="1:21" s="186" customFormat="1" ht="26" hidden="1" customHeight="1" outlineLevel="1" x14ac:dyDescent="0.35">
      <c r="A31" s="179" t="s">
        <v>85</v>
      </c>
      <c r="B31" s="187">
        <f>SUM(C31:P31)</f>
        <v>750.24950000000001</v>
      </c>
      <c r="C31" s="180">
        <f>'F07 OPERAC. (MAT,SERV &amp; EQUIPO)'!L43</f>
        <v>0</v>
      </c>
      <c r="D31" s="180">
        <f>'F07 OPERAC. (MAT,SERV &amp; EQUIPO)'!M43</f>
        <v>57.711500000000001</v>
      </c>
      <c r="E31" s="180">
        <f>'F07 OPERAC. (MAT,SERV &amp; EQUIPO)'!N43</f>
        <v>57.711500000000001</v>
      </c>
      <c r="F31" s="180">
        <f>'F07 OPERAC. (MAT,SERV &amp; EQUIPO)'!O43</f>
        <v>57.711500000000001</v>
      </c>
      <c r="G31" s="180">
        <f>'F07 OPERAC. (MAT,SERV &amp; EQUIPO)'!P43</f>
        <v>57.711500000000001</v>
      </c>
      <c r="H31" s="180">
        <f>'F07 OPERAC. (MAT,SERV &amp; EQUIPO)'!Q43</f>
        <v>57.711500000000001</v>
      </c>
      <c r="I31" s="180">
        <f>'F07 OPERAC. (MAT,SERV &amp; EQUIPO)'!R43</f>
        <v>57.711500000000001</v>
      </c>
      <c r="J31" s="180">
        <f>'F07 OPERAC. (MAT,SERV &amp; EQUIPO)'!S43</f>
        <v>57.711500000000001</v>
      </c>
      <c r="K31" s="180">
        <f>'F07 OPERAC. (MAT,SERV &amp; EQUIPO)'!T43</f>
        <v>57.711500000000001</v>
      </c>
      <c r="L31" s="180">
        <f>'F07 OPERAC. (MAT,SERV &amp; EQUIPO)'!U43</f>
        <v>57.711500000000001</v>
      </c>
      <c r="M31" s="180">
        <f>'F07 OPERAC. (MAT,SERV &amp; EQUIPO)'!V43</f>
        <v>57.711500000000001</v>
      </c>
      <c r="N31" s="180">
        <f>'F07 OPERAC. (MAT,SERV &amp; EQUIPO)'!W43</f>
        <v>57.711500000000001</v>
      </c>
      <c r="O31" s="180">
        <f>'F07 OPERAC. (MAT,SERV &amp; EQUIPO)'!X43</f>
        <v>57.711500000000001</v>
      </c>
      <c r="P31" s="180">
        <f>'F07 OPERAC. (MAT,SERV &amp; EQUIPO)'!Y43</f>
        <v>57.711500000000001</v>
      </c>
      <c r="Q31" s="266">
        <f t="shared" si="2"/>
        <v>5.9081882173884093E-4</v>
      </c>
      <c r="R31" s="173"/>
      <c r="S31" s="173"/>
      <c r="T31" s="173"/>
      <c r="U31" s="191"/>
    </row>
    <row r="32" spans="1:21" s="186" customFormat="1" ht="26" customHeight="1" collapsed="1" x14ac:dyDescent="0.35">
      <c r="A32" s="188" t="s">
        <v>85</v>
      </c>
      <c r="B32" s="189">
        <f>B31</f>
        <v>750.24950000000001</v>
      </c>
      <c r="C32" s="190">
        <f>C31</f>
        <v>0</v>
      </c>
      <c r="D32" s="190">
        <f t="shared" si="7"/>
        <v>57.711500000000001</v>
      </c>
      <c r="E32" s="190">
        <f t="shared" si="7"/>
        <v>57.711500000000001</v>
      </c>
      <c r="F32" s="190">
        <f t="shared" si="7"/>
        <v>57.711500000000001</v>
      </c>
      <c r="G32" s="190">
        <f t="shared" si="7"/>
        <v>57.711500000000001</v>
      </c>
      <c r="H32" s="190">
        <f t="shared" si="7"/>
        <v>57.711500000000001</v>
      </c>
      <c r="I32" s="190">
        <f t="shared" si="7"/>
        <v>57.711500000000001</v>
      </c>
      <c r="J32" s="190">
        <f t="shared" si="7"/>
        <v>57.711500000000001</v>
      </c>
      <c r="K32" s="190">
        <f t="shared" si="7"/>
        <v>57.711500000000001</v>
      </c>
      <c r="L32" s="190">
        <f t="shared" si="7"/>
        <v>57.711500000000001</v>
      </c>
      <c r="M32" s="190">
        <f t="shared" si="7"/>
        <v>57.711500000000001</v>
      </c>
      <c r="N32" s="190">
        <f t="shared" si="7"/>
        <v>57.711500000000001</v>
      </c>
      <c r="O32" s="190">
        <f t="shared" si="7"/>
        <v>57.711500000000001</v>
      </c>
      <c r="P32" s="190">
        <f t="shared" si="7"/>
        <v>57.711500000000001</v>
      </c>
      <c r="Q32" s="266">
        <f t="shared" si="2"/>
        <v>5.9081882173884093E-4</v>
      </c>
      <c r="R32" s="173"/>
      <c r="S32" s="263">
        <f>'F07 OPERAC. (MAT,SERV &amp; EQUIPO)'!L45</f>
        <v>750.24950000000001</v>
      </c>
      <c r="T32" s="263">
        <f>+B32-S32</f>
        <v>0</v>
      </c>
    </row>
    <row r="33" spans="1:20" ht="26" hidden="1" customHeight="1" outlineLevel="1" x14ac:dyDescent="0.35">
      <c r="A33" s="179" t="s">
        <v>118</v>
      </c>
      <c r="B33" s="187">
        <f>SUM(C33:P33)</f>
        <v>325</v>
      </c>
      <c r="C33" s="187">
        <f>'F07 OPERAC. (MAT,SERV &amp; EQUIPO)'!L125</f>
        <v>0</v>
      </c>
      <c r="D33" s="187">
        <f>'F07 OPERAC. (MAT,SERV &amp; EQUIPO)'!M125</f>
        <v>25</v>
      </c>
      <c r="E33" s="187">
        <f>'F07 OPERAC. (MAT,SERV &amp; EQUIPO)'!N125</f>
        <v>25</v>
      </c>
      <c r="F33" s="187">
        <f>'F07 OPERAC. (MAT,SERV &amp; EQUIPO)'!O125</f>
        <v>25</v>
      </c>
      <c r="G33" s="187">
        <f>'F07 OPERAC. (MAT,SERV &amp; EQUIPO)'!P125</f>
        <v>25</v>
      </c>
      <c r="H33" s="187">
        <f>'F07 OPERAC. (MAT,SERV &amp; EQUIPO)'!Q125</f>
        <v>25</v>
      </c>
      <c r="I33" s="187">
        <f>'F07 OPERAC. (MAT,SERV &amp; EQUIPO)'!R125</f>
        <v>25</v>
      </c>
      <c r="J33" s="187">
        <f>'F07 OPERAC. (MAT,SERV &amp; EQUIPO)'!S125</f>
        <v>25</v>
      </c>
      <c r="K33" s="187">
        <f>'F07 OPERAC. (MAT,SERV &amp; EQUIPO)'!T125</f>
        <v>25</v>
      </c>
      <c r="L33" s="187">
        <f>'F07 OPERAC. (MAT,SERV &amp; EQUIPO)'!U125</f>
        <v>25</v>
      </c>
      <c r="M33" s="187">
        <f>'F07 OPERAC. (MAT,SERV &amp; EQUIPO)'!V125</f>
        <v>25</v>
      </c>
      <c r="N33" s="187">
        <f>'F07 OPERAC. (MAT,SERV &amp; EQUIPO)'!W125</f>
        <v>25</v>
      </c>
      <c r="O33" s="187">
        <f>'F07 OPERAC. (MAT,SERV &amp; EQUIPO)'!X125</f>
        <v>25</v>
      </c>
      <c r="P33" s="187">
        <f>'F07 OPERAC. (MAT,SERV &amp; EQUIPO)'!Y125</f>
        <v>25</v>
      </c>
      <c r="Q33" s="266">
        <f t="shared" si="2"/>
        <v>2.5593634792842024E-4</v>
      </c>
    </row>
    <row r="34" spans="1:20" ht="26" hidden="1" customHeight="1" outlineLevel="1" x14ac:dyDescent="0.35">
      <c r="A34" s="181" t="s">
        <v>119</v>
      </c>
      <c r="B34" s="182">
        <f>SUM(C34:P34)</f>
        <v>195</v>
      </c>
      <c r="C34" s="182">
        <f>'F07 OPERAC. (MAT,SERV &amp; EQUIPO)'!L126</f>
        <v>0</v>
      </c>
      <c r="D34" s="182">
        <f>'F07 OPERAC. (MAT,SERV &amp; EQUIPO)'!M126</f>
        <v>15</v>
      </c>
      <c r="E34" s="182">
        <f>'F07 OPERAC. (MAT,SERV &amp; EQUIPO)'!N126</f>
        <v>15</v>
      </c>
      <c r="F34" s="182">
        <f>'F07 OPERAC. (MAT,SERV &amp; EQUIPO)'!O126</f>
        <v>15</v>
      </c>
      <c r="G34" s="182">
        <f>'F07 OPERAC. (MAT,SERV &amp; EQUIPO)'!P126</f>
        <v>15</v>
      </c>
      <c r="H34" s="182">
        <f>'F07 OPERAC. (MAT,SERV &amp; EQUIPO)'!Q126</f>
        <v>15</v>
      </c>
      <c r="I34" s="182">
        <f>'F07 OPERAC. (MAT,SERV &amp; EQUIPO)'!R126</f>
        <v>15</v>
      </c>
      <c r="J34" s="182">
        <f>'F07 OPERAC. (MAT,SERV &amp; EQUIPO)'!S126</f>
        <v>15</v>
      </c>
      <c r="K34" s="182">
        <f>'F07 OPERAC. (MAT,SERV &amp; EQUIPO)'!T126</f>
        <v>15</v>
      </c>
      <c r="L34" s="182">
        <f>'F07 OPERAC. (MAT,SERV &amp; EQUIPO)'!U126</f>
        <v>15</v>
      </c>
      <c r="M34" s="182">
        <f>'F07 OPERAC. (MAT,SERV &amp; EQUIPO)'!V126</f>
        <v>15</v>
      </c>
      <c r="N34" s="182">
        <f>'F07 OPERAC. (MAT,SERV &amp; EQUIPO)'!W126</f>
        <v>15</v>
      </c>
      <c r="O34" s="182">
        <f>'F07 OPERAC. (MAT,SERV &amp; EQUIPO)'!X126</f>
        <v>15</v>
      </c>
      <c r="P34" s="182">
        <f>'F07 OPERAC. (MAT,SERV &amp; EQUIPO)'!Y126</f>
        <v>15</v>
      </c>
      <c r="Q34" s="266">
        <f t="shared" si="2"/>
        <v>1.5356180875705214E-4</v>
      </c>
    </row>
    <row r="35" spans="1:20" ht="26" hidden="1" customHeight="1" outlineLevel="1" x14ac:dyDescent="0.35">
      <c r="A35" s="179" t="s">
        <v>120</v>
      </c>
      <c r="B35" s="187">
        <f>SUM(C35:P35)</f>
        <v>0</v>
      </c>
      <c r="C35" s="187">
        <f>'F07 OPERAC. (MAT,SERV &amp; EQUIPO)'!L127</f>
        <v>0</v>
      </c>
      <c r="D35" s="187">
        <f>'F07 OPERAC. (MAT,SERV &amp; EQUIPO)'!M127</f>
        <v>0</v>
      </c>
      <c r="E35" s="187">
        <f>'F07 OPERAC. (MAT,SERV &amp; EQUIPO)'!N127</f>
        <v>0</v>
      </c>
      <c r="F35" s="187">
        <f>'F07 OPERAC. (MAT,SERV &amp; EQUIPO)'!O127</f>
        <v>0</v>
      </c>
      <c r="G35" s="187">
        <f>'F07 OPERAC. (MAT,SERV &amp; EQUIPO)'!P127</f>
        <v>0</v>
      </c>
      <c r="H35" s="187">
        <f>'F07 OPERAC. (MAT,SERV &amp; EQUIPO)'!Q127</f>
        <v>0</v>
      </c>
      <c r="I35" s="187">
        <f>'F07 OPERAC. (MAT,SERV &amp; EQUIPO)'!R127</f>
        <v>0</v>
      </c>
      <c r="J35" s="187">
        <f>'F07 OPERAC. (MAT,SERV &amp; EQUIPO)'!S127</f>
        <v>0</v>
      </c>
      <c r="K35" s="187">
        <f>'F07 OPERAC. (MAT,SERV &amp; EQUIPO)'!T127</f>
        <v>0</v>
      </c>
      <c r="L35" s="187">
        <f>'F07 OPERAC. (MAT,SERV &amp; EQUIPO)'!U127</f>
        <v>0</v>
      </c>
      <c r="M35" s="187">
        <f>'F07 OPERAC. (MAT,SERV &amp; EQUIPO)'!V127</f>
        <v>0</v>
      </c>
      <c r="N35" s="187">
        <f>'F07 OPERAC. (MAT,SERV &amp; EQUIPO)'!W127</f>
        <v>0</v>
      </c>
      <c r="O35" s="187">
        <f>'F07 OPERAC. (MAT,SERV &amp; EQUIPO)'!X127</f>
        <v>0</v>
      </c>
      <c r="P35" s="187">
        <f>'F07 OPERAC. (MAT,SERV &amp; EQUIPO)'!Y127</f>
        <v>0</v>
      </c>
      <c r="Q35" s="266">
        <f t="shared" si="2"/>
        <v>0</v>
      </c>
    </row>
    <row r="36" spans="1:20" ht="26" hidden="1" customHeight="1" outlineLevel="1" x14ac:dyDescent="0.35">
      <c r="A36" s="181" t="s">
        <v>121</v>
      </c>
      <c r="B36" s="182">
        <f>SUM(C36:P36)</f>
        <v>0</v>
      </c>
      <c r="C36" s="182">
        <f>'F07 OPERAC. (MAT,SERV &amp; EQUIPO)'!L128</f>
        <v>0</v>
      </c>
      <c r="D36" s="182">
        <f>'F07 OPERAC. (MAT,SERV &amp; EQUIPO)'!M128</f>
        <v>0</v>
      </c>
      <c r="E36" s="182">
        <f>'F07 OPERAC. (MAT,SERV &amp; EQUIPO)'!N128</f>
        <v>0</v>
      </c>
      <c r="F36" s="182">
        <f>'F07 OPERAC. (MAT,SERV &amp; EQUIPO)'!O128</f>
        <v>0</v>
      </c>
      <c r="G36" s="182">
        <f>'F07 OPERAC. (MAT,SERV &amp; EQUIPO)'!P128</f>
        <v>0</v>
      </c>
      <c r="H36" s="182">
        <f>'F07 OPERAC. (MAT,SERV &amp; EQUIPO)'!Q128</f>
        <v>0</v>
      </c>
      <c r="I36" s="182">
        <f>'F07 OPERAC. (MAT,SERV &amp; EQUIPO)'!R128</f>
        <v>0</v>
      </c>
      <c r="J36" s="182">
        <f>'F07 OPERAC. (MAT,SERV &amp; EQUIPO)'!S128</f>
        <v>0</v>
      </c>
      <c r="K36" s="182">
        <f>'F07 OPERAC. (MAT,SERV &amp; EQUIPO)'!T128</f>
        <v>0</v>
      </c>
      <c r="L36" s="182">
        <f>'F07 OPERAC. (MAT,SERV &amp; EQUIPO)'!U128</f>
        <v>0</v>
      </c>
      <c r="M36" s="182">
        <f>'F07 OPERAC. (MAT,SERV &amp; EQUIPO)'!V128</f>
        <v>0</v>
      </c>
      <c r="N36" s="182">
        <f>'F07 OPERAC. (MAT,SERV &amp; EQUIPO)'!W128</f>
        <v>0</v>
      </c>
      <c r="O36" s="182">
        <f>'F07 OPERAC. (MAT,SERV &amp; EQUIPO)'!X128</f>
        <v>0</v>
      </c>
      <c r="P36" s="182">
        <f>'F07 OPERAC. (MAT,SERV &amp; EQUIPO)'!Y128</f>
        <v>0</v>
      </c>
      <c r="Q36" s="266">
        <f t="shared" si="2"/>
        <v>0</v>
      </c>
    </row>
    <row r="37" spans="1:20" s="186" customFormat="1" ht="26" customHeight="1" collapsed="1" x14ac:dyDescent="0.35">
      <c r="A37" s="188" t="s">
        <v>86</v>
      </c>
      <c r="B37" s="189">
        <f>SUM(B33:B36)</f>
        <v>520</v>
      </c>
      <c r="C37" s="190">
        <f t="shared" ref="C37:P37" si="8">SUM(C33:C36)</f>
        <v>0</v>
      </c>
      <c r="D37" s="190">
        <f t="shared" si="8"/>
        <v>40</v>
      </c>
      <c r="E37" s="190">
        <f t="shared" si="8"/>
        <v>40</v>
      </c>
      <c r="F37" s="190">
        <f t="shared" si="8"/>
        <v>40</v>
      </c>
      <c r="G37" s="190">
        <f t="shared" si="8"/>
        <v>40</v>
      </c>
      <c r="H37" s="190">
        <f t="shared" si="8"/>
        <v>40</v>
      </c>
      <c r="I37" s="190">
        <f t="shared" si="8"/>
        <v>40</v>
      </c>
      <c r="J37" s="190">
        <f t="shared" si="8"/>
        <v>40</v>
      </c>
      <c r="K37" s="190">
        <f t="shared" si="8"/>
        <v>40</v>
      </c>
      <c r="L37" s="190">
        <f t="shared" si="8"/>
        <v>40</v>
      </c>
      <c r="M37" s="190">
        <f t="shared" si="8"/>
        <v>40</v>
      </c>
      <c r="N37" s="190">
        <f t="shared" si="8"/>
        <v>40</v>
      </c>
      <c r="O37" s="190">
        <f t="shared" si="8"/>
        <v>40</v>
      </c>
      <c r="P37" s="190">
        <f t="shared" si="8"/>
        <v>40</v>
      </c>
      <c r="Q37" s="266">
        <f t="shared" si="2"/>
        <v>4.0949815668547232E-4</v>
      </c>
      <c r="R37" s="173"/>
      <c r="S37" s="263">
        <f>'F07 OPERAC. (MAT,SERV &amp; EQUIPO)'!L132</f>
        <v>520</v>
      </c>
      <c r="T37" s="263">
        <f>+B37-S37</f>
        <v>0</v>
      </c>
    </row>
    <row r="38" spans="1:20" ht="26" hidden="1" customHeight="1" outlineLevel="1" x14ac:dyDescent="0.35">
      <c r="A38" s="179" t="s">
        <v>122</v>
      </c>
      <c r="B38" s="187">
        <f>SUM(C38:P38)</f>
        <v>0</v>
      </c>
      <c r="C38" s="187">
        <f>'F07 OPERAC. (MAT,SERV &amp; EQUIPO)'!L139</f>
        <v>0</v>
      </c>
      <c r="D38" s="187">
        <f>'F07 OPERAC. (MAT,SERV &amp; EQUIPO)'!M139</f>
        <v>0</v>
      </c>
      <c r="E38" s="187">
        <f>'F07 OPERAC. (MAT,SERV &amp; EQUIPO)'!N139</f>
        <v>0</v>
      </c>
      <c r="F38" s="187">
        <f>'F07 OPERAC. (MAT,SERV &amp; EQUIPO)'!O139</f>
        <v>0</v>
      </c>
      <c r="G38" s="187">
        <f>'F07 OPERAC. (MAT,SERV &amp; EQUIPO)'!P139</f>
        <v>0</v>
      </c>
      <c r="H38" s="187">
        <f>'F07 OPERAC. (MAT,SERV &amp; EQUIPO)'!Q139</f>
        <v>0</v>
      </c>
      <c r="I38" s="187">
        <f>'F07 OPERAC. (MAT,SERV &amp; EQUIPO)'!R139</f>
        <v>0</v>
      </c>
      <c r="J38" s="187">
        <f>'F07 OPERAC. (MAT,SERV &amp; EQUIPO)'!S139</f>
        <v>0</v>
      </c>
      <c r="K38" s="187">
        <f>'F07 OPERAC. (MAT,SERV &amp; EQUIPO)'!T139</f>
        <v>0</v>
      </c>
      <c r="L38" s="187">
        <f>'F07 OPERAC. (MAT,SERV &amp; EQUIPO)'!U139</f>
        <v>0</v>
      </c>
      <c r="M38" s="187">
        <f>'F07 OPERAC. (MAT,SERV &amp; EQUIPO)'!V139</f>
        <v>0</v>
      </c>
      <c r="N38" s="187">
        <f>'F07 OPERAC. (MAT,SERV &amp; EQUIPO)'!W139</f>
        <v>0</v>
      </c>
      <c r="O38" s="187">
        <f>'F07 OPERAC. (MAT,SERV &amp; EQUIPO)'!X139</f>
        <v>0</v>
      </c>
      <c r="P38" s="187">
        <f>'F07 OPERAC. (MAT,SERV &amp; EQUIPO)'!Y139</f>
        <v>0</v>
      </c>
      <c r="Q38" s="266">
        <f t="shared" si="2"/>
        <v>0</v>
      </c>
    </row>
    <row r="39" spans="1:20" ht="26" hidden="1" customHeight="1" outlineLevel="1" x14ac:dyDescent="0.35">
      <c r="A39" s="181" t="s">
        <v>123</v>
      </c>
      <c r="B39" s="182">
        <f>SUM(C39:P39)</f>
        <v>0</v>
      </c>
      <c r="C39" s="182">
        <f>'F07 OPERAC. (MAT,SERV &amp; EQUIPO)'!L140</f>
        <v>0</v>
      </c>
      <c r="D39" s="182">
        <f>'F07 OPERAC. (MAT,SERV &amp; EQUIPO)'!M140</f>
        <v>0</v>
      </c>
      <c r="E39" s="182">
        <f>'F07 OPERAC. (MAT,SERV &amp; EQUIPO)'!N140</f>
        <v>0</v>
      </c>
      <c r="F39" s="182">
        <f>'F07 OPERAC. (MAT,SERV &amp; EQUIPO)'!O140</f>
        <v>0</v>
      </c>
      <c r="G39" s="182">
        <f>'F07 OPERAC. (MAT,SERV &amp; EQUIPO)'!P140</f>
        <v>0</v>
      </c>
      <c r="H39" s="182">
        <f>'F07 OPERAC. (MAT,SERV &amp; EQUIPO)'!Q140</f>
        <v>0</v>
      </c>
      <c r="I39" s="182">
        <f>'F07 OPERAC. (MAT,SERV &amp; EQUIPO)'!R140</f>
        <v>0</v>
      </c>
      <c r="J39" s="182">
        <f>'F07 OPERAC. (MAT,SERV &amp; EQUIPO)'!S140</f>
        <v>0</v>
      </c>
      <c r="K39" s="182">
        <f>'F07 OPERAC. (MAT,SERV &amp; EQUIPO)'!T140</f>
        <v>0</v>
      </c>
      <c r="L39" s="182">
        <f>'F07 OPERAC. (MAT,SERV &amp; EQUIPO)'!U140</f>
        <v>0</v>
      </c>
      <c r="M39" s="182">
        <f>'F07 OPERAC. (MAT,SERV &amp; EQUIPO)'!V140</f>
        <v>0</v>
      </c>
      <c r="N39" s="182">
        <f>'F07 OPERAC. (MAT,SERV &amp; EQUIPO)'!W140</f>
        <v>0</v>
      </c>
      <c r="O39" s="182">
        <f>'F07 OPERAC. (MAT,SERV &amp; EQUIPO)'!X140</f>
        <v>0</v>
      </c>
      <c r="P39" s="182">
        <f>'F07 OPERAC. (MAT,SERV &amp; EQUIPO)'!Y140</f>
        <v>0</v>
      </c>
      <c r="Q39" s="266">
        <f t="shared" si="2"/>
        <v>0</v>
      </c>
    </row>
    <row r="40" spans="1:20" s="186" customFormat="1" ht="26" customHeight="1" collapsed="1" x14ac:dyDescent="0.35">
      <c r="A40" s="188" t="s">
        <v>87</v>
      </c>
      <c r="B40" s="189">
        <f>SUM(B38:B39)</f>
        <v>0</v>
      </c>
      <c r="C40" s="190">
        <f t="shared" ref="C40:P40" si="9">SUM(C38:C39)</f>
        <v>0</v>
      </c>
      <c r="D40" s="190">
        <f t="shared" si="9"/>
        <v>0</v>
      </c>
      <c r="E40" s="190">
        <f t="shared" si="9"/>
        <v>0</v>
      </c>
      <c r="F40" s="190">
        <f t="shared" si="9"/>
        <v>0</v>
      </c>
      <c r="G40" s="190">
        <f t="shared" si="9"/>
        <v>0</v>
      </c>
      <c r="H40" s="190">
        <f t="shared" si="9"/>
        <v>0</v>
      </c>
      <c r="I40" s="190">
        <f t="shared" si="9"/>
        <v>0</v>
      </c>
      <c r="J40" s="190">
        <f t="shared" si="9"/>
        <v>0</v>
      </c>
      <c r="K40" s="190">
        <f t="shared" si="9"/>
        <v>0</v>
      </c>
      <c r="L40" s="190">
        <f t="shared" si="9"/>
        <v>0</v>
      </c>
      <c r="M40" s="190">
        <f t="shared" si="9"/>
        <v>0</v>
      </c>
      <c r="N40" s="190">
        <f t="shared" si="9"/>
        <v>0</v>
      </c>
      <c r="O40" s="190">
        <f t="shared" si="9"/>
        <v>0</v>
      </c>
      <c r="P40" s="190">
        <f t="shared" si="9"/>
        <v>0</v>
      </c>
      <c r="Q40" s="266">
        <f t="shared" si="2"/>
        <v>0</v>
      </c>
      <c r="R40" s="173"/>
      <c r="S40" s="263">
        <f>'F07 OPERAC. (MAT,SERV &amp; EQUIPO)'!L144</f>
        <v>0</v>
      </c>
      <c r="T40" s="263">
        <f>+B40-S40</f>
        <v>0</v>
      </c>
    </row>
    <row r="41" spans="1:20" ht="26" hidden="1" customHeight="1" outlineLevel="1" x14ac:dyDescent="0.35">
      <c r="A41" s="179" t="s">
        <v>124</v>
      </c>
      <c r="B41" s="187">
        <f>SUM(C41:P41)</f>
        <v>1300</v>
      </c>
      <c r="C41" s="187">
        <f>'F06 (MAT,SERV &amp; EQUIPO)'!L7</f>
        <v>0</v>
      </c>
      <c r="D41" s="187">
        <f>'F06 (MAT,SERV &amp; EQUIPO)'!M7</f>
        <v>100</v>
      </c>
      <c r="E41" s="187">
        <f>'F06 (MAT,SERV &amp; EQUIPO)'!N7</f>
        <v>100</v>
      </c>
      <c r="F41" s="187">
        <f>'F06 (MAT,SERV &amp; EQUIPO)'!O7</f>
        <v>100</v>
      </c>
      <c r="G41" s="187">
        <f>'F06 (MAT,SERV &amp; EQUIPO)'!P7</f>
        <v>100</v>
      </c>
      <c r="H41" s="187">
        <f>'F06 (MAT,SERV &amp; EQUIPO)'!Q7</f>
        <v>100</v>
      </c>
      <c r="I41" s="187">
        <f>'F06 (MAT,SERV &amp; EQUIPO)'!R7</f>
        <v>100</v>
      </c>
      <c r="J41" s="187">
        <f>'F06 (MAT,SERV &amp; EQUIPO)'!S7</f>
        <v>100</v>
      </c>
      <c r="K41" s="187">
        <f>'F06 (MAT,SERV &amp; EQUIPO)'!T7</f>
        <v>100</v>
      </c>
      <c r="L41" s="187">
        <f>'F06 (MAT,SERV &amp; EQUIPO)'!U7</f>
        <v>100</v>
      </c>
      <c r="M41" s="187">
        <f>'F06 (MAT,SERV &amp; EQUIPO)'!V7</f>
        <v>100</v>
      </c>
      <c r="N41" s="187">
        <f>'F06 (MAT,SERV &amp; EQUIPO)'!W7</f>
        <v>100</v>
      </c>
      <c r="O41" s="187">
        <f>'F06 (MAT,SERV &amp; EQUIPO)'!X7</f>
        <v>100</v>
      </c>
      <c r="P41" s="187">
        <f>'F06 (MAT,SERV &amp; EQUIPO)'!Y7</f>
        <v>100</v>
      </c>
      <c r="Q41" s="266">
        <f t="shared" si="2"/>
        <v>1.023745391713681E-3</v>
      </c>
    </row>
    <row r="42" spans="1:20" ht="26" hidden="1" customHeight="1" outlineLevel="1" x14ac:dyDescent="0.35">
      <c r="A42" s="181" t="s">
        <v>125</v>
      </c>
      <c r="B42" s="182">
        <f t="shared" ref="B42:B75" si="10">SUM(C42:P42)</f>
        <v>0</v>
      </c>
      <c r="C42" s="182">
        <f>'F06 (MAT,SERV &amp; EQUIPO)'!L8</f>
        <v>0</v>
      </c>
      <c r="D42" s="182">
        <f>'F06 (MAT,SERV &amp; EQUIPO)'!M8</f>
        <v>0</v>
      </c>
      <c r="E42" s="182">
        <f>'F06 (MAT,SERV &amp; EQUIPO)'!N8</f>
        <v>0</v>
      </c>
      <c r="F42" s="182">
        <f>'F06 (MAT,SERV &amp; EQUIPO)'!O8</f>
        <v>0</v>
      </c>
      <c r="G42" s="182">
        <f>'F06 (MAT,SERV &amp; EQUIPO)'!P8</f>
        <v>0</v>
      </c>
      <c r="H42" s="182">
        <f>'F06 (MAT,SERV &amp; EQUIPO)'!Q8</f>
        <v>0</v>
      </c>
      <c r="I42" s="182">
        <f>'F06 (MAT,SERV &amp; EQUIPO)'!R8</f>
        <v>0</v>
      </c>
      <c r="J42" s="182">
        <f>'F06 (MAT,SERV &amp; EQUIPO)'!S8</f>
        <v>0</v>
      </c>
      <c r="K42" s="182">
        <f>'F06 (MAT,SERV &amp; EQUIPO)'!T8</f>
        <v>0</v>
      </c>
      <c r="L42" s="182">
        <f>'F06 (MAT,SERV &amp; EQUIPO)'!U8</f>
        <v>0</v>
      </c>
      <c r="M42" s="182">
        <f>'F06 (MAT,SERV &amp; EQUIPO)'!V8</f>
        <v>0</v>
      </c>
      <c r="N42" s="182">
        <f>'F06 (MAT,SERV &amp; EQUIPO)'!W8</f>
        <v>0</v>
      </c>
      <c r="O42" s="182">
        <f>'F06 (MAT,SERV &amp; EQUIPO)'!X8</f>
        <v>0</v>
      </c>
      <c r="P42" s="182">
        <f>'F06 (MAT,SERV &amp; EQUIPO)'!Y8</f>
        <v>0</v>
      </c>
      <c r="Q42" s="266">
        <f t="shared" si="2"/>
        <v>0</v>
      </c>
    </row>
    <row r="43" spans="1:20" ht="26" hidden="1" customHeight="1" outlineLevel="1" x14ac:dyDescent="0.35">
      <c r="A43" s="179" t="s">
        <v>126</v>
      </c>
      <c r="B43" s="187">
        <f t="shared" si="10"/>
        <v>0</v>
      </c>
      <c r="C43" s="187">
        <f>'F06 (MAT,SERV &amp; EQUIPO)'!L9</f>
        <v>0</v>
      </c>
      <c r="D43" s="187">
        <f>'F06 (MAT,SERV &amp; EQUIPO)'!M9</f>
        <v>0</v>
      </c>
      <c r="E43" s="187">
        <f>'F06 (MAT,SERV &amp; EQUIPO)'!N9</f>
        <v>0</v>
      </c>
      <c r="F43" s="187">
        <f>'F06 (MAT,SERV &amp; EQUIPO)'!O9</f>
        <v>0</v>
      </c>
      <c r="G43" s="187">
        <f>'F06 (MAT,SERV &amp; EQUIPO)'!P9</f>
        <v>0</v>
      </c>
      <c r="H43" s="187">
        <f>'F06 (MAT,SERV &amp; EQUIPO)'!Q9</f>
        <v>0</v>
      </c>
      <c r="I43" s="187">
        <f>'F06 (MAT,SERV &amp; EQUIPO)'!R9</f>
        <v>0</v>
      </c>
      <c r="J43" s="187">
        <f>'F06 (MAT,SERV &amp; EQUIPO)'!S9</f>
        <v>0</v>
      </c>
      <c r="K43" s="187">
        <f>'F06 (MAT,SERV &amp; EQUIPO)'!T9</f>
        <v>0</v>
      </c>
      <c r="L43" s="187">
        <f>'F06 (MAT,SERV &amp; EQUIPO)'!U9</f>
        <v>0</v>
      </c>
      <c r="M43" s="187">
        <f>'F06 (MAT,SERV &amp; EQUIPO)'!V9</f>
        <v>0</v>
      </c>
      <c r="N43" s="187">
        <f>'F06 (MAT,SERV &amp; EQUIPO)'!W9</f>
        <v>0</v>
      </c>
      <c r="O43" s="187">
        <f>'F06 (MAT,SERV &amp; EQUIPO)'!X9</f>
        <v>0</v>
      </c>
      <c r="P43" s="187">
        <f>'F06 (MAT,SERV &amp; EQUIPO)'!Y9</f>
        <v>0</v>
      </c>
      <c r="Q43" s="266">
        <f t="shared" si="2"/>
        <v>0</v>
      </c>
    </row>
    <row r="44" spans="1:20" ht="26" hidden="1" customHeight="1" outlineLevel="1" x14ac:dyDescent="0.35">
      <c r="A44" s="181" t="s">
        <v>127</v>
      </c>
      <c r="B44" s="182">
        <f t="shared" si="10"/>
        <v>0</v>
      </c>
      <c r="C44" s="182">
        <f>'F06 (MAT,SERV &amp; EQUIPO)'!L10</f>
        <v>0</v>
      </c>
      <c r="D44" s="182">
        <f>'F06 (MAT,SERV &amp; EQUIPO)'!M10</f>
        <v>0</v>
      </c>
      <c r="E44" s="182">
        <f>'F06 (MAT,SERV &amp; EQUIPO)'!N10</f>
        <v>0</v>
      </c>
      <c r="F44" s="182">
        <f>'F06 (MAT,SERV &amp; EQUIPO)'!O10</f>
        <v>0</v>
      </c>
      <c r="G44" s="182">
        <f>'F06 (MAT,SERV &amp; EQUIPO)'!P10</f>
        <v>0</v>
      </c>
      <c r="H44" s="182">
        <f>'F06 (MAT,SERV &amp; EQUIPO)'!Q10</f>
        <v>0</v>
      </c>
      <c r="I44" s="182">
        <f>'F06 (MAT,SERV &amp; EQUIPO)'!R10</f>
        <v>0</v>
      </c>
      <c r="J44" s="182">
        <f>'F06 (MAT,SERV &amp; EQUIPO)'!S10</f>
        <v>0</v>
      </c>
      <c r="K44" s="182">
        <f>'F06 (MAT,SERV &amp; EQUIPO)'!T10</f>
        <v>0</v>
      </c>
      <c r="L44" s="182">
        <f>'F06 (MAT,SERV &amp; EQUIPO)'!U10</f>
        <v>0</v>
      </c>
      <c r="M44" s="182">
        <f>'F06 (MAT,SERV &amp; EQUIPO)'!V10</f>
        <v>0</v>
      </c>
      <c r="N44" s="182">
        <f>'F06 (MAT,SERV &amp; EQUIPO)'!W10</f>
        <v>0</v>
      </c>
      <c r="O44" s="182">
        <f>'F06 (MAT,SERV &amp; EQUIPO)'!X10</f>
        <v>0</v>
      </c>
      <c r="P44" s="182">
        <f>'F06 (MAT,SERV &amp; EQUIPO)'!Y10</f>
        <v>0</v>
      </c>
      <c r="Q44" s="266">
        <f t="shared" si="2"/>
        <v>0</v>
      </c>
    </row>
    <row r="45" spans="1:20" ht="26" hidden="1" customHeight="1" outlineLevel="1" x14ac:dyDescent="0.35">
      <c r="A45" s="179" t="s">
        <v>128</v>
      </c>
      <c r="B45" s="187">
        <f t="shared" si="10"/>
        <v>0</v>
      </c>
      <c r="C45" s="187">
        <f>'F06 (MAT,SERV &amp; EQUIPO)'!L11</f>
        <v>0</v>
      </c>
      <c r="D45" s="187">
        <f>'F06 (MAT,SERV &amp; EQUIPO)'!M11</f>
        <v>0</v>
      </c>
      <c r="E45" s="187">
        <f>'F06 (MAT,SERV &amp; EQUIPO)'!N11</f>
        <v>0</v>
      </c>
      <c r="F45" s="187">
        <f>'F06 (MAT,SERV &amp; EQUIPO)'!O11</f>
        <v>0</v>
      </c>
      <c r="G45" s="187">
        <f>'F06 (MAT,SERV &amp; EQUIPO)'!P11</f>
        <v>0</v>
      </c>
      <c r="H45" s="187">
        <f>'F06 (MAT,SERV &amp; EQUIPO)'!Q11</f>
        <v>0</v>
      </c>
      <c r="I45" s="187">
        <f>'F06 (MAT,SERV &amp; EQUIPO)'!R11</f>
        <v>0</v>
      </c>
      <c r="J45" s="187">
        <f>'F06 (MAT,SERV &amp; EQUIPO)'!S11</f>
        <v>0</v>
      </c>
      <c r="K45" s="187">
        <f>'F06 (MAT,SERV &amp; EQUIPO)'!T11</f>
        <v>0</v>
      </c>
      <c r="L45" s="187">
        <f>'F06 (MAT,SERV &amp; EQUIPO)'!U11</f>
        <v>0</v>
      </c>
      <c r="M45" s="187">
        <f>'F06 (MAT,SERV &amp; EQUIPO)'!V11</f>
        <v>0</v>
      </c>
      <c r="N45" s="187">
        <f>'F06 (MAT,SERV &amp; EQUIPO)'!W11</f>
        <v>0</v>
      </c>
      <c r="O45" s="187">
        <f>'F06 (MAT,SERV &amp; EQUIPO)'!X11</f>
        <v>0</v>
      </c>
      <c r="P45" s="187">
        <f>'F06 (MAT,SERV &amp; EQUIPO)'!Y11</f>
        <v>0</v>
      </c>
      <c r="Q45" s="266">
        <f t="shared" ref="Q45:Q76" si="11">B45/$B$166</f>
        <v>0</v>
      </c>
    </row>
    <row r="46" spans="1:20" ht="26" hidden="1" customHeight="1" outlineLevel="1" x14ac:dyDescent="0.35">
      <c r="A46" s="181" t="s">
        <v>129</v>
      </c>
      <c r="B46" s="182">
        <f t="shared" si="10"/>
        <v>0</v>
      </c>
      <c r="C46" s="182">
        <f>'F06 (MAT,SERV &amp; EQUIPO)'!L12</f>
        <v>0</v>
      </c>
      <c r="D46" s="182">
        <f>'F06 (MAT,SERV &amp; EQUIPO)'!M12</f>
        <v>0</v>
      </c>
      <c r="E46" s="182">
        <f>'F06 (MAT,SERV &amp; EQUIPO)'!N12</f>
        <v>0</v>
      </c>
      <c r="F46" s="182">
        <f>'F06 (MAT,SERV &amp; EQUIPO)'!O12</f>
        <v>0</v>
      </c>
      <c r="G46" s="182">
        <f>'F06 (MAT,SERV &amp; EQUIPO)'!P12</f>
        <v>0</v>
      </c>
      <c r="H46" s="182">
        <f>'F06 (MAT,SERV &amp; EQUIPO)'!Q12</f>
        <v>0</v>
      </c>
      <c r="I46" s="182">
        <f>'F06 (MAT,SERV &amp; EQUIPO)'!R12</f>
        <v>0</v>
      </c>
      <c r="J46" s="182">
        <f>'F06 (MAT,SERV &amp; EQUIPO)'!S12</f>
        <v>0</v>
      </c>
      <c r="K46" s="182">
        <f>'F06 (MAT,SERV &amp; EQUIPO)'!T12</f>
        <v>0</v>
      </c>
      <c r="L46" s="182">
        <f>'F06 (MAT,SERV &amp; EQUIPO)'!U12</f>
        <v>0</v>
      </c>
      <c r="M46" s="182">
        <f>'F06 (MAT,SERV &amp; EQUIPO)'!V12</f>
        <v>0</v>
      </c>
      <c r="N46" s="182">
        <f>'F06 (MAT,SERV &amp; EQUIPO)'!W12</f>
        <v>0</v>
      </c>
      <c r="O46" s="182">
        <f>'F06 (MAT,SERV &amp; EQUIPO)'!X12</f>
        <v>0</v>
      </c>
      <c r="P46" s="182">
        <f>'F06 (MAT,SERV &amp; EQUIPO)'!Y12</f>
        <v>0</v>
      </c>
      <c r="Q46" s="266">
        <f t="shared" si="11"/>
        <v>0</v>
      </c>
    </row>
    <row r="47" spans="1:20" ht="26" hidden="1" customHeight="1" outlineLevel="1" x14ac:dyDescent="0.35">
      <c r="A47" s="179" t="s">
        <v>130</v>
      </c>
      <c r="B47" s="187">
        <f t="shared" si="10"/>
        <v>0</v>
      </c>
      <c r="C47" s="187">
        <f>'F06 (MAT,SERV &amp; EQUIPO)'!L13</f>
        <v>0</v>
      </c>
      <c r="D47" s="187">
        <f>'F06 (MAT,SERV &amp; EQUIPO)'!M13</f>
        <v>0</v>
      </c>
      <c r="E47" s="187">
        <f>'F06 (MAT,SERV &amp; EQUIPO)'!N13</f>
        <v>0</v>
      </c>
      <c r="F47" s="187">
        <f>'F06 (MAT,SERV &amp; EQUIPO)'!O13</f>
        <v>0</v>
      </c>
      <c r="G47" s="187">
        <f>'F06 (MAT,SERV &amp; EQUIPO)'!P13</f>
        <v>0</v>
      </c>
      <c r="H47" s="187">
        <f>'F06 (MAT,SERV &amp; EQUIPO)'!Q13</f>
        <v>0</v>
      </c>
      <c r="I47" s="187">
        <f>'F06 (MAT,SERV &amp; EQUIPO)'!R13</f>
        <v>0</v>
      </c>
      <c r="J47" s="187">
        <f>'F06 (MAT,SERV &amp; EQUIPO)'!S13</f>
        <v>0</v>
      </c>
      <c r="K47" s="187">
        <f>'F06 (MAT,SERV &amp; EQUIPO)'!T13</f>
        <v>0</v>
      </c>
      <c r="L47" s="187">
        <f>'F06 (MAT,SERV &amp; EQUIPO)'!U13</f>
        <v>0</v>
      </c>
      <c r="M47" s="187">
        <f>'F06 (MAT,SERV &amp; EQUIPO)'!V13</f>
        <v>0</v>
      </c>
      <c r="N47" s="187">
        <f>'F06 (MAT,SERV &amp; EQUIPO)'!W13</f>
        <v>0</v>
      </c>
      <c r="O47" s="187">
        <f>'F06 (MAT,SERV &amp; EQUIPO)'!X13</f>
        <v>0</v>
      </c>
      <c r="P47" s="187">
        <f>'F06 (MAT,SERV &amp; EQUIPO)'!Y13</f>
        <v>0</v>
      </c>
      <c r="Q47" s="266">
        <f t="shared" si="11"/>
        <v>0</v>
      </c>
    </row>
    <row r="48" spans="1:20" ht="26" hidden="1" customHeight="1" outlineLevel="1" x14ac:dyDescent="0.35">
      <c r="A48" s="181" t="s">
        <v>131</v>
      </c>
      <c r="B48" s="182">
        <f t="shared" si="10"/>
        <v>0</v>
      </c>
      <c r="C48" s="182">
        <f>'F06 (MAT,SERV &amp; EQUIPO)'!L14</f>
        <v>0</v>
      </c>
      <c r="D48" s="182">
        <f>'F06 (MAT,SERV &amp; EQUIPO)'!M14</f>
        <v>0</v>
      </c>
      <c r="E48" s="182">
        <f>'F06 (MAT,SERV &amp; EQUIPO)'!N14</f>
        <v>0</v>
      </c>
      <c r="F48" s="182">
        <f>'F06 (MAT,SERV &amp; EQUIPO)'!O14</f>
        <v>0</v>
      </c>
      <c r="G48" s="182">
        <f>'F06 (MAT,SERV &amp; EQUIPO)'!P14</f>
        <v>0</v>
      </c>
      <c r="H48" s="182">
        <f>'F06 (MAT,SERV &amp; EQUIPO)'!Q14</f>
        <v>0</v>
      </c>
      <c r="I48" s="182">
        <f>'F06 (MAT,SERV &amp; EQUIPO)'!R14</f>
        <v>0</v>
      </c>
      <c r="J48" s="182">
        <f>'F06 (MAT,SERV &amp; EQUIPO)'!S14</f>
        <v>0</v>
      </c>
      <c r="K48" s="182">
        <f>'F06 (MAT,SERV &amp; EQUIPO)'!T14</f>
        <v>0</v>
      </c>
      <c r="L48" s="182">
        <f>'F06 (MAT,SERV &amp; EQUIPO)'!U14</f>
        <v>0</v>
      </c>
      <c r="M48" s="182">
        <f>'F06 (MAT,SERV &amp; EQUIPO)'!V14</f>
        <v>0</v>
      </c>
      <c r="N48" s="182">
        <f>'F06 (MAT,SERV &amp; EQUIPO)'!W14</f>
        <v>0</v>
      </c>
      <c r="O48" s="182">
        <f>'F06 (MAT,SERV &amp; EQUIPO)'!X14</f>
        <v>0</v>
      </c>
      <c r="P48" s="182">
        <f>'F06 (MAT,SERV &amp; EQUIPO)'!Y14</f>
        <v>0</v>
      </c>
      <c r="Q48" s="266">
        <f t="shared" si="11"/>
        <v>0</v>
      </c>
    </row>
    <row r="49" spans="1:17" ht="26" hidden="1" customHeight="1" outlineLevel="1" x14ac:dyDescent="0.35">
      <c r="A49" s="179" t="s">
        <v>132</v>
      </c>
      <c r="B49" s="187">
        <f t="shared" si="10"/>
        <v>0</v>
      </c>
      <c r="C49" s="187">
        <f>'F06 (MAT,SERV &amp; EQUIPO)'!L15</f>
        <v>0</v>
      </c>
      <c r="D49" s="187">
        <f>'F06 (MAT,SERV &amp; EQUIPO)'!M15</f>
        <v>0</v>
      </c>
      <c r="E49" s="187">
        <f>'F06 (MAT,SERV &amp; EQUIPO)'!N15</f>
        <v>0</v>
      </c>
      <c r="F49" s="187">
        <f>'F06 (MAT,SERV &amp; EQUIPO)'!O15</f>
        <v>0</v>
      </c>
      <c r="G49" s="187">
        <f>'F06 (MAT,SERV &amp; EQUIPO)'!P15</f>
        <v>0</v>
      </c>
      <c r="H49" s="187">
        <f>'F06 (MAT,SERV &amp; EQUIPO)'!Q15</f>
        <v>0</v>
      </c>
      <c r="I49" s="187">
        <f>'F06 (MAT,SERV &amp; EQUIPO)'!R15</f>
        <v>0</v>
      </c>
      <c r="J49" s="187">
        <f>'F06 (MAT,SERV &amp; EQUIPO)'!S15</f>
        <v>0</v>
      </c>
      <c r="K49" s="187">
        <f>'F06 (MAT,SERV &amp; EQUIPO)'!T15</f>
        <v>0</v>
      </c>
      <c r="L49" s="187">
        <f>'F06 (MAT,SERV &amp; EQUIPO)'!U15</f>
        <v>0</v>
      </c>
      <c r="M49" s="187">
        <f>'F06 (MAT,SERV &amp; EQUIPO)'!V15</f>
        <v>0</v>
      </c>
      <c r="N49" s="187">
        <f>'F06 (MAT,SERV &amp; EQUIPO)'!W15</f>
        <v>0</v>
      </c>
      <c r="O49" s="187">
        <f>'F06 (MAT,SERV &amp; EQUIPO)'!X15</f>
        <v>0</v>
      </c>
      <c r="P49" s="187">
        <f>'F06 (MAT,SERV &amp; EQUIPO)'!Y15</f>
        <v>0</v>
      </c>
      <c r="Q49" s="266">
        <f t="shared" si="11"/>
        <v>0</v>
      </c>
    </row>
    <row r="50" spans="1:17" ht="26" hidden="1" customHeight="1" outlineLevel="1" x14ac:dyDescent="0.35">
      <c r="A50" s="181" t="s">
        <v>133</v>
      </c>
      <c r="B50" s="182">
        <f t="shared" si="10"/>
        <v>0</v>
      </c>
      <c r="C50" s="182">
        <f>'F06 (MAT,SERV &amp; EQUIPO)'!L16</f>
        <v>0</v>
      </c>
      <c r="D50" s="182">
        <f>'F06 (MAT,SERV &amp; EQUIPO)'!M16</f>
        <v>0</v>
      </c>
      <c r="E50" s="182">
        <f>'F06 (MAT,SERV &amp; EQUIPO)'!N16</f>
        <v>0</v>
      </c>
      <c r="F50" s="182">
        <f>'F06 (MAT,SERV &amp; EQUIPO)'!O16</f>
        <v>0</v>
      </c>
      <c r="G50" s="182">
        <f>'F06 (MAT,SERV &amp; EQUIPO)'!P16</f>
        <v>0</v>
      </c>
      <c r="H50" s="182">
        <f>'F06 (MAT,SERV &amp; EQUIPO)'!Q16</f>
        <v>0</v>
      </c>
      <c r="I50" s="182">
        <f>'F06 (MAT,SERV &amp; EQUIPO)'!R16</f>
        <v>0</v>
      </c>
      <c r="J50" s="182">
        <f>'F06 (MAT,SERV &amp; EQUIPO)'!S16</f>
        <v>0</v>
      </c>
      <c r="K50" s="182">
        <f>'F06 (MAT,SERV &amp; EQUIPO)'!T16</f>
        <v>0</v>
      </c>
      <c r="L50" s="182">
        <f>'F06 (MAT,SERV &amp; EQUIPO)'!U16</f>
        <v>0</v>
      </c>
      <c r="M50" s="182">
        <f>'F06 (MAT,SERV &amp; EQUIPO)'!V16</f>
        <v>0</v>
      </c>
      <c r="N50" s="182">
        <f>'F06 (MAT,SERV &amp; EQUIPO)'!W16</f>
        <v>0</v>
      </c>
      <c r="O50" s="182">
        <f>'F06 (MAT,SERV &amp; EQUIPO)'!X16</f>
        <v>0</v>
      </c>
      <c r="P50" s="182">
        <f>'F06 (MAT,SERV &amp; EQUIPO)'!Y16</f>
        <v>0</v>
      </c>
      <c r="Q50" s="266">
        <f t="shared" si="11"/>
        <v>0</v>
      </c>
    </row>
    <row r="51" spans="1:17" ht="26" hidden="1" customHeight="1" outlineLevel="1" x14ac:dyDescent="0.35">
      <c r="A51" s="179" t="s">
        <v>134</v>
      </c>
      <c r="B51" s="187">
        <f t="shared" si="10"/>
        <v>0</v>
      </c>
      <c r="C51" s="187">
        <f>'F06 (MAT,SERV &amp; EQUIPO)'!L17</f>
        <v>0</v>
      </c>
      <c r="D51" s="187">
        <f>'F06 (MAT,SERV &amp; EQUIPO)'!M17</f>
        <v>0</v>
      </c>
      <c r="E51" s="187">
        <f>'F06 (MAT,SERV &amp; EQUIPO)'!N17</f>
        <v>0</v>
      </c>
      <c r="F51" s="187">
        <f>'F06 (MAT,SERV &amp; EQUIPO)'!O17</f>
        <v>0</v>
      </c>
      <c r="G51" s="187">
        <f>'F06 (MAT,SERV &amp; EQUIPO)'!P17</f>
        <v>0</v>
      </c>
      <c r="H51" s="187">
        <f>'F06 (MAT,SERV &amp; EQUIPO)'!Q17</f>
        <v>0</v>
      </c>
      <c r="I51" s="187">
        <f>'F06 (MAT,SERV &amp; EQUIPO)'!R17</f>
        <v>0</v>
      </c>
      <c r="J51" s="187">
        <f>'F06 (MAT,SERV &amp; EQUIPO)'!S17</f>
        <v>0</v>
      </c>
      <c r="K51" s="187">
        <f>'F06 (MAT,SERV &amp; EQUIPO)'!T17</f>
        <v>0</v>
      </c>
      <c r="L51" s="187">
        <f>'F06 (MAT,SERV &amp; EQUIPO)'!U17</f>
        <v>0</v>
      </c>
      <c r="M51" s="187">
        <f>'F06 (MAT,SERV &amp; EQUIPO)'!V17</f>
        <v>0</v>
      </c>
      <c r="N51" s="187">
        <f>'F06 (MAT,SERV &amp; EQUIPO)'!W17</f>
        <v>0</v>
      </c>
      <c r="O51" s="187">
        <f>'F06 (MAT,SERV &amp; EQUIPO)'!X17</f>
        <v>0</v>
      </c>
      <c r="P51" s="187">
        <f>'F06 (MAT,SERV &amp; EQUIPO)'!Y17</f>
        <v>0</v>
      </c>
      <c r="Q51" s="266">
        <f t="shared" si="11"/>
        <v>0</v>
      </c>
    </row>
    <row r="52" spans="1:17" ht="26" hidden="1" customHeight="1" outlineLevel="1" x14ac:dyDescent="0.35">
      <c r="A52" s="181" t="s">
        <v>135</v>
      </c>
      <c r="B52" s="182">
        <f t="shared" si="10"/>
        <v>203</v>
      </c>
      <c r="C52" s="182">
        <f>'F06 (MAT,SERV &amp; EQUIPO)'!L18</f>
        <v>0</v>
      </c>
      <c r="D52" s="182">
        <f>'F06 (MAT,SERV &amp; EQUIPO)'!M18</f>
        <v>0</v>
      </c>
      <c r="E52" s="182">
        <f>'F06 (MAT,SERV &amp; EQUIPO)'!N18</f>
        <v>0</v>
      </c>
      <c r="F52" s="182">
        <f>'F06 (MAT,SERV &amp; EQUIPO)'!O18</f>
        <v>0</v>
      </c>
      <c r="G52" s="182">
        <f>'F06 (MAT,SERV &amp; EQUIPO)'!P18</f>
        <v>0</v>
      </c>
      <c r="H52" s="182">
        <f>'F06 (MAT,SERV &amp; EQUIPO)'!Q18</f>
        <v>0</v>
      </c>
      <c r="I52" s="182">
        <f>'F06 (MAT,SERV &amp; EQUIPO)'!R18</f>
        <v>203</v>
      </c>
      <c r="J52" s="182">
        <f>'F06 (MAT,SERV &amp; EQUIPO)'!S18</f>
        <v>0</v>
      </c>
      <c r="K52" s="182">
        <f>'F06 (MAT,SERV &amp; EQUIPO)'!T18</f>
        <v>0</v>
      </c>
      <c r="L52" s="182">
        <f>'F06 (MAT,SERV &amp; EQUIPO)'!U18</f>
        <v>0</v>
      </c>
      <c r="M52" s="182">
        <f>'F06 (MAT,SERV &amp; EQUIPO)'!V18</f>
        <v>0</v>
      </c>
      <c r="N52" s="182">
        <f>'F06 (MAT,SERV &amp; EQUIPO)'!W18</f>
        <v>0</v>
      </c>
      <c r="O52" s="182">
        <f>'F06 (MAT,SERV &amp; EQUIPO)'!X18</f>
        <v>0</v>
      </c>
      <c r="P52" s="182">
        <f>'F06 (MAT,SERV &amp; EQUIPO)'!Y18</f>
        <v>0</v>
      </c>
      <c r="Q52" s="266">
        <f t="shared" si="11"/>
        <v>1.598617803983671E-4</v>
      </c>
    </row>
    <row r="53" spans="1:17" ht="26" hidden="1" customHeight="1" outlineLevel="1" x14ac:dyDescent="0.35">
      <c r="A53" s="179" t="s">
        <v>136</v>
      </c>
      <c r="B53" s="187">
        <f t="shared" si="10"/>
        <v>130</v>
      </c>
      <c r="C53" s="187">
        <f>'F06 (MAT,SERV &amp; EQUIPO)'!L19</f>
        <v>0</v>
      </c>
      <c r="D53" s="187">
        <f>'F06 (MAT,SERV &amp; EQUIPO)'!M19</f>
        <v>10</v>
      </c>
      <c r="E53" s="187">
        <f>'F06 (MAT,SERV &amp; EQUIPO)'!N19</f>
        <v>10</v>
      </c>
      <c r="F53" s="187">
        <f>'F06 (MAT,SERV &amp; EQUIPO)'!O19</f>
        <v>10</v>
      </c>
      <c r="G53" s="187">
        <f>'F06 (MAT,SERV &amp; EQUIPO)'!P19</f>
        <v>10</v>
      </c>
      <c r="H53" s="187">
        <f>'F06 (MAT,SERV &amp; EQUIPO)'!Q19</f>
        <v>10</v>
      </c>
      <c r="I53" s="187">
        <f>'F06 (MAT,SERV &amp; EQUIPO)'!R19</f>
        <v>10</v>
      </c>
      <c r="J53" s="187">
        <f>'F06 (MAT,SERV &amp; EQUIPO)'!S19</f>
        <v>10</v>
      </c>
      <c r="K53" s="187">
        <f>'F06 (MAT,SERV &amp; EQUIPO)'!T19</f>
        <v>10</v>
      </c>
      <c r="L53" s="187">
        <f>'F06 (MAT,SERV &amp; EQUIPO)'!U19</f>
        <v>10</v>
      </c>
      <c r="M53" s="187">
        <f>'F06 (MAT,SERV &amp; EQUIPO)'!V19</f>
        <v>10</v>
      </c>
      <c r="N53" s="187">
        <f>'F06 (MAT,SERV &amp; EQUIPO)'!W19</f>
        <v>10</v>
      </c>
      <c r="O53" s="187">
        <f>'F06 (MAT,SERV &amp; EQUIPO)'!X19</f>
        <v>10</v>
      </c>
      <c r="P53" s="187">
        <f>'F06 (MAT,SERV &amp; EQUIPO)'!Y19</f>
        <v>10</v>
      </c>
      <c r="Q53" s="266">
        <f t="shared" si="11"/>
        <v>1.0237453917136808E-4</v>
      </c>
    </row>
    <row r="54" spans="1:17" ht="26" hidden="1" customHeight="1" outlineLevel="1" x14ac:dyDescent="0.35">
      <c r="A54" s="181" t="s">
        <v>137</v>
      </c>
      <c r="B54" s="182">
        <f t="shared" si="10"/>
        <v>0</v>
      </c>
      <c r="C54" s="182">
        <f>'F06 (MAT,SERV &amp; EQUIPO)'!L20</f>
        <v>0</v>
      </c>
      <c r="D54" s="182">
        <f>'F06 (MAT,SERV &amp; EQUIPO)'!M20</f>
        <v>0</v>
      </c>
      <c r="E54" s="182">
        <f>'F06 (MAT,SERV &amp; EQUIPO)'!N20</f>
        <v>0</v>
      </c>
      <c r="F54" s="182">
        <f>'F06 (MAT,SERV &amp; EQUIPO)'!O20</f>
        <v>0</v>
      </c>
      <c r="G54" s="182">
        <f>'F06 (MAT,SERV &amp; EQUIPO)'!P20</f>
        <v>0</v>
      </c>
      <c r="H54" s="182">
        <f>'F06 (MAT,SERV &amp; EQUIPO)'!Q20</f>
        <v>0</v>
      </c>
      <c r="I54" s="182">
        <f>'F06 (MAT,SERV &amp; EQUIPO)'!R20</f>
        <v>0</v>
      </c>
      <c r="J54" s="182">
        <f>'F06 (MAT,SERV &amp; EQUIPO)'!S20</f>
        <v>0</v>
      </c>
      <c r="K54" s="182">
        <f>'F06 (MAT,SERV &amp; EQUIPO)'!T20</f>
        <v>0</v>
      </c>
      <c r="L54" s="182">
        <f>'F06 (MAT,SERV &amp; EQUIPO)'!U20</f>
        <v>0</v>
      </c>
      <c r="M54" s="182">
        <f>'F06 (MAT,SERV &amp; EQUIPO)'!V20</f>
        <v>0</v>
      </c>
      <c r="N54" s="182">
        <f>'F06 (MAT,SERV &amp; EQUIPO)'!W20</f>
        <v>0</v>
      </c>
      <c r="O54" s="182">
        <f>'F06 (MAT,SERV &amp; EQUIPO)'!X20</f>
        <v>0</v>
      </c>
      <c r="P54" s="182">
        <f>'F06 (MAT,SERV &amp; EQUIPO)'!Y20</f>
        <v>0</v>
      </c>
      <c r="Q54" s="266">
        <f t="shared" si="11"/>
        <v>0</v>
      </c>
    </row>
    <row r="55" spans="1:17" ht="26" hidden="1" customHeight="1" outlineLevel="1" x14ac:dyDescent="0.35">
      <c r="A55" s="179" t="s">
        <v>138</v>
      </c>
      <c r="B55" s="187">
        <f t="shared" si="10"/>
        <v>4500</v>
      </c>
      <c r="C55" s="187">
        <f>'F06 (MAT,SERV &amp; EQUIPO)'!L21</f>
        <v>0</v>
      </c>
      <c r="D55" s="187">
        <f>'F06 (MAT,SERV &amp; EQUIPO)'!M21</f>
        <v>1500</v>
      </c>
      <c r="E55" s="187">
        <f>'F06 (MAT,SERV &amp; EQUIPO)'!N21</f>
        <v>0</v>
      </c>
      <c r="F55" s="187">
        <f>'F06 (MAT,SERV &amp; EQUIPO)'!O21</f>
        <v>0</v>
      </c>
      <c r="G55" s="187">
        <f>'F06 (MAT,SERV &amp; EQUIPO)'!P21</f>
        <v>0</v>
      </c>
      <c r="H55" s="187">
        <f>'F06 (MAT,SERV &amp; EQUIPO)'!Q21</f>
        <v>0</v>
      </c>
      <c r="I55" s="187">
        <f>'F06 (MAT,SERV &amp; EQUIPO)'!R21</f>
        <v>1500</v>
      </c>
      <c r="J55" s="187">
        <f>'F06 (MAT,SERV &amp; EQUIPO)'!S21</f>
        <v>0</v>
      </c>
      <c r="K55" s="187">
        <f>'F06 (MAT,SERV &amp; EQUIPO)'!T21</f>
        <v>0</v>
      </c>
      <c r="L55" s="187">
        <f>'F06 (MAT,SERV &amp; EQUIPO)'!U21</f>
        <v>0</v>
      </c>
      <c r="M55" s="187">
        <f>'F06 (MAT,SERV &amp; EQUIPO)'!V21</f>
        <v>0</v>
      </c>
      <c r="N55" s="187">
        <f>'F06 (MAT,SERV &amp; EQUIPO)'!W21</f>
        <v>0</v>
      </c>
      <c r="O55" s="187">
        <f>'F06 (MAT,SERV &amp; EQUIPO)'!X21</f>
        <v>1500</v>
      </c>
      <c r="P55" s="187">
        <f>'F06 (MAT,SERV &amp; EQUIPO)'!Y21</f>
        <v>0</v>
      </c>
      <c r="Q55" s="266">
        <f t="shared" si="11"/>
        <v>3.5437340482396646E-3</v>
      </c>
    </row>
    <row r="56" spans="1:17" ht="26" hidden="1" customHeight="1" outlineLevel="1" x14ac:dyDescent="0.35">
      <c r="A56" s="181" t="s">
        <v>139</v>
      </c>
      <c r="B56" s="182">
        <f t="shared" si="10"/>
        <v>0</v>
      </c>
      <c r="C56" s="182">
        <f>'F06 (MAT,SERV &amp; EQUIPO)'!L22</f>
        <v>0</v>
      </c>
      <c r="D56" s="182">
        <f>'F06 (MAT,SERV &amp; EQUIPO)'!M22</f>
        <v>0</v>
      </c>
      <c r="E56" s="182">
        <f>'F06 (MAT,SERV &amp; EQUIPO)'!N22</f>
        <v>0</v>
      </c>
      <c r="F56" s="182">
        <f>'F06 (MAT,SERV &amp; EQUIPO)'!O22</f>
        <v>0</v>
      </c>
      <c r="G56" s="182">
        <f>'F06 (MAT,SERV &amp; EQUIPO)'!P22</f>
        <v>0</v>
      </c>
      <c r="H56" s="182">
        <f>'F06 (MAT,SERV &amp; EQUIPO)'!Q22</f>
        <v>0</v>
      </c>
      <c r="I56" s="182">
        <f>'F06 (MAT,SERV &amp; EQUIPO)'!R22</f>
        <v>0</v>
      </c>
      <c r="J56" s="182">
        <f>'F06 (MAT,SERV &amp; EQUIPO)'!S22</f>
        <v>0</v>
      </c>
      <c r="K56" s="182">
        <f>'F06 (MAT,SERV &amp; EQUIPO)'!T22</f>
        <v>0</v>
      </c>
      <c r="L56" s="182">
        <f>'F06 (MAT,SERV &amp; EQUIPO)'!U22</f>
        <v>0</v>
      </c>
      <c r="M56" s="182">
        <f>'F06 (MAT,SERV &amp; EQUIPO)'!V22</f>
        <v>0</v>
      </c>
      <c r="N56" s="182">
        <f>'F06 (MAT,SERV &amp; EQUIPO)'!W22</f>
        <v>0</v>
      </c>
      <c r="O56" s="182">
        <f>'F06 (MAT,SERV &amp; EQUIPO)'!X22</f>
        <v>0</v>
      </c>
      <c r="P56" s="182">
        <f>'F06 (MAT,SERV &amp; EQUIPO)'!Y22</f>
        <v>0</v>
      </c>
      <c r="Q56" s="266">
        <f t="shared" si="11"/>
        <v>0</v>
      </c>
    </row>
    <row r="57" spans="1:17" ht="26" hidden="1" customHeight="1" outlineLevel="1" x14ac:dyDescent="0.35">
      <c r="A57" s="179" t="s">
        <v>140</v>
      </c>
      <c r="B57" s="187">
        <f t="shared" si="10"/>
        <v>0</v>
      </c>
      <c r="C57" s="187">
        <f>'F06 (MAT,SERV &amp; EQUIPO)'!L23</f>
        <v>0</v>
      </c>
      <c r="D57" s="187">
        <f>'F06 (MAT,SERV &amp; EQUIPO)'!M23</f>
        <v>0</v>
      </c>
      <c r="E57" s="187">
        <f>'F06 (MAT,SERV &amp; EQUIPO)'!N23</f>
        <v>0</v>
      </c>
      <c r="F57" s="187">
        <f>'F06 (MAT,SERV &amp; EQUIPO)'!O23</f>
        <v>0</v>
      </c>
      <c r="G57" s="187">
        <f>'F06 (MAT,SERV &amp; EQUIPO)'!P23</f>
        <v>0</v>
      </c>
      <c r="H57" s="187">
        <f>'F06 (MAT,SERV &amp; EQUIPO)'!Q23</f>
        <v>0</v>
      </c>
      <c r="I57" s="187">
        <f>'F06 (MAT,SERV &amp; EQUIPO)'!R23</f>
        <v>0</v>
      </c>
      <c r="J57" s="187">
        <f>'F06 (MAT,SERV &amp; EQUIPO)'!S23</f>
        <v>0</v>
      </c>
      <c r="K57" s="187">
        <f>'F06 (MAT,SERV &amp; EQUIPO)'!T23</f>
        <v>0</v>
      </c>
      <c r="L57" s="187">
        <f>'F06 (MAT,SERV &amp; EQUIPO)'!U23</f>
        <v>0</v>
      </c>
      <c r="M57" s="187">
        <f>'F06 (MAT,SERV &amp; EQUIPO)'!V23</f>
        <v>0</v>
      </c>
      <c r="N57" s="187">
        <f>'F06 (MAT,SERV &amp; EQUIPO)'!W23</f>
        <v>0</v>
      </c>
      <c r="O57" s="187">
        <f>'F06 (MAT,SERV &amp; EQUIPO)'!X23</f>
        <v>0</v>
      </c>
      <c r="P57" s="187">
        <f>'F06 (MAT,SERV &amp; EQUIPO)'!Y23</f>
        <v>0</v>
      </c>
      <c r="Q57" s="266">
        <f t="shared" si="11"/>
        <v>0</v>
      </c>
    </row>
    <row r="58" spans="1:17" ht="26" hidden="1" customHeight="1" outlineLevel="1" x14ac:dyDescent="0.35">
      <c r="A58" s="181" t="s">
        <v>141</v>
      </c>
      <c r="B58" s="182">
        <f t="shared" si="10"/>
        <v>3250</v>
      </c>
      <c r="C58" s="182">
        <f>'F06 (MAT,SERV &amp; EQUIPO)'!L24</f>
        <v>0</v>
      </c>
      <c r="D58" s="182">
        <f>'F06 (MAT,SERV &amp; EQUIPO)'!M24</f>
        <v>250</v>
      </c>
      <c r="E58" s="182">
        <f>'F06 (MAT,SERV &amp; EQUIPO)'!N24</f>
        <v>250</v>
      </c>
      <c r="F58" s="182">
        <f>'F06 (MAT,SERV &amp; EQUIPO)'!O24</f>
        <v>250</v>
      </c>
      <c r="G58" s="182">
        <f>'F06 (MAT,SERV &amp; EQUIPO)'!P24</f>
        <v>250</v>
      </c>
      <c r="H58" s="182">
        <f>'F06 (MAT,SERV &amp; EQUIPO)'!Q24</f>
        <v>250</v>
      </c>
      <c r="I58" s="182">
        <f>'F06 (MAT,SERV &amp; EQUIPO)'!R24</f>
        <v>250</v>
      </c>
      <c r="J58" s="182">
        <f>'F06 (MAT,SERV &amp; EQUIPO)'!S24</f>
        <v>250</v>
      </c>
      <c r="K58" s="182">
        <f>'F06 (MAT,SERV &amp; EQUIPO)'!T24</f>
        <v>250</v>
      </c>
      <c r="L58" s="182">
        <f>'F06 (MAT,SERV &amp; EQUIPO)'!U24</f>
        <v>250</v>
      </c>
      <c r="M58" s="182">
        <f>'F06 (MAT,SERV &amp; EQUIPO)'!V24</f>
        <v>250</v>
      </c>
      <c r="N58" s="182">
        <f>'F06 (MAT,SERV &amp; EQUIPO)'!W24</f>
        <v>250</v>
      </c>
      <c r="O58" s="182">
        <f>'F06 (MAT,SERV &amp; EQUIPO)'!X24</f>
        <v>250</v>
      </c>
      <c r="P58" s="182">
        <f>'F06 (MAT,SERV &amp; EQUIPO)'!Y24</f>
        <v>250</v>
      </c>
      <c r="Q58" s="266">
        <f t="shared" si="11"/>
        <v>2.559363479284202E-3</v>
      </c>
    </row>
    <row r="59" spans="1:17" ht="26" hidden="1" customHeight="1" outlineLevel="1" x14ac:dyDescent="0.35">
      <c r="A59" s="179" t="s">
        <v>142</v>
      </c>
      <c r="B59" s="187">
        <f t="shared" si="10"/>
        <v>0</v>
      </c>
      <c r="C59" s="187">
        <f>'F06 (MAT,SERV &amp; EQUIPO)'!L25</f>
        <v>0</v>
      </c>
      <c r="D59" s="187">
        <f>'F06 (MAT,SERV &amp; EQUIPO)'!M25</f>
        <v>0</v>
      </c>
      <c r="E59" s="187">
        <f>'F06 (MAT,SERV &amp; EQUIPO)'!N25</f>
        <v>0</v>
      </c>
      <c r="F59" s="187">
        <f>'F06 (MAT,SERV &amp; EQUIPO)'!O25</f>
        <v>0</v>
      </c>
      <c r="G59" s="187">
        <f>'F06 (MAT,SERV &amp; EQUIPO)'!P25</f>
        <v>0</v>
      </c>
      <c r="H59" s="187">
        <f>'F06 (MAT,SERV &amp; EQUIPO)'!Q25</f>
        <v>0</v>
      </c>
      <c r="I59" s="187">
        <f>'F06 (MAT,SERV &amp; EQUIPO)'!R25</f>
        <v>0</v>
      </c>
      <c r="J59" s="187">
        <f>'F06 (MAT,SERV &amp; EQUIPO)'!S25</f>
        <v>0</v>
      </c>
      <c r="K59" s="187">
        <f>'F06 (MAT,SERV &amp; EQUIPO)'!T25</f>
        <v>0</v>
      </c>
      <c r="L59" s="187">
        <f>'F06 (MAT,SERV &amp; EQUIPO)'!U25</f>
        <v>0</v>
      </c>
      <c r="M59" s="187">
        <f>'F06 (MAT,SERV &amp; EQUIPO)'!V25</f>
        <v>0</v>
      </c>
      <c r="N59" s="187">
        <f>'F06 (MAT,SERV &amp; EQUIPO)'!W25</f>
        <v>0</v>
      </c>
      <c r="O59" s="187">
        <f>'F06 (MAT,SERV &amp; EQUIPO)'!X25</f>
        <v>0</v>
      </c>
      <c r="P59" s="187">
        <f>'F06 (MAT,SERV &amp; EQUIPO)'!Y25</f>
        <v>0</v>
      </c>
      <c r="Q59" s="266">
        <f t="shared" si="11"/>
        <v>0</v>
      </c>
    </row>
    <row r="60" spans="1:17" ht="26" hidden="1" customHeight="1" outlineLevel="1" x14ac:dyDescent="0.35">
      <c r="A60" s="181" t="s">
        <v>143</v>
      </c>
      <c r="B60" s="182">
        <f t="shared" si="10"/>
        <v>0</v>
      </c>
      <c r="C60" s="182">
        <f>'F06 (MAT,SERV &amp; EQUIPO)'!L26</f>
        <v>0</v>
      </c>
      <c r="D60" s="182">
        <f>'F06 (MAT,SERV &amp; EQUIPO)'!M26</f>
        <v>0</v>
      </c>
      <c r="E60" s="182">
        <f>'F06 (MAT,SERV &amp; EQUIPO)'!N26</f>
        <v>0</v>
      </c>
      <c r="F60" s="182">
        <f>'F06 (MAT,SERV &amp; EQUIPO)'!O26</f>
        <v>0</v>
      </c>
      <c r="G60" s="182">
        <f>'F06 (MAT,SERV &amp; EQUIPO)'!P26</f>
        <v>0</v>
      </c>
      <c r="H60" s="182">
        <f>'F06 (MAT,SERV &amp; EQUIPO)'!Q26</f>
        <v>0</v>
      </c>
      <c r="I60" s="182">
        <f>'F06 (MAT,SERV &amp; EQUIPO)'!R26</f>
        <v>0</v>
      </c>
      <c r="J60" s="182">
        <f>'F06 (MAT,SERV &amp; EQUIPO)'!S26</f>
        <v>0</v>
      </c>
      <c r="K60" s="182">
        <f>'F06 (MAT,SERV &amp; EQUIPO)'!T26</f>
        <v>0</v>
      </c>
      <c r="L60" s="182">
        <f>'F06 (MAT,SERV &amp; EQUIPO)'!U26</f>
        <v>0</v>
      </c>
      <c r="M60" s="182">
        <f>'F06 (MAT,SERV &amp; EQUIPO)'!V26</f>
        <v>0</v>
      </c>
      <c r="N60" s="182">
        <f>'F06 (MAT,SERV &amp; EQUIPO)'!W26</f>
        <v>0</v>
      </c>
      <c r="O60" s="182">
        <f>'F06 (MAT,SERV &amp; EQUIPO)'!X26</f>
        <v>0</v>
      </c>
      <c r="P60" s="182">
        <f>'F06 (MAT,SERV &amp; EQUIPO)'!Y26</f>
        <v>0</v>
      </c>
      <c r="Q60" s="266">
        <f t="shared" si="11"/>
        <v>0</v>
      </c>
    </row>
    <row r="61" spans="1:17" ht="26" hidden="1" customHeight="1" outlineLevel="1" x14ac:dyDescent="0.35">
      <c r="A61" s="179" t="s">
        <v>144</v>
      </c>
      <c r="B61" s="187">
        <f t="shared" si="10"/>
        <v>0</v>
      </c>
      <c r="C61" s="187">
        <f>'F06 (MAT,SERV &amp; EQUIPO)'!L27</f>
        <v>0</v>
      </c>
      <c r="D61" s="187">
        <f>'F06 (MAT,SERV &amp; EQUIPO)'!M27</f>
        <v>0</v>
      </c>
      <c r="E61" s="187">
        <f>'F06 (MAT,SERV &amp; EQUIPO)'!N27</f>
        <v>0</v>
      </c>
      <c r="F61" s="187">
        <f>'F06 (MAT,SERV &amp; EQUIPO)'!O27</f>
        <v>0</v>
      </c>
      <c r="G61" s="187">
        <f>'F06 (MAT,SERV &amp; EQUIPO)'!P27</f>
        <v>0</v>
      </c>
      <c r="H61" s="187">
        <f>'F06 (MAT,SERV &amp; EQUIPO)'!Q27</f>
        <v>0</v>
      </c>
      <c r="I61" s="187">
        <f>'F06 (MAT,SERV &amp; EQUIPO)'!R27</f>
        <v>0</v>
      </c>
      <c r="J61" s="187">
        <f>'F06 (MAT,SERV &amp; EQUIPO)'!S27</f>
        <v>0</v>
      </c>
      <c r="K61" s="187">
        <f>'F06 (MAT,SERV &amp; EQUIPO)'!T27</f>
        <v>0</v>
      </c>
      <c r="L61" s="187">
        <f>'F06 (MAT,SERV &amp; EQUIPO)'!U27</f>
        <v>0</v>
      </c>
      <c r="M61" s="187">
        <f>'F06 (MAT,SERV &amp; EQUIPO)'!V27</f>
        <v>0</v>
      </c>
      <c r="N61" s="187">
        <f>'F06 (MAT,SERV &amp; EQUIPO)'!W27</f>
        <v>0</v>
      </c>
      <c r="O61" s="187">
        <f>'F06 (MAT,SERV &amp; EQUIPO)'!X27</f>
        <v>0</v>
      </c>
      <c r="P61" s="187">
        <f>'F06 (MAT,SERV &amp; EQUIPO)'!Y27</f>
        <v>0</v>
      </c>
      <c r="Q61" s="266">
        <f t="shared" si="11"/>
        <v>0</v>
      </c>
    </row>
    <row r="62" spans="1:17" ht="26" hidden="1" customHeight="1" outlineLevel="1" x14ac:dyDescent="0.35">
      <c r="A62" s="181" t="s">
        <v>145</v>
      </c>
      <c r="B62" s="182">
        <f t="shared" si="10"/>
        <v>0</v>
      </c>
      <c r="C62" s="182">
        <f>'F06 (MAT,SERV &amp; EQUIPO)'!L28</f>
        <v>0</v>
      </c>
      <c r="D62" s="182">
        <f>'F06 (MAT,SERV &amp; EQUIPO)'!M28</f>
        <v>0</v>
      </c>
      <c r="E62" s="182">
        <f>'F06 (MAT,SERV &amp; EQUIPO)'!N28</f>
        <v>0</v>
      </c>
      <c r="F62" s="182">
        <f>'F06 (MAT,SERV &amp; EQUIPO)'!O28</f>
        <v>0</v>
      </c>
      <c r="G62" s="182">
        <f>'F06 (MAT,SERV &amp; EQUIPO)'!P28</f>
        <v>0</v>
      </c>
      <c r="H62" s="182">
        <f>'F06 (MAT,SERV &amp; EQUIPO)'!Q28</f>
        <v>0</v>
      </c>
      <c r="I62" s="182">
        <f>'F06 (MAT,SERV &amp; EQUIPO)'!R28</f>
        <v>0</v>
      </c>
      <c r="J62" s="182">
        <f>'F06 (MAT,SERV &amp; EQUIPO)'!S28</f>
        <v>0</v>
      </c>
      <c r="K62" s="182">
        <f>'F06 (MAT,SERV &amp; EQUIPO)'!T28</f>
        <v>0</v>
      </c>
      <c r="L62" s="182">
        <f>'F06 (MAT,SERV &amp; EQUIPO)'!U28</f>
        <v>0</v>
      </c>
      <c r="M62" s="182">
        <f>'F06 (MAT,SERV &amp; EQUIPO)'!V28</f>
        <v>0</v>
      </c>
      <c r="N62" s="182">
        <f>'F06 (MAT,SERV &amp; EQUIPO)'!W28</f>
        <v>0</v>
      </c>
      <c r="O62" s="182">
        <f>'F06 (MAT,SERV &amp; EQUIPO)'!X28</f>
        <v>0</v>
      </c>
      <c r="P62" s="182">
        <f>'F06 (MAT,SERV &amp; EQUIPO)'!Y28</f>
        <v>0</v>
      </c>
      <c r="Q62" s="266">
        <f t="shared" si="11"/>
        <v>0</v>
      </c>
    </row>
    <row r="63" spans="1:17" ht="26" hidden="1" customHeight="1" outlineLevel="1" x14ac:dyDescent="0.35">
      <c r="A63" s="179" t="s">
        <v>146</v>
      </c>
      <c r="B63" s="187">
        <f t="shared" si="10"/>
        <v>11700</v>
      </c>
      <c r="C63" s="187">
        <f>'F06 (MAT,SERV &amp; EQUIPO)'!L29</f>
        <v>0</v>
      </c>
      <c r="D63" s="187">
        <f>'F06 (MAT,SERV &amp; EQUIPO)'!M29</f>
        <v>900</v>
      </c>
      <c r="E63" s="187">
        <f>'F06 (MAT,SERV &amp; EQUIPO)'!N29</f>
        <v>900</v>
      </c>
      <c r="F63" s="187">
        <f>'F06 (MAT,SERV &amp; EQUIPO)'!O29</f>
        <v>900</v>
      </c>
      <c r="G63" s="187">
        <f>'F06 (MAT,SERV &amp; EQUIPO)'!P29</f>
        <v>900</v>
      </c>
      <c r="H63" s="187">
        <f>'F06 (MAT,SERV &amp; EQUIPO)'!Q29</f>
        <v>900</v>
      </c>
      <c r="I63" s="187">
        <f>'F06 (MAT,SERV &amp; EQUIPO)'!R29</f>
        <v>900</v>
      </c>
      <c r="J63" s="187">
        <f>'F06 (MAT,SERV &amp; EQUIPO)'!S29</f>
        <v>900</v>
      </c>
      <c r="K63" s="187">
        <f>'F06 (MAT,SERV &amp; EQUIPO)'!T29</f>
        <v>900</v>
      </c>
      <c r="L63" s="187">
        <f>'F06 (MAT,SERV &amp; EQUIPO)'!U29</f>
        <v>900</v>
      </c>
      <c r="M63" s="187">
        <f>'F06 (MAT,SERV &amp; EQUIPO)'!V29</f>
        <v>900</v>
      </c>
      <c r="N63" s="187">
        <f>'F06 (MAT,SERV &amp; EQUIPO)'!W29</f>
        <v>900</v>
      </c>
      <c r="O63" s="187">
        <f>'F06 (MAT,SERV &amp; EQUIPO)'!X29</f>
        <v>900</v>
      </c>
      <c r="P63" s="187">
        <f>'F06 (MAT,SERV &amp; EQUIPO)'!Y29</f>
        <v>900</v>
      </c>
      <c r="Q63" s="266">
        <f t="shared" si="11"/>
        <v>9.2137085254231279E-3</v>
      </c>
    </row>
    <row r="64" spans="1:17" ht="26" hidden="1" customHeight="1" outlineLevel="1" x14ac:dyDescent="0.35">
      <c r="A64" s="181" t="s">
        <v>147</v>
      </c>
      <c r="B64" s="182">
        <f t="shared" si="10"/>
        <v>0</v>
      </c>
      <c r="C64" s="182">
        <f>'F06 (MAT,SERV &amp; EQUIPO)'!L30</f>
        <v>0</v>
      </c>
      <c r="D64" s="182">
        <f>'F06 (MAT,SERV &amp; EQUIPO)'!M30</f>
        <v>0</v>
      </c>
      <c r="E64" s="182">
        <f>'F06 (MAT,SERV &amp; EQUIPO)'!N30</f>
        <v>0</v>
      </c>
      <c r="F64" s="182">
        <f>'F06 (MAT,SERV &amp; EQUIPO)'!O30</f>
        <v>0</v>
      </c>
      <c r="G64" s="182">
        <f>'F06 (MAT,SERV &amp; EQUIPO)'!P30</f>
        <v>0</v>
      </c>
      <c r="H64" s="182">
        <f>'F06 (MAT,SERV &amp; EQUIPO)'!Q30</f>
        <v>0</v>
      </c>
      <c r="I64" s="182">
        <f>'F06 (MAT,SERV &amp; EQUIPO)'!R30</f>
        <v>0</v>
      </c>
      <c r="J64" s="182">
        <f>'F06 (MAT,SERV &amp; EQUIPO)'!S30</f>
        <v>0</v>
      </c>
      <c r="K64" s="182">
        <f>'F06 (MAT,SERV &amp; EQUIPO)'!T30</f>
        <v>0</v>
      </c>
      <c r="L64" s="182">
        <f>'F06 (MAT,SERV &amp; EQUIPO)'!U30</f>
        <v>0</v>
      </c>
      <c r="M64" s="182">
        <f>'F06 (MAT,SERV &amp; EQUIPO)'!V30</f>
        <v>0</v>
      </c>
      <c r="N64" s="182">
        <f>'F06 (MAT,SERV &amp; EQUIPO)'!W30</f>
        <v>0</v>
      </c>
      <c r="O64" s="182">
        <f>'F06 (MAT,SERV &amp; EQUIPO)'!X30</f>
        <v>0</v>
      </c>
      <c r="P64" s="182">
        <f>'F06 (MAT,SERV &amp; EQUIPO)'!Y30</f>
        <v>0</v>
      </c>
      <c r="Q64" s="266">
        <f t="shared" si="11"/>
        <v>0</v>
      </c>
    </row>
    <row r="65" spans="1:20" ht="26" hidden="1" customHeight="1" outlineLevel="1" x14ac:dyDescent="0.35">
      <c r="A65" s="179" t="s">
        <v>148</v>
      </c>
      <c r="B65" s="187">
        <f t="shared" si="10"/>
        <v>0</v>
      </c>
      <c r="C65" s="187">
        <f>'F06 (MAT,SERV &amp; EQUIPO)'!L31</f>
        <v>0</v>
      </c>
      <c r="D65" s="187">
        <f>'F06 (MAT,SERV &amp; EQUIPO)'!M31</f>
        <v>0</v>
      </c>
      <c r="E65" s="187">
        <f>'F06 (MAT,SERV &amp; EQUIPO)'!N31</f>
        <v>0</v>
      </c>
      <c r="F65" s="187">
        <f>'F06 (MAT,SERV &amp; EQUIPO)'!O31</f>
        <v>0</v>
      </c>
      <c r="G65" s="187">
        <f>'F06 (MAT,SERV &amp; EQUIPO)'!P31</f>
        <v>0</v>
      </c>
      <c r="H65" s="187">
        <f>'F06 (MAT,SERV &amp; EQUIPO)'!Q31</f>
        <v>0</v>
      </c>
      <c r="I65" s="187">
        <f>'F06 (MAT,SERV &amp; EQUIPO)'!R31</f>
        <v>0</v>
      </c>
      <c r="J65" s="187">
        <f>'F06 (MAT,SERV &amp; EQUIPO)'!S31</f>
        <v>0</v>
      </c>
      <c r="K65" s="187">
        <f>'F06 (MAT,SERV &amp; EQUIPO)'!T31</f>
        <v>0</v>
      </c>
      <c r="L65" s="187">
        <f>'F06 (MAT,SERV &amp; EQUIPO)'!U31</f>
        <v>0</v>
      </c>
      <c r="M65" s="187">
        <f>'F06 (MAT,SERV &amp; EQUIPO)'!V31</f>
        <v>0</v>
      </c>
      <c r="N65" s="187">
        <f>'F06 (MAT,SERV &amp; EQUIPO)'!W31</f>
        <v>0</v>
      </c>
      <c r="O65" s="187">
        <f>'F06 (MAT,SERV &amp; EQUIPO)'!X31</f>
        <v>0</v>
      </c>
      <c r="P65" s="187">
        <f>'F06 (MAT,SERV &amp; EQUIPO)'!Y31</f>
        <v>0</v>
      </c>
      <c r="Q65" s="266">
        <f t="shared" si="11"/>
        <v>0</v>
      </c>
    </row>
    <row r="66" spans="1:20" ht="26" hidden="1" customHeight="1" outlineLevel="1" x14ac:dyDescent="0.35">
      <c r="A66" s="181" t="s">
        <v>149</v>
      </c>
      <c r="B66" s="182">
        <f t="shared" si="10"/>
        <v>2250</v>
      </c>
      <c r="C66" s="182">
        <f>'F06 (MAT,SERV &amp; EQUIPO)'!L32</f>
        <v>0</v>
      </c>
      <c r="D66" s="182">
        <f>'F06 (MAT,SERV &amp; EQUIPO)'!M32</f>
        <v>0</v>
      </c>
      <c r="E66" s="182">
        <f>'F06 (MAT,SERV &amp; EQUIPO)'!N32</f>
        <v>0</v>
      </c>
      <c r="F66" s="182">
        <f>'F06 (MAT,SERV &amp; EQUIPO)'!O32</f>
        <v>0</v>
      </c>
      <c r="G66" s="182">
        <f>'F06 (MAT,SERV &amp; EQUIPO)'!P32</f>
        <v>2250</v>
      </c>
      <c r="H66" s="182">
        <f>'F06 (MAT,SERV &amp; EQUIPO)'!Q32</f>
        <v>0</v>
      </c>
      <c r="I66" s="182">
        <f>'F06 (MAT,SERV &amp; EQUIPO)'!R32</f>
        <v>0</v>
      </c>
      <c r="J66" s="182">
        <f>'F06 (MAT,SERV &amp; EQUIPO)'!S32</f>
        <v>0</v>
      </c>
      <c r="K66" s="182">
        <f>'F06 (MAT,SERV &amp; EQUIPO)'!T32</f>
        <v>0</v>
      </c>
      <c r="L66" s="182">
        <f>'F06 (MAT,SERV &amp; EQUIPO)'!U32</f>
        <v>0</v>
      </c>
      <c r="M66" s="182">
        <f>'F06 (MAT,SERV &amp; EQUIPO)'!V32</f>
        <v>0</v>
      </c>
      <c r="N66" s="182">
        <f>'F06 (MAT,SERV &amp; EQUIPO)'!W32</f>
        <v>0</v>
      </c>
      <c r="O66" s="182">
        <f>'F06 (MAT,SERV &amp; EQUIPO)'!X32</f>
        <v>0</v>
      </c>
      <c r="P66" s="182">
        <f>'F06 (MAT,SERV &amp; EQUIPO)'!Y32</f>
        <v>0</v>
      </c>
      <c r="Q66" s="266">
        <f t="shared" si="11"/>
        <v>1.7718670241198323E-3</v>
      </c>
    </row>
    <row r="67" spans="1:20" ht="26" hidden="1" customHeight="1" outlineLevel="1" x14ac:dyDescent="0.35">
      <c r="A67" s="179" t="s">
        <v>150</v>
      </c>
      <c r="B67" s="187">
        <f t="shared" si="10"/>
        <v>0</v>
      </c>
      <c r="C67" s="187">
        <f>'F06 (MAT,SERV &amp; EQUIPO)'!L33</f>
        <v>0</v>
      </c>
      <c r="D67" s="187">
        <f>'F06 (MAT,SERV &amp; EQUIPO)'!M33</f>
        <v>0</v>
      </c>
      <c r="E67" s="187">
        <f>'F06 (MAT,SERV &amp; EQUIPO)'!N33</f>
        <v>0</v>
      </c>
      <c r="F67" s="187">
        <f>'F06 (MAT,SERV &amp; EQUIPO)'!O33</f>
        <v>0</v>
      </c>
      <c r="G67" s="187">
        <f>'F06 (MAT,SERV &amp; EQUIPO)'!P33</f>
        <v>0</v>
      </c>
      <c r="H67" s="187">
        <f>'F06 (MAT,SERV &amp; EQUIPO)'!Q33</f>
        <v>0</v>
      </c>
      <c r="I67" s="187">
        <f>'F06 (MAT,SERV &amp; EQUIPO)'!R33</f>
        <v>0</v>
      </c>
      <c r="J67" s="187">
        <f>'F06 (MAT,SERV &amp; EQUIPO)'!S33</f>
        <v>0</v>
      </c>
      <c r="K67" s="187">
        <f>'F06 (MAT,SERV &amp; EQUIPO)'!T33</f>
        <v>0</v>
      </c>
      <c r="L67" s="187">
        <f>'F06 (MAT,SERV &amp; EQUIPO)'!U33</f>
        <v>0</v>
      </c>
      <c r="M67" s="187">
        <f>'F06 (MAT,SERV &amp; EQUIPO)'!V33</f>
        <v>0</v>
      </c>
      <c r="N67" s="187">
        <f>'F06 (MAT,SERV &amp; EQUIPO)'!W33</f>
        <v>0</v>
      </c>
      <c r="O67" s="187">
        <f>'F06 (MAT,SERV &amp; EQUIPO)'!X33</f>
        <v>0</v>
      </c>
      <c r="P67" s="187">
        <f>'F06 (MAT,SERV &amp; EQUIPO)'!Y33</f>
        <v>0</v>
      </c>
      <c r="Q67" s="266">
        <f t="shared" si="11"/>
        <v>0</v>
      </c>
    </row>
    <row r="68" spans="1:20" ht="26" hidden="1" customHeight="1" outlineLevel="1" x14ac:dyDescent="0.35">
      <c r="A68" s="181" t="s">
        <v>151</v>
      </c>
      <c r="B68" s="182">
        <f t="shared" si="10"/>
        <v>0</v>
      </c>
      <c r="C68" s="182">
        <f>'F06 (MAT,SERV &amp; EQUIPO)'!L34</f>
        <v>0</v>
      </c>
      <c r="D68" s="182">
        <f>'F06 (MAT,SERV &amp; EQUIPO)'!M34</f>
        <v>0</v>
      </c>
      <c r="E68" s="182">
        <f>'F06 (MAT,SERV &amp; EQUIPO)'!N34</f>
        <v>0</v>
      </c>
      <c r="F68" s="182">
        <f>'F06 (MAT,SERV &amp; EQUIPO)'!O34</f>
        <v>0</v>
      </c>
      <c r="G68" s="182">
        <f>'F06 (MAT,SERV &amp; EQUIPO)'!P34</f>
        <v>0</v>
      </c>
      <c r="H68" s="182">
        <f>'F06 (MAT,SERV &amp; EQUIPO)'!Q34</f>
        <v>0</v>
      </c>
      <c r="I68" s="182">
        <f>'F06 (MAT,SERV &amp; EQUIPO)'!R34</f>
        <v>0</v>
      </c>
      <c r="J68" s="182">
        <f>'F06 (MAT,SERV &amp; EQUIPO)'!S34</f>
        <v>0</v>
      </c>
      <c r="K68" s="182">
        <f>'F06 (MAT,SERV &amp; EQUIPO)'!T34</f>
        <v>0</v>
      </c>
      <c r="L68" s="182">
        <f>'F06 (MAT,SERV &amp; EQUIPO)'!U34</f>
        <v>0</v>
      </c>
      <c r="M68" s="182">
        <f>'F06 (MAT,SERV &amp; EQUIPO)'!V34</f>
        <v>0</v>
      </c>
      <c r="N68" s="182">
        <f>'F06 (MAT,SERV &amp; EQUIPO)'!W34</f>
        <v>0</v>
      </c>
      <c r="O68" s="182">
        <f>'F06 (MAT,SERV &amp; EQUIPO)'!X34</f>
        <v>0</v>
      </c>
      <c r="P68" s="182">
        <f>'F06 (MAT,SERV &amp; EQUIPO)'!Y34</f>
        <v>0</v>
      </c>
      <c r="Q68" s="266">
        <f t="shared" si="11"/>
        <v>0</v>
      </c>
    </row>
    <row r="69" spans="1:20" ht="26" hidden="1" customHeight="1" outlineLevel="1" x14ac:dyDescent="0.35">
      <c r="A69" s="179" t="s">
        <v>152</v>
      </c>
      <c r="B69" s="187">
        <f t="shared" si="10"/>
        <v>0</v>
      </c>
      <c r="C69" s="187">
        <f>'F06 (MAT,SERV &amp; EQUIPO)'!L35</f>
        <v>0</v>
      </c>
      <c r="D69" s="187">
        <f>'F06 (MAT,SERV &amp; EQUIPO)'!M35</f>
        <v>0</v>
      </c>
      <c r="E69" s="187">
        <f>'F06 (MAT,SERV &amp; EQUIPO)'!N35</f>
        <v>0</v>
      </c>
      <c r="F69" s="187">
        <f>'F06 (MAT,SERV &amp; EQUIPO)'!O35</f>
        <v>0</v>
      </c>
      <c r="G69" s="187">
        <f>'F06 (MAT,SERV &amp; EQUIPO)'!P35</f>
        <v>0</v>
      </c>
      <c r="H69" s="187">
        <f>'F06 (MAT,SERV &amp; EQUIPO)'!Q35</f>
        <v>0</v>
      </c>
      <c r="I69" s="187">
        <f>'F06 (MAT,SERV &amp; EQUIPO)'!R35</f>
        <v>0</v>
      </c>
      <c r="J69" s="187">
        <f>'F06 (MAT,SERV &amp; EQUIPO)'!S35</f>
        <v>0</v>
      </c>
      <c r="K69" s="187">
        <f>'F06 (MAT,SERV &amp; EQUIPO)'!T35</f>
        <v>0</v>
      </c>
      <c r="L69" s="187">
        <f>'F06 (MAT,SERV &amp; EQUIPO)'!U35</f>
        <v>0</v>
      </c>
      <c r="M69" s="187">
        <f>'F06 (MAT,SERV &amp; EQUIPO)'!V35</f>
        <v>0</v>
      </c>
      <c r="N69" s="187">
        <f>'F06 (MAT,SERV &amp; EQUIPO)'!W35</f>
        <v>0</v>
      </c>
      <c r="O69" s="187">
        <f>'F06 (MAT,SERV &amp; EQUIPO)'!X35</f>
        <v>0</v>
      </c>
      <c r="P69" s="187">
        <f>'F06 (MAT,SERV &amp; EQUIPO)'!Y35</f>
        <v>0</v>
      </c>
      <c r="Q69" s="266">
        <f t="shared" si="11"/>
        <v>0</v>
      </c>
    </row>
    <row r="70" spans="1:20" ht="26" hidden="1" customHeight="1" outlineLevel="1" x14ac:dyDescent="0.35">
      <c r="A70" s="181" t="s">
        <v>153</v>
      </c>
      <c r="B70" s="182">
        <f t="shared" si="10"/>
        <v>0</v>
      </c>
      <c r="C70" s="182">
        <f>'F06 (MAT,SERV &amp; EQUIPO)'!L36</f>
        <v>0</v>
      </c>
      <c r="D70" s="182">
        <f>'F06 (MAT,SERV &amp; EQUIPO)'!M36</f>
        <v>0</v>
      </c>
      <c r="E70" s="182">
        <f>'F06 (MAT,SERV &amp; EQUIPO)'!N36</f>
        <v>0</v>
      </c>
      <c r="F70" s="182">
        <f>'F06 (MAT,SERV &amp; EQUIPO)'!O36</f>
        <v>0</v>
      </c>
      <c r="G70" s="182">
        <f>'F06 (MAT,SERV &amp; EQUIPO)'!P36</f>
        <v>0</v>
      </c>
      <c r="H70" s="182">
        <f>'F06 (MAT,SERV &amp; EQUIPO)'!Q36</f>
        <v>0</v>
      </c>
      <c r="I70" s="182">
        <f>'F06 (MAT,SERV &amp; EQUIPO)'!R36</f>
        <v>0</v>
      </c>
      <c r="J70" s="182">
        <f>'F06 (MAT,SERV &amp; EQUIPO)'!S36</f>
        <v>0</v>
      </c>
      <c r="K70" s="182">
        <f>'F06 (MAT,SERV &amp; EQUIPO)'!T36</f>
        <v>0</v>
      </c>
      <c r="L70" s="182">
        <f>'F06 (MAT,SERV &amp; EQUIPO)'!U36</f>
        <v>0</v>
      </c>
      <c r="M70" s="182">
        <f>'F06 (MAT,SERV &amp; EQUIPO)'!V36</f>
        <v>0</v>
      </c>
      <c r="N70" s="182">
        <f>'F06 (MAT,SERV &amp; EQUIPO)'!W36</f>
        <v>0</v>
      </c>
      <c r="O70" s="182">
        <f>'F06 (MAT,SERV &amp; EQUIPO)'!X36</f>
        <v>0</v>
      </c>
      <c r="P70" s="182">
        <f>'F06 (MAT,SERV &amp; EQUIPO)'!Y36</f>
        <v>0</v>
      </c>
      <c r="Q70" s="266">
        <f t="shared" si="11"/>
        <v>0</v>
      </c>
    </row>
    <row r="71" spans="1:20" ht="26" hidden="1" customHeight="1" outlineLevel="1" x14ac:dyDescent="0.35">
      <c r="A71" s="179" t="s">
        <v>154</v>
      </c>
      <c r="B71" s="187">
        <f t="shared" si="10"/>
        <v>0</v>
      </c>
      <c r="C71" s="187">
        <f>'F06 (MAT,SERV &amp; EQUIPO)'!L37</f>
        <v>0</v>
      </c>
      <c r="D71" s="187">
        <f>'F06 (MAT,SERV &amp; EQUIPO)'!M37</f>
        <v>0</v>
      </c>
      <c r="E71" s="187">
        <f>'F06 (MAT,SERV &amp; EQUIPO)'!N37</f>
        <v>0</v>
      </c>
      <c r="F71" s="187">
        <f>'F06 (MAT,SERV &amp; EQUIPO)'!O37</f>
        <v>0</v>
      </c>
      <c r="G71" s="187">
        <f>'F06 (MAT,SERV &amp; EQUIPO)'!P37</f>
        <v>0</v>
      </c>
      <c r="H71" s="187">
        <f>'F06 (MAT,SERV &amp; EQUIPO)'!Q37</f>
        <v>0</v>
      </c>
      <c r="I71" s="187">
        <f>'F06 (MAT,SERV &amp; EQUIPO)'!R37</f>
        <v>0</v>
      </c>
      <c r="J71" s="187">
        <f>'F06 (MAT,SERV &amp; EQUIPO)'!S37</f>
        <v>0</v>
      </c>
      <c r="K71" s="187">
        <f>'F06 (MAT,SERV &amp; EQUIPO)'!T37</f>
        <v>0</v>
      </c>
      <c r="L71" s="187">
        <f>'F06 (MAT,SERV &amp; EQUIPO)'!U37</f>
        <v>0</v>
      </c>
      <c r="M71" s="187">
        <f>'F06 (MAT,SERV &amp; EQUIPO)'!V37</f>
        <v>0</v>
      </c>
      <c r="N71" s="187">
        <f>'F06 (MAT,SERV &amp; EQUIPO)'!W37</f>
        <v>0</v>
      </c>
      <c r="O71" s="187">
        <f>'F06 (MAT,SERV &amp; EQUIPO)'!X37</f>
        <v>0</v>
      </c>
      <c r="P71" s="187">
        <f>'F06 (MAT,SERV &amp; EQUIPO)'!Y37</f>
        <v>0</v>
      </c>
      <c r="Q71" s="266">
        <f t="shared" si="11"/>
        <v>0</v>
      </c>
    </row>
    <row r="72" spans="1:20" ht="26" hidden="1" customHeight="1" outlineLevel="1" x14ac:dyDescent="0.35">
      <c r="A72" s="181" t="s">
        <v>155</v>
      </c>
      <c r="B72" s="182">
        <f t="shared" si="10"/>
        <v>0</v>
      </c>
      <c r="C72" s="182">
        <f>'F06 (MAT,SERV &amp; EQUIPO)'!L38</f>
        <v>0</v>
      </c>
      <c r="D72" s="182">
        <f>'F06 (MAT,SERV &amp; EQUIPO)'!M38</f>
        <v>0</v>
      </c>
      <c r="E72" s="182">
        <f>'F06 (MAT,SERV &amp; EQUIPO)'!N38</f>
        <v>0</v>
      </c>
      <c r="F72" s="182">
        <f>'F06 (MAT,SERV &amp; EQUIPO)'!O38</f>
        <v>0</v>
      </c>
      <c r="G72" s="182">
        <f>'F06 (MAT,SERV &amp; EQUIPO)'!P38</f>
        <v>0</v>
      </c>
      <c r="H72" s="182">
        <f>'F06 (MAT,SERV &amp; EQUIPO)'!Q38</f>
        <v>0</v>
      </c>
      <c r="I72" s="182">
        <f>'F06 (MAT,SERV &amp; EQUIPO)'!R38</f>
        <v>0</v>
      </c>
      <c r="J72" s="182">
        <f>'F06 (MAT,SERV &amp; EQUIPO)'!S38</f>
        <v>0</v>
      </c>
      <c r="K72" s="182">
        <f>'F06 (MAT,SERV &amp; EQUIPO)'!T38</f>
        <v>0</v>
      </c>
      <c r="L72" s="182">
        <f>'F06 (MAT,SERV &amp; EQUIPO)'!U38</f>
        <v>0</v>
      </c>
      <c r="M72" s="182">
        <f>'F06 (MAT,SERV &amp; EQUIPO)'!V38</f>
        <v>0</v>
      </c>
      <c r="N72" s="182">
        <f>'F06 (MAT,SERV &amp; EQUIPO)'!W38</f>
        <v>0</v>
      </c>
      <c r="O72" s="182">
        <f>'F06 (MAT,SERV &amp; EQUIPO)'!X38</f>
        <v>0</v>
      </c>
      <c r="P72" s="182">
        <f>'F06 (MAT,SERV &amp; EQUIPO)'!Y38</f>
        <v>0</v>
      </c>
      <c r="Q72" s="266">
        <f t="shared" si="11"/>
        <v>0</v>
      </c>
    </row>
    <row r="73" spans="1:20" ht="26" hidden="1" customHeight="1" outlineLevel="1" x14ac:dyDescent="0.35">
      <c r="A73" s="179" t="s">
        <v>156</v>
      </c>
      <c r="B73" s="187">
        <f t="shared" si="10"/>
        <v>0</v>
      </c>
      <c r="C73" s="187">
        <f>'F06 (MAT,SERV &amp; EQUIPO)'!L39</f>
        <v>0</v>
      </c>
      <c r="D73" s="187">
        <f>'F06 (MAT,SERV &amp; EQUIPO)'!M39</f>
        <v>0</v>
      </c>
      <c r="E73" s="187">
        <f>'F06 (MAT,SERV &amp; EQUIPO)'!N39</f>
        <v>0</v>
      </c>
      <c r="F73" s="187">
        <f>'F06 (MAT,SERV &amp; EQUIPO)'!O39</f>
        <v>0</v>
      </c>
      <c r="G73" s="187">
        <f>'F06 (MAT,SERV &amp; EQUIPO)'!P39</f>
        <v>0</v>
      </c>
      <c r="H73" s="187">
        <f>'F06 (MAT,SERV &amp; EQUIPO)'!Q39</f>
        <v>0</v>
      </c>
      <c r="I73" s="187">
        <f>'F06 (MAT,SERV &amp; EQUIPO)'!R39</f>
        <v>0</v>
      </c>
      <c r="J73" s="187">
        <f>'F06 (MAT,SERV &amp; EQUIPO)'!S39</f>
        <v>0</v>
      </c>
      <c r="K73" s="187">
        <f>'F06 (MAT,SERV &amp; EQUIPO)'!T39</f>
        <v>0</v>
      </c>
      <c r="L73" s="187">
        <f>'F06 (MAT,SERV &amp; EQUIPO)'!U39</f>
        <v>0</v>
      </c>
      <c r="M73" s="187">
        <f>'F06 (MAT,SERV &amp; EQUIPO)'!V39</f>
        <v>0</v>
      </c>
      <c r="N73" s="187">
        <f>'F06 (MAT,SERV &amp; EQUIPO)'!W39</f>
        <v>0</v>
      </c>
      <c r="O73" s="187">
        <f>'F06 (MAT,SERV &amp; EQUIPO)'!X39</f>
        <v>0</v>
      </c>
      <c r="P73" s="187">
        <f>'F06 (MAT,SERV &amp; EQUIPO)'!Y39</f>
        <v>0</v>
      </c>
      <c r="Q73" s="266">
        <f t="shared" si="11"/>
        <v>0</v>
      </c>
    </row>
    <row r="74" spans="1:20" ht="26" hidden="1" customHeight="1" outlineLevel="1" x14ac:dyDescent="0.35">
      <c r="A74" s="181" t="s">
        <v>157</v>
      </c>
      <c r="B74" s="182">
        <f t="shared" si="10"/>
        <v>0</v>
      </c>
      <c r="C74" s="182">
        <f>'F06 (MAT,SERV &amp; EQUIPO)'!L40</f>
        <v>0</v>
      </c>
      <c r="D74" s="182">
        <f>'F06 (MAT,SERV &amp; EQUIPO)'!M40</f>
        <v>0</v>
      </c>
      <c r="E74" s="182">
        <f>'F06 (MAT,SERV &amp; EQUIPO)'!N40</f>
        <v>0</v>
      </c>
      <c r="F74" s="182">
        <f>'F06 (MAT,SERV &amp; EQUIPO)'!O40</f>
        <v>0</v>
      </c>
      <c r="G74" s="182">
        <f>'F06 (MAT,SERV &amp; EQUIPO)'!P40</f>
        <v>0</v>
      </c>
      <c r="H74" s="182">
        <f>'F06 (MAT,SERV &amp; EQUIPO)'!Q40</f>
        <v>0</v>
      </c>
      <c r="I74" s="182">
        <f>'F06 (MAT,SERV &amp; EQUIPO)'!R40</f>
        <v>0</v>
      </c>
      <c r="J74" s="182">
        <f>'F06 (MAT,SERV &amp; EQUIPO)'!S40</f>
        <v>0</v>
      </c>
      <c r="K74" s="182">
        <f>'F06 (MAT,SERV &amp; EQUIPO)'!T40</f>
        <v>0</v>
      </c>
      <c r="L74" s="182">
        <f>'F06 (MAT,SERV &amp; EQUIPO)'!U40</f>
        <v>0</v>
      </c>
      <c r="M74" s="182">
        <f>'F06 (MAT,SERV &amp; EQUIPO)'!V40</f>
        <v>0</v>
      </c>
      <c r="N74" s="182">
        <f>'F06 (MAT,SERV &amp; EQUIPO)'!W40</f>
        <v>0</v>
      </c>
      <c r="O74" s="182">
        <f>'F06 (MAT,SERV &amp; EQUIPO)'!X40</f>
        <v>0</v>
      </c>
      <c r="P74" s="182">
        <f>'F06 (MAT,SERV &amp; EQUIPO)'!Y40</f>
        <v>0</v>
      </c>
      <c r="Q74" s="266">
        <f t="shared" si="11"/>
        <v>0</v>
      </c>
    </row>
    <row r="75" spans="1:20" ht="26" hidden="1" customHeight="1" outlineLevel="1" x14ac:dyDescent="0.35">
      <c r="A75" s="179" t="s">
        <v>158</v>
      </c>
      <c r="B75" s="187">
        <f t="shared" si="10"/>
        <v>0</v>
      </c>
      <c r="C75" s="187">
        <f>'F06 (MAT,SERV &amp; EQUIPO)'!L41</f>
        <v>0</v>
      </c>
      <c r="D75" s="187">
        <f>'F06 (MAT,SERV &amp; EQUIPO)'!M41</f>
        <v>0</v>
      </c>
      <c r="E75" s="187">
        <f>'F06 (MAT,SERV &amp; EQUIPO)'!N41</f>
        <v>0</v>
      </c>
      <c r="F75" s="187">
        <f>'F06 (MAT,SERV &amp; EQUIPO)'!O41</f>
        <v>0</v>
      </c>
      <c r="G75" s="187">
        <f>'F06 (MAT,SERV &amp; EQUIPO)'!P41</f>
        <v>0</v>
      </c>
      <c r="H75" s="187">
        <f>'F06 (MAT,SERV &amp; EQUIPO)'!Q41</f>
        <v>0</v>
      </c>
      <c r="I75" s="187">
        <f>'F06 (MAT,SERV &amp; EQUIPO)'!R41</f>
        <v>0</v>
      </c>
      <c r="J75" s="187">
        <f>'F06 (MAT,SERV &amp; EQUIPO)'!S41</f>
        <v>0</v>
      </c>
      <c r="K75" s="187">
        <f>'F06 (MAT,SERV &amp; EQUIPO)'!T41</f>
        <v>0</v>
      </c>
      <c r="L75" s="187">
        <f>'F06 (MAT,SERV &amp; EQUIPO)'!U41</f>
        <v>0</v>
      </c>
      <c r="M75" s="187">
        <f>'F06 (MAT,SERV &amp; EQUIPO)'!V41</f>
        <v>0</v>
      </c>
      <c r="N75" s="187">
        <f>'F06 (MAT,SERV &amp; EQUIPO)'!W41</f>
        <v>0</v>
      </c>
      <c r="O75" s="187">
        <f>'F06 (MAT,SERV &amp; EQUIPO)'!X41</f>
        <v>0</v>
      </c>
      <c r="P75" s="187">
        <f>'F06 (MAT,SERV &amp; EQUIPO)'!Y41</f>
        <v>0</v>
      </c>
      <c r="Q75" s="266">
        <f t="shared" si="11"/>
        <v>0</v>
      </c>
    </row>
    <row r="76" spans="1:20" s="186" customFormat="1" ht="26" customHeight="1" collapsed="1" x14ac:dyDescent="0.35">
      <c r="A76" s="188" t="s">
        <v>7</v>
      </c>
      <c r="B76" s="189">
        <f>SUM(B41:B75)</f>
        <v>23333</v>
      </c>
      <c r="C76" s="190">
        <f t="shared" ref="C76:P76" si="12">SUM(C41:C75)</f>
        <v>0</v>
      </c>
      <c r="D76" s="190">
        <f t="shared" si="12"/>
        <v>2760</v>
      </c>
      <c r="E76" s="190">
        <f t="shared" si="12"/>
        <v>1260</v>
      </c>
      <c r="F76" s="190">
        <f t="shared" si="12"/>
        <v>1260</v>
      </c>
      <c r="G76" s="190">
        <f t="shared" si="12"/>
        <v>3510</v>
      </c>
      <c r="H76" s="190">
        <f t="shared" si="12"/>
        <v>1260</v>
      </c>
      <c r="I76" s="190">
        <f t="shared" si="12"/>
        <v>2963</v>
      </c>
      <c r="J76" s="190">
        <f t="shared" si="12"/>
        <v>1260</v>
      </c>
      <c r="K76" s="190">
        <f t="shared" si="12"/>
        <v>1260</v>
      </c>
      <c r="L76" s="190">
        <f t="shared" si="12"/>
        <v>1260</v>
      </c>
      <c r="M76" s="190">
        <f t="shared" si="12"/>
        <v>1260</v>
      </c>
      <c r="N76" s="190">
        <f t="shared" si="12"/>
        <v>1260</v>
      </c>
      <c r="O76" s="190">
        <f t="shared" si="12"/>
        <v>2760</v>
      </c>
      <c r="P76" s="190">
        <f t="shared" si="12"/>
        <v>1260</v>
      </c>
      <c r="Q76" s="266">
        <f t="shared" si="11"/>
        <v>1.8374654788350243E-2</v>
      </c>
      <c r="R76" s="173"/>
      <c r="S76" s="263">
        <f>'F06 (MAT,SERV &amp; EQUIPO)'!L45</f>
        <v>23333</v>
      </c>
      <c r="T76" s="263">
        <f>+B76-S76</f>
        <v>0</v>
      </c>
    </row>
    <row r="77" spans="1:20" ht="26" hidden="1" customHeight="1" outlineLevel="1" x14ac:dyDescent="0.35">
      <c r="A77" s="179" t="s">
        <v>159</v>
      </c>
      <c r="B77" s="187">
        <f t="shared" ref="B77:B83" si="13">SUM(C77:P77)</f>
        <v>455</v>
      </c>
      <c r="C77" s="180">
        <f>'F07 OPERAC. (MAT,SERV &amp; EQUIPO)'!L162</f>
        <v>0</v>
      </c>
      <c r="D77" s="180">
        <f>'F07 OPERAC. (MAT,SERV &amp; EQUIPO)'!M162</f>
        <v>35</v>
      </c>
      <c r="E77" s="180">
        <f>'F07 OPERAC. (MAT,SERV &amp; EQUIPO)'!N162</f>
        <v>35</v>
      </c>
      <c r="F77" s="180">
        <f>'F07 OPERAC. (MAT,SERV &amp; EQUIPO)'!O162</f>
        <v>35</v>
      </c>
      <c r="G77" s="180">
        <f>'F07 OPERAC. (MAT,SERV &amp; EQUIPO)'!P162</f>
        <v>35</v>
      </c>
      <c r="H77" s="180">
        <f>'F07 OPERAC. (MAT,SERV &amp; EQUIPO)'!Q162</f>
        <v>35</v>
      </c>
      <c r="I77" s="180">
        <f>'F07 OPERAC. (MAT,SERV &amp; EQUIPO)'!R162</f>
        <v>35</v>
      </c>
      <c r="J77" s="180">
        <f>'F07 OPERAC. (MAT,SERV &amp; EQUIPO)'!S162</f>
        <v>35</v>
      </c>
      <c r="K77" s="180">
        <f>'F07 OPERAC. (MAT,SERV &amp; EQUIPO)'!T162</f>
        <v>35</v>
      </c>
      <c r="L77" s="180">
        <f>'F07 OPERAC. (MAT,SERV &amp; EQUIPO)'!U162</f>
        <v>35</v>
      </c>
      <c r="M77" s="180">
        <f>'F07 OPERAC. (MAT,SERV &amp; EQUIPO)'!V162</f>
        <v>35</v>
      </c>
      <c r="N77" s="180">
        <f>'F07 OPERAC. (MAT,SERV &amp; EQUIPO)'!W162</f>
        <v>35</v>
      </c>
      <c r="O77" s="180">
        <f>'F07 OPERAC. (MAT,SERV &amp; EQUIPO)'!X162</f>
        <v>35</v>
      </c>
      <c r="P77" s="180">
        <f>'F07 OPERAC. (MAT,SERV &amp; EQUIPO)'!Y162</f>
        <v>35</v>
      </c>
      <c r="Q77" s="266">
        <f t="shared" ref="Q77:Q108" si="14">B77/$B$166</f>
        <v>3.583108870997883E-4</v>
      </c>
    </row>
    <row r="78" spans="1:20" s="186" customFormat="1" ht="26" customHeight="1" collapsed="1" x14ac:dyDescent="0.35">
      <c r="A78" s="188" t="s">
        <v>88</v>
      </c>
      <c r="B78" s="189">
        <f>SUM(B77)</f>
        <v>455</v>
      </c>
      <c r="C78" s="190">
        <f>C77</f>
        <v>0</v>
      </c>
      <c r="D78" s="190">
        <f t="shared" ref="D78:P80" si="15">D77</f>
        <v>35</v>
      </c>
      <c r="E78" s="190">
        <f t="shared" si="15"/>
        <v>35</v>
      </c>
      <c r="F78" s="190">
        <f t="shared" si="15"/>
        <v>35</v>
      </c>
      <c r="G78" s="190">
        <f t="shared" si="15"/>
        <v>35</v>
      </c>
      <c r="H78" s="190">
        <f t="shared" si="15"/>
        <v>35</v>
      </c>
      <c r="I78" s="190">
        <f t="shared" si="15"/>
        <v>35</v>
      </c>
      <c r="J78" s="190">
        <f t="shared" si="15"/>
        <v>35</v>
      </c>
      <c r="K78" s="190">
        <f t="shared" si="15"/>
        <v>35</v>
      </c>
      <c r="L78" s="190">
        <f t="shared" si="15"/>
        <v>35</v>
      </c>
      <c r="M78" s="190">
        <f t="shared" si="15"/>
        <v>35</v>
      </c>
      <c r="N78" s="190">
        <f t="shared" si="15"/>
        <v>35</v>
      </c>
      <c r="O78" s="190">
        <f t="shared" si="15"/>
        <v>35</v>
      </c>
      <c r="P78" s="190">
        <f t="shared" si="15"/>
        <v>35</v>
      </c>
      <c r="Q78" s="266">
        <f t="shared" si="14"/>
        <v>3.583108870997883E-4</v>
      </c>
      <c r="R78" s="173"/>
      <c r="S78" s="263">
        <f>'F07 OPERAC. (MAT,SERV &amp; EQUIPO)'!L164</f>
        <v>455</v>
      </c>
      <c r="T78" s="263">
        <f>+B78-S78</f>
        <v>0</v>
      </c>
    </row>
    <row r="79" spans="1:20" s="186" customFormat="1" ht="26" hidden="1" customHeight="1" outlineLevel="1" x14ac:dyDescent="0.35">
      <c r="A79" s="179" t="s">
        <v>0</v>
      </c>
      <c r="B79" s="187">
        <f t="shared" si="13"/>
        <v>228019.29440328939</v>
      </c>
      <c r="C79" s="180">
        <f>NOMINA!V19</f>
        <v>0</v>
      </c>
      <c r="D79" s="180">
        <f>NOMINA!W19</f>
        <v>16104.272559868417</v>
      </c>
      <c r="E79" s="180">
        <f>NOMINA!X19</f>
        <v>16104.272559868417</v>
      </c>
      <c r="F79" s="180">
        <f>NOMINA!Y19</f>
        <v>16104.272559868417</v>
      </c>
      <c r="G79" s="180">
        <f>NOMINA!Z19</f>
        <v>16104.272559868417</v>
      </c>
      <c r="H79" s="180">
        <f>NOMINA!AA19</f>
        <v>21436.772881296994</v>
      </c>
      <c r="I79" s="180">
        <f>NOMINA!AB19</f>
        <v>16104.272559868417</v>
      </c>
      <c r="J79" s="180">
        <f>NOMINA!AC19</f>
        <v>16104.272559868417</v>
      </c>
      <c r="K79" s="180">
        <f>NOMINA!AD19</f>
        <v>16104.272559868417</v>
      </c>
      <c r="L79" s="180">
        <f>NOMINA!AE19</f>
        <v>16104.272559868417</v>
      </c>
      <c r="M79" s="180">
        <f>NOMINA!AF19</f>
        <v>16104.272559868417</v>
      </c>
      <c r="N79" s="180">
        <f>NOMINA!AG19</f>
        <v>16104.272559868417</v>
      </c>
      <c r="O79" s="180">
        <f>NOMINA!AH19</f>
        <v>29435.523363439846</v>
      </c>
      <c r="P79" s="180">
        <f>NOMINA!AI19</f>
        <v>16104.272559868417</v>
      </c>
      <c r="Q79" s="266">
        <f t="shared" si="14"/>
        <v>0.17956438605167124</v>
      </c>
      <c r="R79" s="173"/>
      <c r="S79" s="173"/>
      <c r="T79" s="173"/>
    </row>
    <row r="80" spans="1:20" s="186" customFormat="1" ht="26" customHeight="1" collapsed="1" x14ac:dyDescent="0.35">
      <c r="A80" s="188" t="s">
        <v>0</v>
      </c>
      <c r="B80" s="189">
        <f>SUM(B79)</f>
        <v>228019.29440328939</v>
      </c>
      <c r="C80" s="190">
        <f>C79</f>
        <v>0</v>
      </c>
      <c r="D80" s="190">
        <f t="shared" si="15"/>
        <v>16104.272559868417</v>
      </c>
      <c r="E80" s="190">
        <f t="shared" si="15"/>
        <v>16104.272559868417</v>
      </c>
      <c r="F80" s="190">
        <f t="shared" si="15"/>
        <v>16104.272559868417</v>
      </c>
      <c r="G80" s="190">
        <f t="shared" si="15"/>
        <v>16104.272559868417</v>
      </c>
      <c r="H80" s="190">
        <f t="shared" si="15"/>
        <v>21436.772881296994</v>
      </c>
      <c r="I80" s="190">
        <f t="shared" si="15"/>
        <v>16104.272559868417</v>
      </c>
      <c r="J80" s="190">
        <f t="shared" si="15"/>
        <v>16104.272559868417</v>
      </c>
      <c r="K80" s="190">
        <f t="shared" si="15"/>
        <v>16104.272559868417</v>
      </c>
      <c r="L80" s="190">
        <f t="shared" si="15"/>
        <v>16104.272559868417</v>
      </c>
      <c r="M80" s="190">
        <f t="shared" si="15"/>
        <v>16104.272559868417</v>
      </c>
      <c r="N80" s="190">
        <f t="shared" si="15"/>
        <v>16104.272559868417</v>
      </c>
      <c r="O80" s="190">
        <f t="shared" si="15"/>
        <v>29435.523363439846</v>
      </c>
      <c r="P80" s="190">
        <f t="shared" si="15"/>
        <v>16104.272559868417</v>
      </c>
      <c r="Q80" s="266">
        <f t="shared" si="14"/>
        <v>0.17956438605167124</v>
      </c>
      <c r="R80" s="173"/>
      <c r="S80" s="263">
        <f>NOMINA!V21</f>
        <v>228019.29440328939</v>
      </c>
      <c r="T80" s="263">
        <f>+B80-S80</f>
        <v>0</v>
      </c>
    </row>
    <row r="81" spans="1:20" ht="26" hidden="1" customHeight="1" outlineLevel="1" x14ac:dyDescent="0.35">
      <c r="A81" s="179" t="s">
        <v>160</v>
      </c>
      <c r="B81" s="187">
        <f t="shared" si="13"/>
        <v>0</v>
      </c>
      <c r="C81" s="180">
        <f>'F03 COM Y EQ COM'!L11</f>
        <v>0</v>
      </c>
      <c r="D81" s="180">
        <f>'F03 COM Y EQ COM'!M11</f>
        <v>0</v>
      </c>
      <c r="E81" s="180">
        <f>'F03 COM Y EQ COM'!N11</f>
        <v>0</v>
      </c>
      <c r="F81" s="180">
        <f>'F03 COM Y EQ COM'!O11</f>
        <v>0</v>
      </c>
      <c r="G81" s="180">
        <f>'F03 COM Y EQ COM'!P11</f>
        <v>0</v>
      </c>
      <c r="H81" s="180">
        <f>'F03 COM Y EQ COM'!Q11</f>
        <v>0</v>
      </c>
      <c r="I81" s="180">
        <f>'F03 COM Y EQ COM'!R11</f>
        <v>0</v>
      </c>
      <c r="J81" s="180">
        <f>'F03 COM Y EQ COM'!S11</f>
        <v>0</v>
      </c>
      <c r="K81" s="180">
        <f>'F03 COM Y EQ COM'!T11</f>
        <v>0</v>
      </c>
      <c r="L81" s="180">
        <f>'F03 COM Y EQ COM'!U11</f>
        <v>0</v>
      </c>
      <c r="M81" s="180">
        <f>'F03 COM Y EQ COM'!V11</f>
        <v>0</v>
      </c>
      <c r="N81" s="180">
        <f>'F03 COM Y EQ COM'!W11</f>
        <v>0</v>
      </c>
      <c r="O81" s="180">
        <f>'F03 COM Y EQ COM'!X11</f>
        <v>0</v>
      </c>
      <c r="P81" s="180">
        <f>'F03 COM Y EQ COM'!Y11</f>
        <v>0</v>
      </c>
      <c r="Q81" s="266">
        <f t="shared" si="14"/>
        <v>0</v>
      </c>
    </row>
    <row r="82" spans="1:20" ht="26" hidden="1" customHeight="1" outlineLevel="1" x14ac:dyDescent="0.35">
      <c r="A82" s="181" t="s">
        <v>161</v>
      </c>
      <c r="B82" s="182">
        <f t="shared" si="13"/>
        <v>975</v>
      </c>
      <c r="C82" s="182">
        <f>'F03 COM Y EQ COM'!L20</f>
        <v>0</v>
      </c>
      <c r="D82" s="182">
        <f>'F03 COM Y EQ COM'!M20</f>
        <v>75</v>
      </c>
      <c r="E82" s="182">
        <f>'F03 COM Y EQ COM'!N20</f>
        <v>75</v>
      </c>
      <c r="F82" s="182">
        <f>'F03 COM Y EQ COM'!O20</f>
        <v>75</v>
      </c>
      <c r="G82" s="182">
        <f>'F03 COM Y EQ COM'!P20</f>
        <v>75</v>
      </c>
      <c r="H82" s="182">
        <f>'F03 COM Y EQ COM'!Q20</f>
        <v>75</v>
      </c>
      <c r="I82" s="182">
        <f>'F03 COM Y EQ COM'!R20</f>
        <v>75</v>
      </c>
      <c r="J82" s="182">
        <f>'F03 COM Y EQ COM'!S20</f>
        <v>75</v>
      </c>
      <c r="K82" s="182">
        <f>'F03 COM Y EQ COM'!T20</f>
        <v>75</v>
      </c>
      <c r="L82" s="182">
        <f>'F03 COM Y EQ COM'!U20</f>
        <v>75</v>
      </c>
      <c r="M82" s="182">
        <f>'F03 COM Y EQ COM'!V20</f>
        <v>75</v>
      </c>
      <c r="N82" s="182">
        <f>'F03 COM Y EQ COM'!W20</f>
        <v>75</v>
      </c>
      <c r="O82" s="182">
        <f>'F03 COM Y EQ COM'!X20</f>
        <v>75</v>
      </c>
      <c r="P82" s="182">
        <f>'F03 COM Y EQ COM'!Y20</f>
        <v>75</v>
      </c>
      <c r="Q82" s="266">
        <f t="shared" si="14"/>
        <v>7.6780904378526062E-4</v>
      </c>
    </row>
    <row r="83" spans="1:20" ht="26" hidden="1" customHeight="1" outlineLevel="1" x14ac:dyDescent="0.35">
      <c r="A83" s="179" t="s">
        <v>162</v>
      </c>
      <c r="B83" s="187">
        <f t="shared" si="13"/>
        <v>0</v>
      </c>
      <c r="C83" s="180">
        <f>'F03 COM Y EQ COM'!L29</f>
        <v>0</v>
      </c>
      <c r="D83" s="180">
        <f>'F03 COM Y EQ COM'!M29</f>
        <v>0</v>
      </c>
      <c r="E83" s="180">
        <f>'F03 COM Y EQ COM'!N29</f>
        <v>0</v>
      </c>
      <c r="F83" s="180">
        <f>'F03 COM Y EQ COM'!O29</f>
        <v>0</v>
      </c>
      <c r="G83" s="180">
        <f>'F03 COM Y EQ COM'!P29</f>
        <v>0</v>
      </c>
      <c r="H83" s="180">
        <f>'F03 COM Y EQ COM'!Q29</f>
        <v>0</v>
      </c>
      <c r="I83" s="180">
        <f>'F03 COM Y EQ COM'!R29</f>
        <v>0</v>
      </c>
      <c r="J83" s="180">
        <f>'F03 COM Y EQ COM'!S29</f>
        <v>0</v>
      </c>
      <c r="K83" s="180">
        <f>'F03 COM Y EQ COM'!T29</f>
        <v>0</v>
      </c>
      <c r="L83" s="180">
        <f>'F03 COM Y EQ COM'!U29</f>
        <v>0</v>
      </c>
      <c r="M83" s="180">
        <f>'F03 COM Y EQ COM'!V29</f>
        <v>0</v>
      </c>
      <c r="N83" s="180">
        <f>'F03 COM Y EQ COM'!W29</f>
        <v>0</v>
      </c>
      <c r="O83" s="180">
        <f>'F03 COM Y EQ COM'!X29</f>
        <v>0</v>
      </c>
      <c r="P83" s="180">
        <f>'F03 COM Y EQ COM'!Y29</f>
        <v>0</v>
      </c>
      <c r="Q83" s="266">
        <f t="shared" si="14"/>
        <v>0</v>
      </c>
    </row>
    <row r="84" spans="1:20" s="186" customFormat="1" ht="26" customHeight="1" collapsed="1" x14ac:dyDescent="0.35">
      <c r="A84" s="188" t="s">
        <v>89</v>
      </c>
      <c r="B84" s="189">
        <f>SUM(B81:B83)</f>
        <v>975</v>
      </c>
      <c r="C84" s="190">
        <f>SUM(C81:C83)</f>
        <v>0</v>
      </c>
      <c r="D84" s="190">
        <f t="shared" ref="D84:P84" si="16">SUM(D81:D83)</f>
        <v>75</v>
      </c>
      <c r="E84" s="190">
        <f t="shared" si="16"/>
        <v>75</v>
      </c>
      <c r="F84" s="190">
        <f t="shared" si="16"/>
        <v>75</v>
      </c>
      <c r="G84" s="190">
        <f t="shared" si="16"/>
        <v>75</v>
      </c>
      <c r="H84" s="190">
        <f t="shared" si="16"/>
        <v>75</v>
      </c>
      <c r="I84" s="190">
        <f t="shared" si="16"/>
        <v>75</v>
      </c>
      <c r="J84" s="190">
        <f t="shared" si="16"/>
        <v>75</v>
      </c>
      <c r="K84" s="190">
        <f t="shared" si="16"/>
        <v>75</v>
      </c>
      <c r="L84" s="190">
        <f t="shared" si="16"/>
        <v>75</v>
      </c>
      <c r="M84" s="190">
        <f t="shared" si="16"/>
        <v>75</v>
      </c>
      <c r="N84" s="190">
        <f t="shared" si="16"/>
        <v>75</v>
      </c>
      <c r="O84" s="190">
        <f t="shared" si="16"/>
        <v>75</v>
      </c>
      <c r="P84" s="190">
        <f t="shared" si="16"/>
        <v>75</v>
      </c>
      <c r="Q84" s="266">
        <f t="shared" si="14"/>
        <v>7.6780904378526062E-4</v>
      </c>
      <c r="R84" s="173"/>
      <c r="S84" s="263">
        <f>'F03 COM Y EQ COM'!L37</f>
        <v>975</v>
      </c>
      <c r="T84" s="263">
        <f>+B84-S84</f>
        <v>0</v>
      </c>
    </row>
    <row r="85" spans="1:20" ht="26" hidden="1" customHeight="1" outlineLevel="1" x14ac:dyDescent="0.35">
      <c r="A85" s="179" t="s">
        <v>163</v>
      </c>
      <c r="B85" s="187">
        <f>SUM(C85:P85)</f>
        <v>0</v>
      </c>
      <c r="C85" s="187">
        <f>'F07 OPERAC. (MAT,SERV &amp; EQUIPO)'!L52</f>
        <v>0</v>
      </c>
      <c r="D85" s="187">
        <f>'F07 OPERAC. (MAT,SERV &amp; EQUIPO)'!M52</f>
        <v>0</v>
      </c>
      <c r="E85" s="187">
        <f>'F07 OPERAC. (MAT,SERV &amp; EQUIPO)'!N52</f>
        <v>0</v>
      </c>
      <c r="F85" s="187">
        <f>'F07 OPERAC. (MAT,SERV &amp; EQUIPO)'!O52</f>
        <v>0</v>
      </c>
      <c r="G85" s="187">
        <f>'F07 OPERAC. (MAT,SERV &amp; EQUIPO)'!P52</f>
        <v>0</v>
      </c>
      <c r="H85" s="187">
        <f>'F07 OPERAC. (MAT,SERV &amp; EQUIPO)'!Q52</f>
        <v>0</v>
      </c>
      <c r="I85" s="187">
        <f>'F07 OPERAC. (MAT,SERV &amp; EQUIPO)'!R52</f>
        <v>0</v>
      </c>
      <c r="J85" s="187">
        <f>'F07 OPERAC. (MAT,SERV &amp; EQUIPO)'!S52</f>
        <v>0</v>
      </c>
      <c r="K85" s="187">
        <f>'F07 OPERAC. (MAT,SERV &amp; EQUIPO)'!T52</f>
        <v>0</v>
      </c>
      <c r="L85" s="187">
        <f>'F07 OPERAC. (MAT,SERV &amp; EQUIPO)'!U52</f>
        <v>0</v>
      </c>
      <c r="M85" s="187">
        <f>'F07 OPERAC. (MAT,SERV &amp; EQUIPO)'!V52</f>
        <v>0</v>
      </c>
      <c r="N85" s="187">
        <f>'F07 OPERAC. (MAT,SERV &amp; EQUIPO)'!W52</f>
        <v>0</v>
      </c>
      <c r="O85" s="187">
        <f>'F07 OPERAC. (MAT,SERV &amp; EQUIPO)'!X52</f>
        <v>0</v>
      </c>
      <c r="P85" s="187">
        <f>'F07 OPERAC. (MAT,SERV &amp; EQUIPO)'!Y52</f>
        <v>0</v>
      </c>
      <c r="Q85" s="266">
        <f t="shared" si="14"/>
        <v>0</v>
      </c>
    </row>
    <row r="86" spans="1:20" ht="26" hidden="1" customHeight="1" outlineLevel="1" x14ac:dyDescent="0.35">
      <c r="A86" s="181" t="s">
        <v>164</v>
      </c>
      <c r="B86" s="182">
        <f t="shared" ref="B86:B147" si="17">SUM(C86:P86)</f>
        <v>0</v>
      </c>
      <c r="C86" s="182">
        <f>'F07 OPERAC. (MAT,SERV &amp; EQUIPO)'!L53</f>
        <v>0</v>
      </c>
      <c r="D86" s="182">
        <f>'F07 OPERAC. (MAT,SERV &amp; EQUIPO)'!M53</f>
        <v>0</v>
      </c>
      <c r="E86" s="182">
        <f>'F07 OPERAC. (MAT,SERV &amp; EQUIPO)'!N53</f>
        <v>0</v>
      </c>
      <c r="F86" s="182">
        <f>'F07 OPERAC. (MAT,SERV &amp; EQUIPO)'!O53</f>
        <v>0</v>
      </c>
      <c r="G86" s="182">
        <f>'F07 OPERAC. (MAT,SERV &amp; EQUIPO)'!P53</f>
        <v>0</v>
      </c>
      <c r="H86" s="182">
        <f>'F07 OPERAC. (MAT,SERV &amp; EQUIPO)'!Q53</f>
        <v>0</v>
      </c>
      <c r="I86" s="182">
        <f>'F07 OPERAC. (MAT,SERV &amp; EQUIPO)'!R53</f>
        <v>0</v>
      </c>
      <c r="J86" s="182">
        <f>'F07 OPERAC. (MAT,SERV &amp; EQUIPO)'!S53</f>
        <v>0</v>
      </c>
      <c r="K86" s="182">
        <f>'F07 OPERAC. (MAT,SERV &amp; EQUIPO)'!T53</f>
        <v>0</v>
      </c>
      <c r="L86" s="182">
        <f>'F07 OPERAC. (MAT,SERV &amp; EQUIPO)'!U53</f>
        <v>0</v>
      </c>
      <c r="M86" s="182">
        <f>'F07 OPERAC. (MAT,SERV &amp; EQUIPO)'!V53</f>
        <v>0</v>
      </c>
      <c r="N86" s="182">
        <f>'F07 OPERAC. (MAT,SERV &amp; EQUIPO)'!W53</f>
        <v>0</v>
      </c>
      <c r="O86" s="182">
        <f>'F07 OPERAC. (MAT,SERV &amp; EQUIPO)'!X53</f>
        <v>0</v>
      </c>
      <c r="P86" s="182">
        <f>'F07 OPERAC. (MAT,SERV &amp; EQUIPO)'!Y53</f>
        <v>0</v>
      </c>
      <c r="Q86" s="266">
        <f t="shared" si="14"/>
        <v>0</v>
      </c>
    </row>
    <row r="87" spans="1:20" ht="26" hidden="1" customHeight="1" outlineLevel="1" x14ac:dyDescent="0.35">
      <c r="A87" s="179" t="s">
        <v>165</v>
      </c>
      <c r="B87" s="187">
        <f t="shared" si="17"/>
        <v>0</v>
      </c>
      <c r="C87" s="187">
        <f>'F07 OPERAC. (MAT,SERV &amp; EQUIPO)'!L54</f>
        <v>0</v>
      </c>
      <c r="D87" s="187">
        <f>'F07 OPERAC. (MAT,SERV &amp; EQUIPO)'!M54</f>
        <v>0</v>
      </c>
      <c r="E87" s="187">
        <f>'F07 OPERAC. (MAT,SERV &amp; EQUIPO)'!N54</f>
        <v>0</v>
      </c>
      <c r="F87" s="187">
        <f>'F07 OPERAC. (MAT,SERV &amp; EQUIPO)'!O54</f>
        <v>0</v>
      </c>
      <c r="G87" s="187">
        <f>'F07 OPERAC. (MAT,SERV &amp; EQUIPO)'!P54</f>
        <v>0</v>
      </c>
      <c r="H87" s="187">
        <f>'F07 OPERAC. (MAT,SERV &amp; EQUIPO)'!Q54</f>
        <v>0</v>
      </c>
      <c r="I87" s="187">
        <f>'F07 OPERAC. (MAT,SERV &amp; EQUIPO)'!R54</f>
        <v>0</v>
      </c>
      <c r="J87" s="187">
        <f>'F07 OPERAC. (MAT,SERV &amp; EQUIPO)'!S54</f>
        <v>0</v>
      </c>
      <c r="K87" s="187">
        <f>'F07 OPERAC. (MAT,SERV &amp; EQUIPO)'!T54</f>
        <v>0</v>
      </c>
      <c r="L87" s="187">
        <f>'F07 OPERAC. (MAT,SERV &amp; EQUIPO)'!U54</f>
        <v>0</v>
      </c>
      <c r="M87" s="187">
        <f>'F07 OPERAC. (MAT,SERV &amp; EQUIPO)'!V54</f>
        <v>0</v>
      </c>
      <c r="N87" s="187">
        <f>'F07 OPERAC. (MAT,SERV &amp; EQUIPO)'!W54</f>
        <v>0</v>
      </c>
      <c r="O87" s="187">
        <f>'F07 OPERAC. (MAT,SERV &amp; EQUIPO)'!X54</f>
        <v>0</v>
      </c>
      <c r="P87" s="187">
        <f>'F07 OPERAC. (MAT,SERV &amp; EQUIPO)'!Y54</f>
        <v>0</v>
      </c>
      <c r="Q87" s="266">
        <f t="shared" si="14"/>
        <v>0</v>
      </c>
    </row>
    <row r="88" spans="1:20" ht="26" hidden="1" customHeight="1" outlineLevel="1" x14ac:dyDescent="0.35">
      <c r="A88" s="181" t="s">
        <v>166</v>
      </c>
      <c r="B88" s="182">
        <f t="shared" si="17"/>
        <v>1625</v>
      </c>
      <c r="C88" s="182">
        <f>'F07 OPERAC. (MAT,SERV &amp; EQUIPO)'!L55</f>
        <v>0</v>
      </c>
      <c r="D88" s="182">
        <f>'F07 OPERAC. (MAT,SERV &amp; EQUIPO)'!M55</f>
        <v>125</v>
      </c>
      <c r="E88" s="182">
        <f>'F07 OPERAC. (MAT,SERV &amp; EQUIPO)'!N55</f>
        <v>125</v>
      </c>
      <c r="F88" s="182">
        <f>'F07 OPERAC. (MAT,SERV &amp; EQUIPO)'!O55</f>
        <v>125</v>
      </c>
      <c r="G88" s="182">
        <f>'F07 OPERAC. (MAT,SERV &amp; EQUIPO)'!P55</f>
        <v>125</v>
      </c>
      <c r="H88" s="182">
        <f>'F07 OPERAC. (MAT,SERV &amp; EQUIPO)'!Q55</f>
        <v>125</v>
      </c>
      <c r="I88" s="182">
        <f>'F07 OPERAC. (MAT,SERV &amp; EQUIPO)'!R55</f>
        <v>125</v>
      </c>
      <c r="J88" s="182">
        <f>'F07 OPERAC. (MAT,SERV &amp; EQUIPO)'!S55</f>
        <v>125</v>
      </c>
      <c r="K88" s="182">
        <f>'F07 OPERAC. (MAT,SERV &amp; EQUIPO)'!T55</f>
        <v>125</v>
      </c>
      <c r="L88" s="182">
        <f>'F07 OPERAC. (MAT,SERV &amp; EQUIPO)'!U55</f>
        <v>125</v>
      </c>
      <c r="M88" s="182">
        <f>'F07 OPERAC. (MAT,SERV &amp; EQUIPO)'!V55</f>
        <v>125</v>
      </c>
      <c r="N88" s="182">
        <f>'F07 OPERAC. (MAT,SERV &amp; EQUIPO)'!W55</f>
        <v>125</v>
      </c>
      <c r="O88" s="182">
        <f>'F07 OPERAC. (MAT,SERV &amp; EQUIPO)'!X55</f>
        <v>125</v>
      </c>
      <c r="P88" s="182">
        <f>'F07 OPERAC. (MAT,SERV &amp; EQUIPO)'!Y55</f>
        <v>125</v>
      </c>
      <c r="Q88" s="266">
        <f t="shared" si="14"/>
        <v>1.279681739642101E-3</v>
      </c>
    </row>
    <row r="89" spans="1:20" ht="26" hidden="1" customHeight="1" outlineLevel="1" x14ac:dyDescent="0.35">
      <c r="A89" s="179" t="s">
        <v>167</v>
      </c>
      <c r="B89" s="187">
        <f t="shared" si="17"/>
        <v>0</v>
      </c>
      <c r="C89" s="187">
        <f>'F07 OPERAC. (MAT,SERV &amp; EQUIPO)'!L56</f>
        <v>0</v>
      </c>
      <c r="D89" s="187">
        <f>'F07 OPERAC. (MAT,SERV &amp; EQUIPO)'!M56</f>
        <v>0</v>
      </c>
      <c r="E89" s="187">
        <f>'F07 OPERAC. (MAT,SERV &amp; EQUIPO)'!N56</f>
        <v>0</v>
      </c>
      <c r="F89" s="187">
        <f>'F07 OPERAC. (MAT,SERV &amp; EQUIPO)'!O56</f>
        <v>0</v>
      </c>
      <c r="G89" s="187">
        <f>'F07 OPERAC. (MAT,SERV &amp; EQUIPO)'!P56</f>
        <v>0</v>
      </c>
      <c r="H89" s="187">
        <f>'F07 OPERAC. (MAT,SERV &amp; EQUIPO)'!Q56</f>
        <v>0</v>
      </c>
      <c r="I89" s="187">
        <f>'F07 OPERAC. (MAT,SERV &amp; EQUIPO)'!R56</f>
        <v>0</v>
      </c>
      <c r="J89" s="187">
        <f>'F07 OPERAC. (MAT,SERV &amp; EQUIPO)'!S56</f>
        <v>0</v>
      </c>
      <c r="K89" s="187">
        <f>'F07 OPERAC. (MAT,SERV &amp; EQUIPO)'!T56</f>
        <v>0</v>
      </c>
      <c r="L89" s="187">
        <f>'F07 OPERAC. (MAT,SERV &amp; EQUIPO)'!U56</f>
        <v>0</v>
      </c>
      <c r="M89" s="187">
        <f>'F07 OPERAC. (MAT,SERV &amp; EQUIPO)'!V56</f>
        <v>0</v>
      </c>
      <c r="N89" s="187">
        <f>'F07 OPERAC. (MAT,SERV &amp; EQUIPO)'!W56</f>
        <v>0</v>
      </c>
      <c r="O89" s="187">
        <f>'F07 OPERAC. (MAT,SERV &amp; EQUIPO)'!X56</f>
        <v>0</v>
      </c>
      <c r="P89" s="187">
        <f>'F07 OPERAC. (MAT,SERV &amp; EQUIPO)'!Y56</f>
        <v>0</v>
      </c>
      <c r="Q89" s="266">
        <f t="shared" si="14"/>
        <v>0</v>
      </c>
    </row>
    <row r="90" spans="1:20" ht="26" hidden="1" customHeight="1" outlineLevel="1" x14ac:dyDescent="0.35">
      <c r="A90" s="181" t="s">
        <v>168</v>
      </c>
      <c r="B90" s="182">
        <f t="shared" si="17"/>
        <v>0</v>
      </c>
      <c r="C90" s="182">
        <f>'F07 OPERAC. (MAT,SERV &amp; EQUIPO)'!L57</f>
        <v>0</v>
      </c>
      <c r="D90" s="182">
        <f>'F07 OPERAC. (MAT,SERV &amp; EQUIPO)'!M57</f>
        <v>0</v>
      </c>
      <c r="E90" s="182">
        <f>'F07 OPERAC. (MAT,SERV &amp; EQUIPO)'!N57</f>
        <v>0</v>
      </c>
      <c r="F90" s="182">
        <f>'F07 OPERAC. (MAT,SERV &amp; EQUIPO)'!O57</f>
        <v>0</v>
      </c>
      <c r="G90" s="182">
        <f>'F07 OPERAC. (MAT,SERV &amp; EQUIPO)'!P57</f>
        <v>0</v>
      </c>
      <c r="H90" s="182">
        <f>'F07 OPERAC. (MAT,SERV &amp; EQUIPO)'!Q57</f>
        <v>0</v>
      </c>
      <c r="I90" s="182">
        <f>'F07 OPERAC. (MAT,SERV &amp; EQUIPO)'!R57</f>
        <v>0</v>
      </c>
      <c r="J90" s="182">
        <f>'F07 OPERAC. (MAT,SERV &amp; EQUIPO)'!S57</f>
        <v>0</v>
      </c>
      <c r="K90" s="182">
        <f>'F07 OPERAC. (MAT,SERV &amp; EQUIPO)'!T57</f>
        <v>0</v>
      </c>
      <c r="L90" s="182">
        <f>'F07 OPERAC. (MAT,SERV &amp; EQUIPO)'!U57</f>
        <v>0</v>
      </c>
      <c r="M90" s="182">
        <f>'F07 OPERAC. (MAT,SERV &amp; EQUIPO)'!V57</f>
        <v>0</v>
      </c>
      <c r="N90" s="182">
        <f>'F07 OPERAC. (MAT,SERV &amp; EQUIPO)'!W57</f>
        <v>0</v>
      </c>
      <c r="O90" s="182">
        <f>'F07 OPERAC. (MAT,SERV &amp; EQUIPO)'!X57</f>
        <v>0</v>
      </c>
      <c r="P90" s="182">
        <f>'F07 OPERAC. (MAT,SERV &amp; EQUIPO)'!Y57</f>
        <v>0</v>
      </c>
      <c r="Q90" s="266">
        <f t="shared" si="14"/>
        <v>0</v>
      </c>
    </row>
    <row r="91" spans="1:20" ht="26" hidden="1" customHeight="1" outlineLevel="1" x14ac:dyDescent="0.35">
      <c r="A91" s="179" t="s">
        <v>169</v>
      </c>
      <c r="B91" s="187">
        <f t="shared" si="17"/>
        <v>0</v>
      </c>
      <c r="C91" s="187">
        <f>'F07 OPERAC. (MAT,SERV &amp; EQUIPO)'!L58</f>
        <v>0</v>
      </c>
      <c r="D91" s="187">
        <f>'F07 OPERAC. (MAT,SERV &amp; EQUIPO)'!M58</f>
        <v>0</v>
      </c>
      <c r="E91" s="187">
        <f>'F07 OPERAC. (MAT,SERV &amp; EQUIPO)'!N58</f>
        <v>0</v>
      </c>
      <c r="F91" s="187">
        <f>'F07 OPERAC. (MAT,SERV &amp; EQUIPO)'!O58</f>
        <v>0</v>
      </c>
      <c r="G91" s="187">
        <f>'F07 OPERAC. (MAT,SERV &amp; EQUIPO)'!P58</f>
        <v>0</v>
      </c>
      <c r="H91" s="187">
        <f>'F07 OPERAC. (MAT,SERV &amp; EQUIPO)'!Q58</f>
        <v>0</v>
      </c>
      <c r="I91" s="187">
        <f>'F07 OPERAC. (MAT,SERV &amp; EQUIPO)'!R58</f>
        <v>0</v>
      </c>
      <c r="J91" s="187">
        <f>'F07 OPERAC. (MAT,SERV &amp; EQUIPO)'!S58</f>
        <v>0</v>
      </c>
      <c r="K91" s="187">
        <f>'F07 OPERAC. (MAT,SERV &amp; EQUIPO)'!T58</f>
        <v>0</v>
      </c>
      <c r="L91" s="187">
        <f>'F07 OPERAC. (MAT,SERV &amp; EQUIPO)'!U58</f>
        <v>0</v>
      </c>
      <c r="M91" s="187">
        <f>'F07 OPERAC. (MAT,SERV &amp; EQUIPO)'!V58</f>
        <v>0</v>
      </c>
      <c r="N91" s="187">
        <f>'F07 OPERAC. (MAT,SERV &amp; EQUIPO)'!W58</f>
        <v>0</v>
      </c>
      <c r="O91" s="187">
        <f>'F07 OPERAC. (MAT,SERV &amp; EQUIPO)'!X58</f>
        <v>0</v>
      </c>
      <c r="P91" s="187">
        <f>'F07 OPERAC. (MAT,SERV &amp; EQUIPO)'!Y58</f>
        <v>0</v>
      </c>
      <c r="Q91" s="266">
        <f t="shared" si="14"/>
        <v>0</v>
      </c>
    </row>
    <row r="92" spans="1:20" ht="26" hidden="1" customHeight="1" outlineLevel="1" x14ac:dyDescent="0.35">
      <c r="A92" s="181" t="s">
        <v>170</v>
      </c>
      <c r="B92" s="182">
        <f t="shared" si="17"/>
        <v>0</v>
      </c>
      <c r="C92" s="182">
        <f>'F07 OPERAC. (MAT,SERV &amp; EQUIPO)'!L59</f>
        <v>0</v>
      </c>
      <c r="D92" s="182">
        <f>'F07 OPERAC. (MAT,SERV &amp; EQUIPO)'!M59</f>
        <v>0</v>
      </c>
      <c r="E92" s="182">
        <f>'F07 OPERAC. (MAT,SERV &amp; EQUIPO)'!N59</f>
        <v>0</v>
      </c>
      <c r="F92" s="182">
        <f>'F07 OPERAC. (MAT,SERV &amp; EQUIPO)'!O59</f>
        <v>0</v>
      </c>
      <c r="G92" s="182">
        <f>'F07 OPERAC. (MAT,SERV &amp; EQUIPO)'!P59</f>
        <v>0</v>
      </c>
      <c r="H92" s="182">
        <f>'F07 OPERAC. (MAT,SERV &amp; EQUIPO)'!Q59</f>
        <v>0</v>
      </c>
      <c r="I92" s="182">
        <f>'F07 OPERAC. (MAT,SERV &amp; EQUIPO)'!R59</f>
        <v>0</v>
      </c>
      <c r="J92" s="182">
        <f>'F07 OPERAC. (MAT,SERV &amp; EQUIPO)'!S59</f>
        <v>0</v>
      </c>
      <c r="K92" s="182">
        <f>'F07 OPERAC. (MAT,SERV &amp; EQUIPO)'!T59</f>
        <v>0</v>
      </c>
      <c r="L92" s="182">
        <f>'F07 OPERAC. (MAT,SERV &amp; EQUIPO)'!U59</f>
        <v>0</v>
      </c>
      <c r="M92" s="182">
        <f>'F07 OPERAC. (MAT,SERV &amp; EQUIPO)'!V59</f>
        <v>0</v>
      </c>
      <c r="N92" s="182">
        <f>'F07 OPERAC. (MAT,SERV &amp; EQUIPO)'!W59</f>
        <v>0</v>
      </c>
      <c r="O92" s="182">
        <f>'F07 OPERAC. (MAT,SERV &amp; EQUIPO)'!X59</f>
        <v>0</v>
      </c>
      <c r="P92" s="182">
        <f>'F07 OPERAC. (MAT,SERV &amp; EQUIPO)'!Y59</f>
        <v>0</v>
      </c>
      <c r="Q92" s="266">
        <f t="shared" si="14"/>
        <v>0</v>
      </c>
    </row>
    <row r="93" spans="1:20" ht="26" hidden="1" customHeight="1" outlineLevel="1" x14ac:dyDescent="0.35">
      <c r="A93" s="179" t="s">
        <v>171</v>
      </c>
      <c r="B93" s="187">
        <f t="shared" si="17"/>
        <v>0</v>
      </c>
      <c r="C93" s="187">
        <f>'F07 OPERAC. (MAT,SERV &amp; EQUIPO)'!L60</f>
        <v>0</v>
      </c>
      <c r="D93" s="187">
        <f>'F07 OPERAC. (MAT,SERV &amp; EQUIPO)'!M60</f>
        <v>0</v>
      </c>
      <c r="E93" s="187">
        <f>'F07 OPERAC. (MAT,SERV &amp; EQUIPO)'!N60</f>
        <v>0</v>
      </c>
      <c r="F93" s="187">
        <f>'F07 OPERAC. (MAT,SERV &amp; EQUIPO)'!O60</f>
        <v>0</v>
      </c>
      <c r="G93" s="187">
        <f>'F07 OPERAC. (MAT,SERV &amp; EQUIPO)'!P60</f>
        <v>0</v>
      </c>
      <c r="H93" s="187">
        <f>'F07 OPERAC. (MAT,SERV &amp; EQUIPO)'!Q60</f>
        <v>0</v>
      </c>
      <c r="I93" s="187">
        <f>'F07 OPERAC. (MAT,SERV &amp; EQUIPO)'!R60</f>
        <v>0</v>
      </c>
      <c r="J93" s="187">
        <f>'F07 OPERAC. (MAT,SERV &amp; EQUIPO)'!S60</f>
        <v>0</v>
      </c>
      <c r="K93" s="187">
        <f>'F07 OPERAC. (MAT,SERV &amp; EQUIPO)'!T60</f>
        <v>0</v>
      </c>
      <c r="L93" s="187">
        <f>'F07 OPERAC. (MAT,SERV &amp; EQUIPO)'!U60</f>
        <v>0</v>
      </c>
      <c r="M93" s="187">
        <f>'F07 OPERAC. (MAT,SERV &amp; EQUIPO)'!V60</f>
        <v>0</v>
      </c>
      <c r="N93" s="187">
        <f>'F07 OPERAC. (MAT,SERV &amp; EQUIPO)'!W60</f>
        <v>0</v>
      </c>
      <c r="O93" s="187">
        <f>'F07 OPERAC. (MAT,SERV &amp; EQUIPO)'!X60</f>
        <v>0</v>
      </c>
      <c r="P93" s="187">
        <f>'F07 OPERAC. (MAT,SERV &amp; EQUIPO)'!Y60</f>
        <v>0</v>
      </c>
      <c r="Q93" s="266">
        <f t="shared" si="14"/>
        <v>0</v>
      </c>
    </row>
    <row r="94" spans="1:20" ht="26" hidden="1" customHeight="1" outlineLevel="1" x14ac:dyDescent="0.35">
      <c r="A94" s="181" t="s">
        <v>172</v>
      </c>
      <c r="B94" s="182">
        <f t="shared" si="17"/>
        <v>0</v>
      </c>
      <c r="C94" s="182">
        <f>'F07 OPERAC. (MAT,SERV &amp; EQUIPO)'!L61</f>
        <v>0</v>
      </c>
      <c r="D94" s="182">
        <f>'F07 OPERAC. (MAT,SERV &amp; EQUIPO)'!M61</f>
        <v>0</v>
      </c>
      <c r="E94" s="182">
        <f>'F07 OPERAC. (MAT,SERV &amp; EQUIPO)'!N61</f>
        <v>0</v>
      </c>
      <c r="F94" s="182">
        <f>'F07 OPERAC. (MAT,SERV &amp; EQUIPO)'!O61</f>
        <v>0</v>
      </c>
      <c r="G94" s="182">
        <f>'F07 OPERAC. (MAT,SERV &amp; EQUIPO)'!P61</f>
        <v>0</v>
      </c>
      <c r="H94" s="182">
        <f>'F07 OPERAC. (MAT,SERV &amp; EQUIPO)'!Q61</f>
        <v>0</v>
      </c>
      <c r="I94" s="182">
        <f>'F07 OPERAC. (MAT,SERV &amp; EQUIPO)'!R61</f>
        <v>0</v>
      </c>
      <c r="J94" s="182">
        <f>'F07 OPERAC. (MAT,SERV &amp; EQUIPO)'!S61</f>
        <v>0</v>
      </c>
      <c r="K94" s="182">
        <f>'F07 OPERAC. (MAT,SERV &amp; EQUIPO)'!T61</f>
        <v>0</v>
      </c>
      <c r="L94" s="182">
        <f>'F07 OPERAC. (MAT,SERV &amp; EQUIPO)'!U61</f>
        <v>0</v>
      </c>
      <c r="M94" s="182">
        <f>'F07 OPERAC. (MAT,SERV &amp; EQUIPO)'!V61</f>
        <v>0</v>
      </c>
      <c r="N94" s="182">
        <f>'F07 OPERAC. (MAT,SERV &amp; EQUIPO)'!W61</f>
        <v>0</v>
      </c>
      <c r="O94" s="182">
        <f>'F07 OPERAC. (MAT,SERV &amp; EQUIPO)'!X61</f>
        <v>0</v>
      </c>
      <c r="P94" s="182">
        <f>'F07 OPERAC. (MAT,SERV &amp; EQUIPO)'!Y61</f>
        <v>0</v>
      </c>
      <c r="Q94" s="266">
        <f t="shared" si="14"/>
        <v>0</v>
      </c>
    </row>
    <row r="95" spans="1:20" ht="26" hidden="1" customHeight="1" outlineLevel="1" x14ac:dyDescent="0.35">
      <c r="A95" s="179" t="s">
        <v>173</v>
      </c>
      <c r="B95" s="187">
        <f t="shared" si="17"/>
        <v>0</v>
      </c>
      <c r="C95" s="187">
        <f>'F07 OPERAC. (MAT,SERV &amp; EQUIPO)'!L62</f>
        <v>0</v>
      </c>
      <c r="D95" s="187">
        <f>'F07 OPERAC. (MAT,SERV &amp; EQUIPO)'!M62</f>
        <v>0</v>
      </c>
      <c r="E95" s="187">
        <f>'F07 OPERAC. (MAT,SERV &amp; EQUIPO)'!N62</f>
        <v>0</v>
      </c>
      <c r="F95" s="187">
        <f>'F07 OPERAC. (MAT,SERV &amp; EQUIPO)'!O62</f>
        <v>0</v>
      </c>
      <c r="G95" s="187">
        <f>'F07 OPERAC. (MAT,SERV &amp; EQUIPO)'!P62</f>
        <v>0</v>
      </c>
      <c r="H95" s="187">
        <f>'F07 OPERAC. (MAT,SERV &amp; EQUIPO)'!Q62</f>
        <v>0</v>
      </c>
      <c r="I95" s="187">
        <f>'F07 OPERAC. (MAT,SERV &amp; EQUIPO)'!R62</f>
        <v>0</v>
      </c>
      <c r="J95" s="187">
        <f>'F07 OPERAC. (MAT,SERV &amp; EQUIPO)'!S62</f>
        <v>0</v>
      </c>
      <c r="K95" s="187">
        <f>'F07 OPERAC. (MAT,SERV &amp; EQUIPO)'!T62</f>
        <v>0</v>
      </c>
      <c r="L95" s="187">
        <f>'F07 OPERAC. (MAT,SERV &amp; EQUIPO)'!U62</f>
        <v>0</v>
      </c>
      <c r="M95" s="187">
        <f>'F07 OPERAC. (MAT,SERV &amp; EQUIPO)'!V62</f>
        <v>0</v>
      </c>
      <c r="N95" s="187">
        <f>'F07 OPERAC. (MAT,SERV &amp; EQUIPO)'!W62</f>
        <v>0</v>
      </c>
      <c r="O95" s="187">
        <f>'F07 OPERAC. (MAT,SERV &amp; EQUIPO)'!X62</f>
        <v>0</v>
      </c>
      <c r="P95" s="187">
        <f>'F07 OPERAC. (MAT,SERV &amp; EQUIPO)'!Y62</f>
        <v>0</v>
      </c>
      <c r="Q95" s="266">
        <f t="shared" si="14"/>
        <v>0</v>
      </c>
    </row>
    <row r="96" spans="1:20" ht="26" hidden="1" customHeight="1" outlineLevel="1" x14ac:dyDescent="0.35">
      <c r="A96" s="181" t="s">
        <v>174</v>
      </c>
      <c r="B96" s="182">
        <f t="shared" si="17"/>
        <v>0</v>
      </c>
      <c r="C96" s="182">
        <f>'F07 OPERAC. (MAT,SERV &amp; EQUIPO)'!L63</f>
        <v>0</v>
      </c>
      <c r="D96" s="182">
        <f>'F07 OPERAC. (MAT,SERV &amp; EQUIPO)'!M63</f>
        <v>0</v>
      </c>
      <c r="E96" s="182">
        <f>'F07 OPERAC. (MAT,SERV &amp; EQUIPO)'!N63</f>
        <v>0</v>
      </c>
      <c r="F96" s="182">
        <f>'F07 OPERAC. (MAT,SERV &amp; EQUIPO)'!O63</f>
        <v>0</v>
      </c>
      <c r="G96" s="182">
        <f>'F07 OPERAC. (MAT,SERV &amp; EQUIPO)'!P63</f>
        <v>0</v>
      </c>
      <c r="H96" s="182">
        <f>'F07 OPERAC. (MAT,SERV &amp; EQUIPO)'!Q63</f>
        <v>0</v>
      </c>
      <c r="I96" s="182">
        <f>'F07 OPERAC. (MAT,SERV &amp; EQUIPO)'!R63</f>
        <v>0</v>
      </c>
      <c r="J96" s="182">
        <f>'F07 OPERAC. (MAT,SERV &amp; EQUIPO)'!S63</f>
        <v>0</v>
      </c>
      <c r="K96" s="182">
        <f>'F07 OPERAC. (MAT,SERV &amp; EQUIPO)'!T63</f>
        <v>0</v>
      </c>
      <c r="L96" s="182">
        <f>'F07 OPERAC. (MAT,SERV &amp; EQUIPO)'!U63</f>
        <v>0</v>
      </c>
      <c r="M96" s="182">
        <f>'F07 OPERAC. (MAT,SERV &amp; EQUIPO)'!V63</f>
        <v>0</v>
      </c>
      <c r="N96" s="182">
        <f>'F07 OPERAC. (MAT,SERV &amp; EQUIPO)'!W63</f>
        <v>0</v>
      </c>
      <c r="O96" s="182">
        <f>'F07 OPERAC. (MAT,SERV &amp; EQUIPO)'!X63</f>
        <v>0</v>
      </c>
      <c r="P96" s="182">
        <f>'F07 OPERAC. (MAT,SERV &amp; EQUIPO)'!Y63</f>
        <v>0</v>
      </c>
      <c r="Q96" s="266">
        <f t="shared" si="14"/>
        <v>0</v>
      </c>
    </row>
    <row r="97" spans="1:17" ht="26" hidden="1" customHeight="1" outlineLevel="1" x14ac:dyDescent="0.35">
      <c r="A97" s="179" t="s">
        <v>175</v>
      </c>
      <c r="B97" s="187">
        <f t="shared" si="17"/>
        <v>0</v>
      </c>
      <c r="C97" s="187">
        <f>'F07 OPERAC. (MAT,SERV &amp; EQUIPO)'!L64</f>
        <v>0</v>
      </c>
      <c r="D97" s="187">
        <f>'F07 OPERAC. (MAT,SERV &amp; EQUIPO)'!M64</f>
        <v>0</v>
      </c>
      <c r="E97" s="187">
        <f>'F07 OPERAC. (MAT,SERV &amp; EQUIPO)'!N64</f>
        <v>0</v>
      </c>
      <c r="F97" s="187">
        <f>'F07 OPERAC. (MAT,SERV &amp; EQUIPO)'!O64</f>
        <v>0</v>
      </c>
      <c r="G97" s="187">
        <f>'F07 OPERAC. (MAT,SERV &amp; EQUIPO)'!P64</f>
        <v>0</v>
      </c>
      <c r="H97" s="187">
        <f>'F07 OPERAC. (MAT,SERV &amp; EQUIPO)'!Q64</f>
        <v>0</v>
      </c>
      <c r="I97" s="187">
        <f>'F07 OPERAC. (MAT,SERV &amp; EQUIPO)'!R64</f>
        <v>0</v>
      </c>
      <c r="J97" s="187">
        <f>'F07 OPERAC. (MAT,SERV &amp; EQUIPO)'!S64</f>
        <v>0</v>
      </c>
      <c r="K97" s="187">
        <f>'F07 OPERAC. (MAT,SERV &amp; EQUIPO)'!T64</f>
        <v>0</v>
      </c>
      <c r="L97" s="187">
        <f>'F07 OPERAC. (MAT,SERV &amp; EQUIPO)'!U64</f>
        <v>0</v>
      </c>
      <c r="M97" s="187">
        <f>'F07 OPERAC. (MAT,SERV &amp; EQUIPO)'!V64</f>
        <v>0</v>
      </c>
      <c r="N97" s="187">
        <f>'F07 OPERAC. (MAT,SERV &amp; EQUIPO)'!W64</f>
        <v>0</v>
      </c>
      <c r="O97" s="187">
        <f>'F07 OPERAC. (MAT,SERV &amp; EQUIPO)'!X64</f>
        <v>0</v>
      </c>
      <c r="P97" s="187">
        <f>'F07 OPERAC. (MAT,SERV &amp; EQUIPO)'!Y64</f>
        <v>0</v>
      </c>
      <c r="Q97" s="266">
        <f t="shared" si="14"/>
        <v>0</v>
      </c>
    </row>
    <row r="98" spans="1:17" ht="26" hidden="1" customHeight="1" outlineLevel="1" x14ac:dyDescent="0.35">
      <c r="A98" s="181" t="s">
        <v>176</v>
      </c>
      <c r="B98" s="182">
        <f t="shared" si="17"/>
        <v>0</v>
      </c>
      <c r="C98" s="182">
        <f>'F07 OPERAC. (MAT,SERV &amp; EQUIPO)'!L65</f>
        <v>0</v>
      </c>
      <c r="D98" s="182">
        <f>'F07 OPERAC. (MAT,SERV &amp; EQUIPO)'!M65</f>
        <v>0</v>
      </c>
      <c r="E98" s="182">
        <f>'F07 OPERAC. (MAT,SERV &amp; EQUIPO)'!N65</f>
        <v>0</v>
      </c>
      <c r="F98" s="182">
        <f>'F07 OPERAC. (MAT,SERV &amp; EQUIPO)'!O65</f>
        <v>0</v>
      </c>
      <c r="G98" s="182">
        <f>'F07 OPERAC. (MAT,SERV &amp; EQUIPO)'!P65</f>
        <v>0</v>
      </c>
      <c r="H98" s="182">
        <f>'F07 OPERAC. (MAT,SERV &amp; EQUIPO)'!Q65</f>
        <v>0</v>
      </c>
      <c r="I98" s="182">
        <f>'F07 OPERAC. (MAT,SERV &amp; EQUIPO)'!R65</f>
        <v>0</v>
      </c>
      <c r="J98" s="182">
        <f>'F07 OPERAC. (MAT,SERV &amp; EQUIPO)'!S65</f>
        <v>0</v>
      </c>
      <c r="K98" s="182">
        <f>'F07 OPERAC. (MAT,SERV &amp; EQUIPO)'!T65</f>
        <v>0</v>
      </c>
      <c r="L98" s="182">
        <f>'F07 OPERAC. (MAT,SERV &amp; EQUIPO)'!U65</f>
        <v>0</v>
      </c>
      <c r="M98" s="182">
        <f>'F07 OPERAC. (MAT,SERV &amp; EQUIPO)'!V65</f>
        <v>0</v>
      </c>
      <c r="N98" s="182">
        <f>'F07 OPERAC. (MAT,SERV &amp; EQUIPO)'!W65</f>
        <v>0</v>
      </c>
      <c r="O98" s="182">
        <f>'F07 OPERAC. (MAT,SERV &amp; EQUIPO)'!X65</f>
        <v>0</v>
      </c>
      <c r="P98" s="182">
        <f>'F07 OPERAC. (MAT,SERV &amp; EQUIPO)'!Y65</f>
        <v>0</v>
      </c>
      <c r="Q98" s="266">
        <f t="shared" si="14"/>
        <v>0</v>
      </c>
    </row>
    <row r="99" spans="1:17" ht="26" hidden="1" customHeight="1" outlineLevel="1" x14ac:dyDescent="0.35">
      <c r="A99" s="179" t="s">
        <v>177</v>
      </c>
      <c r="B99" s="187">
        <f t="shared" si="17"/>
        <v>0</v>
      </c>
      <c r="C99" s="187">
        <f>'F07 OPERAC. (MAT,SERV &amp; EQUIPO)'!L66</f>
        <v>0</v>
      </c>
      <c r="D99" s="187">
        <f>'F07 OPERAC. (MAT,SERV &amp; EQUIPO)'!M66</f>
        <v>0</v>
      </c>
      <c r="E99" s="187">
        <f>'F07 OPERAC. (MAT,SERV &amp; EQUIPO)'!N66</f>
        <v>0</v>
      </c>
      <c r="F99" s="187">
        <f>'F07 OPERAC. (MAT,SERV &amp; EQUIPO)'!O66</f>
        <v>0</v>
      </c>
      <c r="G99" s="187">
        <f>'F07 OPERAC. (MAT,SERV &amp; EQUIPO)'!P66</f>
        <v>0</v>
      </c>
      <c r="H99" s="187">
        <f>'F07 OPERAC. (MAT,SERV &amp; EQUIPO)'!Q66</f>
        <v>0</v>
      </c>
      <c r="I99" s="187">
        <f>'F07 OPERAC. (MAT,SERV &amp; EQUIPO)'!R66</f>
        <v>0</v>
      </c>
      <c r="J99" s="187">
        <f>'F07 OPERAC. (MAT,SERV &amp; EQUIPO)'!S66</f>
        <v>0</v>
      </c>
      <c r="K99" s="187">
        <f>'F07 OPERAC. (MAT,SERV &amp; EQUIPO)'!T66</f>
        <v>0</v>
      </c>
      <c r="L99" s="187">
        <f>'F07 OPERAC. (MAT,SERV &amp; EQUIPO)'!U66</f>
        <v>0</v>
      </c>
      <c r="M99" s="187">
        <f>'F07 OPERAC. (MAT,SERV &amp; EQUIPO)'!V66</f>
        <v>0</v>
      </c>
      <c r="N99" s="187">
        <f>'F07 OPERAC. (MAT,SERV &amp; EQUIPO)'!W66</f>
        <v>0</v>
      </c>
      <c r="O99" s="187">
        <f>'F07 OPERAC. (MAT,SERV &amp; EQUIPO)'!X66</f>
        <v>0</v>
      </c>
      <c r="P99" s="187">
        <f>'F07 OPERAC. (MAT,SERV &amp; EQUIPO)'!Y66</f>
        <v>0</v>
      </c>
      <c r="Q99" s="266">
        <f t="shared" si="14"/>
        <v>0</v>
      </c>
    </row>
    <row r="100" spans="1:17" ht="26" hidden="1" customHeight="1" outlineLevel="1" x14ac:dyDescent="0.35">
      <c r="A100" s="181" t="s">
        <v>178</v>
      </c>
      <c r="B100" s="182">
        <f t="shared" si="17"/>
        <v>0</v>
      </c>
      <c r="C100" s="182">
        <f>'F07 OPERAC. (MAT,SERV &amp; EQUIPO)'!L67</f>
        <v>0</v>
      </c>
      <c r="D100" s="182">
        <f>'F07 OPERAC. (MAT,SERV &amp; EQUIPO)'!M67</f>
        <v>0</v>
      </c>
      <c r="E100" s="182">
        <f>'F07 OPERAC. (MAT,SERV &amp; EQUIPO)'!N67</f>
        <v>0</v>
      </c>
      <c r="F100" s="182">
        <f>'F07 OPERAC. (MAT,SERV &amp; EQUIPO)'!O67</f>
        <v>0</v>
      </c>
      <c r="G100" s="182">
        <f>'F07 OPERAC. (MAT,SERV &amp; EQUIPO)'!P67</f>
        <v>0</v>
      </c>
      <c r="H100" s="182">
        <f>'F07 OPERAC. (MAT,SERV &amp; EQUIPO)'!Q67</f>
        <v>0</v>
      </c>
      <c r="I100" s="182">
        <f>'F07 OPERAC. (MAT,SERV &amp; EQUIPO)'!R67</f>
        <v>0</v>
      </c>
      <c r="J100" s="182">
        <f>'F07 OPERAC. (MAT,SERV &amp; EQUIPO)'!S67</f>
        <v>0</v>
      </c>
      <c r="K100" s="182">
        <f>'F07 OPERAC. (MAT,SERV &amp; EQUIPO)'!T67</f>
        <v>0</v>
      </c>
      <c r="L100" s="182">
        <f>'F07 OPERAC. (MAT,SERV &amp; EQUIPO)'!U67</f>
        <v>0</v>
      </c>
      <c r="M100" s="182">
        <f>'F07 OPERAC. (MAT,SERV &amp; EQUIPO)'!V67</f>
        <v>0</v>
      </c>
      <c r="N100" s="182">
        <f>'F07 OPERAC. (MAT,SERV &amp; EQUIPO)'!W67</f>
        <v>0</v>
      </c>
      <c r="O100" s="182">
        <f>'F07 OPERAC. (MAT,SERV &amp; EQUIPO)'!X67</f>
        <v>0</v>
      </c>
      <c r="P100" s="182">
        <f>'F07 OPERAC. (MAT,SERV &amp; EQUIPO)'!Y67</f>
        <v>0</v>
      </c>
      <c r="Q100" s="266">
        <f t="shared" si="14"/>
        <v>0</v>
      </c>
    </row>
    <row r="101" spans="1:17" ht="26" hidden="1" customHeight="1" outlineLevel="1" x14ac:dyDescent="0.35">
      <c r="A101" s="179" t="s">
        <v>179</v>
      </c>
      <c r="B101" s="187">
        <f t="shared" si="17"/>
        <v>0</v>
      </c>
      <c r="C101" s="187">
        <f>'F07 OPERAC. (MAT,SERV &amp; EQUIPO)'!L68</f>
        <v>0</v>
      </c>
      <c r="D101" s="187">
        <f>'F07 OPERAC. (MAT,SERV &amp; EQUIPO)'!M68</f>
        <v>0</v>
      </c>
      <c r="E101" s="187">
        <f>'F07 OPERAC. (MAT,SERV &amp; EQUIPO)'!N68</f>
        <v>0</v>
      </c>
      <c r="F101" s="187">
        <f>'F07 OPERAC. (MAT,SERV &amp; EQUIPO)'!O68</f>
        <v>0</v>
      </c>
      <c r="G101" s="187">
        <f>'F07 OPERAC. (MAT,SERV &amp; EQUIPO)'!P68</f>
        <v>0</v>
      </c>
      <c r="H101" s="187">
        <f>'F07 OPERAC. (MAT,SERV &amp; EQUIPO)'!Q68</f>
        <v>0</v>
      </c>
      <c r="I101" s="187">
        <f>'F07 OPERAC. (MAT,SERV &amp; EQUIPO)'!R68</f>
        <v>0</v>
      </c>
      <c r="J101" s="187">
        <f>'F07 OPERAC. (MAT,SERV &amp; EQUIPO)'!S68</f>
        <v>0</v>
      </c>
      <c r="K101" s="187">
        <f>'F07 OPERAC. (MAT,SERV &amp; EQUIPO)'!T68</f>
        <v>0</v>
      </c>
      <c r="L101" s="187">
        <f>'F07 OPERAC. (MAT,SERV &amp; EQUIPO)'!U68</f>
        <v>0</v>
      </c>
      <c r="M101" s="187">
        <f>'F07 OPERAC. (MAT,SERV &amp; EQUIPO)'!V68</f>
        <v>0</v>
      </c>
      <c r="N101" s="187">
        <f>'F07 OPERAC. (MAT,SERV &amp; EQUIPO)'!W68</f>
        <v>0</v>
      </c>
      <c r="O101" s="187">
        <f>'F07 OPERAC. (MAT,SERV &amp; EQUIPO)'!X68</f>
        <v>0</v>
      </c>
      <c r="P101" s="187">
        <f>'F07 OPERAC. (MAT,SERV &amp; EQUIPO)'!Y68</f>
        <v>0</v>
      </c>
      <c r="Q101" s="266">
        <f t="shared" si="14"/>
        <v>0</v>
      </c>
    </row>
    <row r="102" spans="1:17" ht="26" hidden="1" customHeight="1" outlineLevel="1" x14ac:dyDescent="0.35">
      <c r="A102" s="181" t="s">
        <v>180</v>
      </c>
      <c r="B102" s="182">
        <f t="shared" si="17"/>
        <v>0</v>
      </c>
      <c r="C102" s="182">
        <f>'F07 OPERAC. (MAT,SERV &amp; EQUIPO)'!L69</f>
        <v>0</v>
      </c>
      <c r="D102" s="182">
        <f>'F07 OPERAC. (MAT,SERV &amp; EQUIPO)'!M69</f>
        <v>0</v>
      </c>
      <c r="E102" s="182">
        <f>'F07 OPERAC. (MAT,SERV &amp; EQUIPO)'!N69</f>
        <v>0</v>
      </c>
      <c r="F102" s="182">
        <f>'F07 OPERAC. (MAT,SERV &amp; EQUIPO)'!O69</f>
        <v>0</v>
      </c>
      <c r="G102" s="182">
        <f>'F07 OPERAC. (MAT,SERV &amp; EQUIPO)'!P69</f>
        <v>0</v>
      </c>
      <c r="H102" s="182">
        <f>'F07 OPERAC. (MAT,SERV &amp; EQUIPO)'!Q69</f>
        <v>0</v>
      </c>
      <c r="I102" s="182">
        <f>'F07 OPERAC. (MAT,SERV &amp; EQUIPO)'!R69</f>
        <v>0</v>
      </c>
      <c r="J102" s="182">
        <f>'F07 OPERAC. (MAT,SERV &amp; EQUIPO)'!S69</f>
        <v>0</v>
      </c>
      <c r="K102" s="182">
        <f>'F07 OPERAC. (MAT,SERV &amp; EQUIPO)'!T69</f>
        <v>0</v>
      </c>
      <c r="L102" s="182">
        <f>'F07 OPERAC. (MAT,SERV &amp; EQUIPO)'!U69</f>
        <v>0</v>
      </c>
      <c r="M102" s="182">
        <f>'F07 OPERAC. (MAT,SERV &amp; EQUIPO)'!V69</f>
        <v>0</v>
      </c>
      <c r="N102" s="182">
        <f>'F07 OPERAC. (MAT,SERV &amp; EQUIPO)'!W69</f>
        <v>0</v>
      </c>
      <c r="O102" s="182">
        <f>'F07 OPERAC. (MAT,SERV &amp; EQUIPO)'!X69</f>
        <v>0</v>
      </c>
      <c r="P102" s="182">
        <f>'F07 OPERAC. (MAT,SERV &amp; EQUIPO)'!Y69</f>
        <v>0</v>
      </c>
      <c r="Q102" s="266">
        <f t="shared" si="14"/>
        <v>0</v>
      </c>
    </row>
    <row r="103" spans="1:17" ht="26" hidden="1" customHeight="1" outlineLevel="1" x14ac:dyDescent="0.35">
      <c r="A103" s="179" t="s">
        <v>181</v>
      </c>
      <c r="B103" s="187">
        <f t="shared" si="17"/>
        <v>0</v>
      </c>
      <c r="C103" s="187">
        <f>'F07 OPERAC. (MAT,SERV &amp; EQUIPO)'!L70</f>
        <v>0</v>
      </c>
      <c r="D103" s="187">
        <f>'F07 OPERAC. (MAT,SERV &amp; EQUIPO)'!M70</f>
        <v>0</v>
      </c>
      <c r="E103" s="187">
        <f>'F07 OPERAC. (MAT,SERV &amp; EQUIPO)'!N70</f>
        <v>0</v>
      </c>
      <c r="F103" s="187">
        <f>'F07 OPERAC. (MAT,SERV &amp; EQUIPO)'!O70</f>
        <v>0</v>
      </c>
      <c r="G103" s="187">
        <f>'F07 OPERAC. (MAT,SERV &amp; EQUIPO)'!P70</f>
        <v>0</v>
      </c>
      <c r="H103" s="187">
        <f>'F07 OPERAC. (MAT,SERV &amp; EQUIPO)'!Q70</f>
        <v>0</v>
      </c>
      <c r="I103" s="187">
        <f>'F07 OPERAC. (MAT,SERV &amp; EQUIPO)'!R70</f>
        <v>0</v>
      </c>
      <c r="J103" s="187">
        <f>'F07 OPERAC. (MAT,SERV &amp; EQUIPO)'!S70</f>
        <v>0</v>
      </c>
      <c r="K103" s="187">
        <f>'F07 OPERAC. (MAT,SERV &amp; EQUIPO)'!T70</f>
        <v>0</v>
      </c>
      <c r="L103" s="187">
        <f>'F07 OPERAC. (MAT,SERV &amp; EQUIPO)'!U70</f>
        <v>0</v>
      </c>
      <c r="M103" s="187">
        <f>'F07 OPERAC. (MAT,SERV &amp; EQUIPO)'!V70</f>
        <v>0</v>
      </c>
      <c r="N103" s="187">
        <f>'F07 OPERAC. (MAT,SERV &amp; EQUIPO)'!W70</f>
        <v>0</v>
      </c>
      <c r="O103" s="187">
        <f>'F07 OPERAC. (MAT,SERV &amp; EQUIPO)'!X70</f>
        <v>0</v>
      </c>
      <c r="P103" s="187">
        <f>'F07 OPERAC. (MAT,SERV &amp; EQUIPO)'!Y70</f>
        <v>0</v>
      </c>
      <c r="Q103" s="266">
        <f t="shared" si="14"/>
        <v>0</v>
      </c>
    </row>
    <row r="104" spans="1:17" ht="26" hidden="1" customHeight="1" outlineLevel="1" x14ac:dyDescent="0.35">
      <c r="A104" s="179" t="s">
        <v>182</v>
      </c>
      <c r="B104" s="187">
        <f t="shared" si="17"/>
        <v>325</v>
      </c>
      <c r="C104" s="187">
        <f>'F07 OPERAC. (MAT,SERV &amp; EQUIPO)'!L71</f>
        <v>0</v>
      </c>
      <c r="D104" s="187">
        <f>'F07 OPERAC. (MAT,SERV &amp; EQUIPO)'!M71</f>
        <v>25</v>
      </c>
      <c r="E104" s="187">
        <f>'F07 OPERAC. (MAT,SERV &amp; EQUIPO)'!N71</f>
        <v>25</v>
      </c>
      <c r="F104" s="187">
        <f>'F07 OPERAC. (MAT,SERV &amp; EQUIPO)'!O71</f>
        <v>25</v>
      </c>
      <c r="G104" s="187">
        <f>'F07 OPERAC. (MAT,SERV &amp; EQUIPO)'!P71</f>
        <v>25</v>
      </c>
      <c r="H104" s="187">
        <f>'F07 OPERAC. (MAT,SERV &amp; EQUIPO)'!Q71</f>
        <v>25</v>
      </c>
      <c r="I104" s="187">
        <f>'F07 OPERAC. (MAT,SERV &amp; EQUIPO)'!R71</f>
        <v>25</v>
      </c>
      <c r="J104" s="187">
        <f>'F07 OPERAC. (MAT,SERV &amp; EQUIPO)'!S71</f>
        <v>25</v>
      </c>
      <c r="K104" s="187">
        <f>'F07 OPERAC. (MAT,SERV &amp; EQUIPO)'!T71</f>
        <v>25</v>
      </c>
      <c r="L104" s="187">
        <f>'F07 OPERAC. (MAT,SERV &amp; EQUIPO)'!U71</f>
        <v>25</v>
      </c>
      <c r="M104" s="187">
        <f>'F07 OPERAC. (MAT,SERV &amp; EQUIPO)'!V71</f>
        <v>25</v>
      </c>
      <c r="N104" s="187">
        <f>'F07 OPERAC. (MAT,SERV &amp; EQUIPO)'!W71</f>
        <v>25</v>
      </c>
      <c r="O104" s="187">
        <f>'F07 OPERAC. (MAT,SERV &amp; EQUIPO)'!X71</f>
        <v>25</v>
      </c>
      <c r="P104" s="187">
        <f>'F07 OPERAC. (MAT,SERV &amp; EQUIPO)'!Y71</f>
        <v>25</v>
      </c>
      <c r="Q104" s="266">
        <f t="shared" si="14"/>
        <v>2.5593634792842024E-4</v>
      </c>
    </row>
    <row r="105" spans="1:17" ht="26" hidden="1" customHeight="1" outlineLevel="1" x14ac:dyDescent="0.35">
      <c r="A105" s="181" t="s">
        <v>183</v>
      </c>
      <c r="B105" s="182">
        <f t="shared" si="17"/>
        <v>0</v>
      </c>
      <c r="C105" s="182">
        <f>'F07 OPERAC. (MAT,SERV &amp; EQUIPO)'!L72</f>
        <v>0</v>
      </c>
      <c r="D105" s="182">
        <f>'F07 OPERAC. (MAT,SERV &amp; EQUIPO)'!M72</f>
        <v>0</v>
      </c>
      <c r="E105" s="182">
        <f>'F07 OPERAC. (MAT,SERV &amp; EQUIPO)'!N72</f>
        <v>0</v>
      </c>
      <c r="F105" s="182">
        <f>'F07 OPERAC. (MAT,SERV &amp; EQUIPO)'!O72</f>
        <v>0</v>
      </c>
      <c r="G105" s="182">
        <f>'F07 OPERAC. (MAT,SERV &amp; EQUIPO)'!P72</f>
        <v>0</v>
      </c>
      <c r="H105" s="182">
        <f>'F07 OPERAC. (MAT,SERV &amp; EQUIPO)'!Q72</f>
        <v>0</v>
      </c>
      <c r="I105" s="182">
        <f>'F07 OPERAC. (MAT,SERV &amp; EQUIPO)'!R72</f>
        <v>0</v>
      </c>
      <c r="J105" s="182">
        <f>'F07 OPERAC. (MAT,SERV &amp; EQUIPO)'!S72</f>
        <v>0</v>
      </c>
      <c r="K105" s="182">
        <f>'F07 OPERAC. (MAT,SERV &amp; EQUIPO)'!T72</f>
        <v>0</v>
      </c>
      <c r="L105" s="182">
        <f>'F07 OPERAC. (MAT,SERV &amp; EQUIPO)'!U72</f>
        <v>0</v>
      </c>
      <c r="M105" s="182">
        <f>'F07 OPERAC. (MAT,SERV &amp; EQUIPO)'!V72</f>
        <v>0</v>
      </c>
      <c r="N105" s="182">
        <f>'F07 OPERAC. (MAT,SERV &amp; EQUIPO)'!W72</f>
        <v>0</v>
      </c>
      <c r="O105" s="182">
        <f>'F07 OPERAC. (MAT,SERV &amp; EQUIPO)'!X72</f>
        <v>0</v>
      </c>
      <c r="P105" s="182">
        <f>'F07 OPERAC. (MAT,SERV &amp; EQUIPO)'!Y72</f>
        <v>0</v>
      </c>
      <c r="Q105" s="266">
        <f t="shared" si="14"/>
        <v>0</v>
      </c>
    </row>
    <row r="106" spans="1:17" ht="26" hidden="1" customHeight="1" outlineLevel="1" x14ac:dyDescent="0.35">
      <c r="A106" s="179" t="s">
        <v>184</v>
      </c>
      <c r="B106" s="187">
        <f t="shared" si="17"/>
        <v>0</v>
      </c>
      <c r="C106" s="187">
        <f>'F07 OPERAC. (MAT,SERV &amp; EQUIPO)'!L73</f>
        <v>0</v>
      </c>
      <c r="D106" s="187">
        <f>'F07 OPERAC. (MAT,SERV &amp; EQUIPO)'!M73</f>
        <v>0</v>
      </c>
      <c r="E106" s="187">
        <f>'F07 OPERAC. (MAT,SERV &amp; EQUIPO)'!N73</f>
        <v>0</v>
      </c>
      <c r="F106" s="187">
        <f>'F07 OPERAC. (MAT,SERV &amp; EQUIPO)'!O73</f>
        <v>0</v>
      </c>
      <c r="G106" s="187">
        <f>'F07 OPERAC. (MAT,SERV &amp; EQUIPO)'!P73</f>
        <v>0</v>
      </c>
      <c r="H106" s="187">
        <f>'F07 OPERAC. (MAT,SERV &amp; EQUIPO)'!Q73</f>
        <v>0</v>
      </c>
      <c r="I106" s="187">
        <f>'F07 OPERAC. (MAT,SERV &amp; EQUIPO)'!R73</f>
        <v>0</v>
      </c>
      <c r="J106" s="187">
        <f>'F07 OPERAC. (MAT,SERV &amp; EQUIPO)'!S73</f>
        <v>0</v>
      </c>
      <c r="K106" s="187">
        <f>'F07 OPERAC. (MAT,SERV &amp; EQUIPO)'!T73</f>
        <v>0</v>
      </c>
      <c r="L106" s="187">
        <f>'F07 OPERAC. (MAT,SERV &amp; EQUIPO)'!U73</f>
        <v>0</v>
      </c>
      <c r="M106" s="187">
        <f>'F07 OPERAC. (MAT,SERV &amp; EQUIPO)'!V73</f>
        <v>0</v>
      </c>
      <c r="N106" s="187">
        <f>'F07 OPERAC. (MAT,SERV &amp; EQUIPO)'!W73</f>
        <v>0</v>
      </c>
      <c r="O106" s="187">
        <f>'F07 OPERAC. (MAT,SERV &amp; EQUIPO)'!X73</f>
        <v>0</v>
      </c>
      <c r="P106" s="187">
        <f>'F07 OPERAC. (MAT,SERV &amp; EQUIPO)'!Y73</f>
        <v>0</v>
      </c>
      <c r="Q106" s="266">
        <f t="shared" si="14"/>
        <v>0</v>
      </c>
    </row>
    <row r="107" spans="1:17" ht="26" hidden="1" customHeight="1" outlineLevel="1" x14ac:dyDescent="0.35">
      <c r="A107" s="181" t="s">
        <v>185</v>
      </c>
      <c r="B107" s="182">
        <f t="shared" si="17"/>
        <v>0</v>
      </c>
      <c r="C107" s="182">
        <f>'F07 OPERAC. (MAT,SERV &amp; EQUIPO)'!L74</f>
        <v>0</v>
      </c>
      <c r="D107" s="182">
        <f>'F07 OPERAC. (MAT,SERV &amp; EQUIPO)'!M74</f>
        <v>0</v>
      </c>
      <c r="E107" s="182">
        <f>'F07 OPERAC. (MAT,SERV &amp; EQUIPO)'!N74</f>
        <v>0</v>
      </c>
      <c r="F107" s="182">
        <f>'F07 OPERAC. (MAT,SERV &amp; EQUIPO)'!O74</f>
        <v>0</v>
      </c>
      <c r="G107" s="182">
        <f>'F07 OPERAC. (MAT,SERV &amp; EQUIPO)'!P74</f>
        <v>0</v>
      </c>
      <c r="H107" s="182">
        <f>'F07 OPERAC. (MAT,SERV &amp; EQUIPO)'!Q74</f>
        <v>0</v>
      </c>
      <c r="I107" s="182">
        <f>'F07 OPERAC. (MAT,SERV &amp; EQUIPO)'!R74</f>
        <v>0</v>
      </c>
      <c r="J107" s="182">
        <f>'F07 OPERAC. (MAT,SERV &amp; EQUIPO)'!S74</f>
        <v>0</v>
      </c>
      <c r="K107" s="182">
        <f>'F07 OPERAC. (MAT,SERV &amp; EQUIPO)'!T74</f>
        <v>0</v>
      </c>
      <c r="L107" s="182">
        <f>'F07 OPERAC. (MAT,SERV &amp; EQUIPO)'!U74</f>
        <v>0</v>
      </c>
      <c r="M107" s="182">
        <f>'F07 OPERAC. (MAT,SERV &amp; EQUIPO)'!V74</f>
        <v>0</v>
      </c>
      <c r="N107" s="182">
        <f>'F07 OPERAC. (MAT,SERV &amp; EQUIPO)'!W74</f>
        <v>0</v>
      </c>
      <c r="O107" s="182">
        <f>'F07 OPERAC. (MAT,SERV &amp; EQUIPO)'!X74</f>
        <v>0</v>
      </c>
      <c r="P107" s="182">
        <f>'F07 OPERAC. (MAT,SERV &amp; EQUIPO)'!Y74</f>
        <v>0</v>
      </c>
      <c r="Q107" s="266">
        <f t="shared" si="14"/>
        <v>0</v>
      </c>
    </row>
    <row r="108" spans="1:17" ht="26" hidden="1" customHeight="1" outlineLevel="1" x14ac:dyDescent="0.35">
      <c r="A108" s="179" t="s">
        <v>186</v>
      </c>
      <c r="B108" s="187">
        <f t="shared" si="17"/>
        <v>0</v>
      </c>
      <c r="C108" s="187">
        <f>'F07 OPERAC. (MAT,SERV &amp; EQUIPO)'!L75</f>
        <v>0</v>
      </c>
      <c r="D108" s="187">
        <f>'F07 OPERAC. (MAT,SERV &amp; EQUIPO)'!M75</f>
        <v>0</v>
      </c>
      <c r="E108" s="187">
        <f>'F07 OPERAC. (MAT,SERV &amp; EQUIPO)'!N75</f>
        <v>0</v>
      </c>
      <c r="F108" s="187">
        <f>'F07 OPERAC. (MAT,SERV &amp; EQUIPO)'!O75</f>
        <v>0</v>
      </c>
      <c r="G108" s="187">
        <f>'F07 OPERAC. (MAT,SERV &amp; EQUIPO)'!P75</f>
        <v>0</v>
      </c>
      <c r="H108" s="187">
        <f>'F07 OPERAC. (MAT,SERV &amp; EQUIPO)'!Q75</f>
        <v>0</v>
      </c>
      <c r="I108" s="187">
        <f>'F07 OPERAC. (MAT,SERV &amp; EQUIPO)'!R75</f>
        <v>0</v>
      </c>
      <c r="J108" s="187">
        <f>'F07 OPERAC. (MAT,SERV &amp; EQUIPO)'!S75</f>
        <v>0</v>
      </c>
      <c r="K108" s="187">
        <f>'F07 OPERAC. (MAT,SERV &amp; EQUIPO)'!T75</f>
        <v>0</v>
      </c>
      <c r="L108" s="187">
        <f>'F07 OPERAC. (MAT,SERV &amp; EQUIPO)'!U75</f>
        <v>0</v>
      </c>
      <c r="M108" s="187">
        <f>'F07 OPERAC. (MAT,SERV &amp; EQUIPO)'!V75</f>
        <v>0</v>
      </c>
      <c r="N108" s="187">
        <f>'F07 OPERAC. (MAT,SERV &amp; EQUIPO)'!W75</f>
        <v>0</v>
      </c>
      <c r="O108" s="187">
        <f>'F07 OPERAC. (MAT,SERV &amp; EQUIPO)'!X75</f>
        <v>0</v>
      </c>
      <c r="P108" s="187">
        <f>'F07 OPERAC. (MAT,SERV &amp; EQUIPO)'!Y75</f>
        <v>0</v>
      </c>
      <c r="Q108" s="266">
        <f t="shared" si="14"/>
        <v>0</v>
      </c>
    </row>
    <row r="109" spans="1:17" ht="26" hidden="1" customHeight="1" outlineLevel="1" x14ac:dyDescent="0.35">
      <c r="A109" s="181" t="s">
        <v>187</v>
      </c>
      <c r="B109" s="182">
        <f t="shared" si="17"/>
        <v>0</v>
      </c>
      <c r="C109" s="182">
        <f>'F07 OPERAC. (MAT,SERV &amp; EQUIPO)'!L76</f>
        <v>0</v>
      </c>
      <c r="D109" s="182">
        <f>'F07 OPERAC. (MAT,SERV &amp; EQUIPO)'!M76</f>
        <v>0</v>
      </c>
      <c r="E109" s="182">
        <f>'F07 OPERAC. (MAT,SERV &amp; EQUIPO)'!N76</f>
        <v>0</v>
      </c>
      <c r="F109" s="182">
        <f>'F07 OPERAC. (MAT,SERV &amp; EQUIPO)'!O76</f>
        <v>0</v>
      </c>
      <c r="G109" s="182">
        <f>'F07 OPERAC. (MAT,SERV &amp; EQUIPO)'!P76</f>
        <v>0</v>
      </c>
      <c r="H109" s="182">
        <f>'F07 OPERAC. (MAT,SERV &amp; EQUIPO)'!Q76</f>
        <v>0</v>
      </c>
      <c r="I109" s="182">
        <f>'F07 OPERAC. (MAT,SERV &amp; EQUIPO)'!R76</f>
        <v>0</v>
      </c>
      <c r="J109" s="182">
        <f>'F07 OPERAC. (MAT,SERV &amp; EQUIPO)'!S76</f>
        <v>0</v>
      </c>
      <c r="K109" s="182">
        <f>'F07 OPERAC. (MAT,SERV &amp; EQUIPO)'!T76</f>
        <v>0</v>
      </c>
      <c r="L109" s="182">
        <f>'F07 OPERAC. (MAT,SERV &amp; EQUIPO)'!U76</f>
        <v>0</v>
      </c>
      <c r="M109" s="182">
        <f>'F07 OPERAC. (MAT,SERV &amp; EQUIPO)'!V76</f>
        <v>0</v>
      </c>
      <c r="N109" s="182">
        <f>'F07 OPERAC. (MAT,SERV &amp; EQUIPO)'!W76</f>
        <v>0</v>
      </c>
      <c r="O109" s="182">
        <f>'F07 OPERAC. (MAT,SERV &amp; EQUIPO)'!X76</f>
        <v>0</v>
      </c>
      <c r="P109" s="182">
        <f>'F07 OPERAC. (MAT,SERV &amp; EQUIPO)'!Y76</f>
        <v>0</v>
      </c>
      <c r="Q109" s="266">
        <f t="shared" ref="Q109:Q140" si="18">B109/$B$166</f>
        <v>0</v>
      </c>
    </row>
    <row r="110" spans="1:17" ht="26" hidden="1" customHeight="1" outlineLevel="1" x14ac:dyDescent="0.35">
      <c r="A110" s="179" t="s">
        <v>188</v>
      </c>
      <c r="B110" s="187">
        <f t="shared" si="17"/>
        <v>1625</v>
      </c>
      <c r="C110" s="187">
        <f>'F07 OPERAC. (MAT,SERV &amp; EQUIPO)'!L77</f>
        <v>0</v>
      </c>
      <c r="D110" s="187">
        <f>'F07 OPERAC. (MAT,SERV &amp; EQUIPO)'!M77</f>
        <v>125</v>
      </c>
      <c r="E110" s="187">
        <f>'F07 OPERAC. (MAT,SERV &amp; EQUIPO)'!N77</f>
        <v>125</v>
      </c>
      <c r="F110" s="187">
        <f>'F07 OPERAC. (MAT,SERV &amp; EQUIPO)'!O77</f>
        <v>125</v>
      </c>
      <c r="G110" s="187">
        <f>'F07 OPERAC. (MAT,SERV &amp; EQUIPO)'!P77</f>
        <v>125</v>
      </c>
      <c r="H110" s="187">
        <f>'F07 OPERAC. (MAT,SERV &amp; EQUIPO)'!Q77</f>
        <v>125</v>
      </c>
      <c r="I110" s="187">
        <f>'F07 OPERAC. (MAT,SERV &amp; EQUIPO)'!R77</f>
        <v>125</v>
      </c>
      <c r="J110" s="187">
        <f>'F07 OPERAC. (MAT,SERV &amp; EQUIPO)'!S77</f>
        <v>125</v>
      </c>
      <c r="K110" s="187">
        <f>'F07 OPERAC. (MAT,SERV &amp; EQUIPO)'!T77</f>
        <v>125</v>
      </c>
      <c r="L110" s="187">
        <f>'F07 OPERAC. (MAT,SERV &amp; EQUIPO)'!U77</f>
        <v>125</v>
      </c>
      <c r="M110" s="187">
        <f>'F07 OPERAC. (MAT,SERV &amp; EQUIPO)'!V77</f>
        <v>125</v>
      </c>
      <c r="N110" s="187">
        <f>'F07 OPERAC. (MAT,SERV &amp; EQUIPO)'!W77</f>
        <v>125</v>
      </c>
      <c r="O110" s="187">
        <f>'F07 OPERAC. (MAT,SERV &amp; EQUIPO)'!X77</f>
        <v>125</v>
      </c>
      <c r="P110" s="187">
        <f>'F07 OPERAC. (MAT,SERV &amp; EQUIPO)'!Y77</f>
        <v>125</v>
      </c>
      <c r="Q110" s="266">
        <f t="shared" si="18"/>
        <v>1.279681739642101E-3</v>
      </c>
    </row>
    <row r="111" spans="1:17" ht="26" hidden="1" customHeight="1" outlineLevel="1" x14ac:dyDescent="0.35">
      <c r="A111" s="181" t="s">
        <v>189</v>
      </c>
      <c r="B111" s="182">
        <f t="shared" si="17"/>
        <v>0</v>
      </c>
      <c r="C111" s="182">
        <f>'F07 OPERAC. (MAT,SERV &amp; EQUIPO)'!L78</f>
        <v>0</v>
      </c>
      <c r="D111" s="182">
        <f>'F07 OPERAC. (MAT,SERV &amp; EQUIPO)'!M78</f>
        <v>0</v>
      </c>
      <c r="E111" s="182">
        <f>'F07 OPERAC. (MAT,SERV &amp; EQUIPO)'!N78</f>
        <v>0</v>
      </c>
      <c r="F111" s="182">
        <f>'F07 OPERAC. (MAT,SERV &amp; EQUIPO)'!O78</f>
        <v>0</v>
      </c>
      <c r="G111" s="182">
        <f>'F07 OPERAC. (MAT,SERV &amp; EQUIPO)'!P78</f>
        <v>0</v>
      </c>
      <c r="H111" s="182">
        <f>'F07 OPERAC. (MAT,SERV &amp; EQUIPO)'!Q78</f>
        <v>0</v>
      </c>
      <c r="I111" s="182">
        <f>'F07 OPERAC. (MAT,SERV &amp; EQUIPO)'!R78</f>
        <v>0</v>
      </c>
      <c r="J111" s="182">
        <f>'F07 OPERAC. (MAT,SERV &amp; EQUIPO)'!S78</f>
        <v>0</v>
      </c>
      <c r="K111" s="182">
        <f>'F07 OPERAC. (MAT,SERV &amp; EQUIPO)'!T78</f>
        <v>0</v>
      </c>
      <c r="L111" s="182">
        <f>'F07 OPERAC. (MAT,SERV &amp; EQUIPO)'!U78</f>
        <v>0</v>
      </c>
      <c r="M111" s="182">
        <f>'F07 OPERAC. (MAT,SERV &amp; EQUIPO)'!V78</f>
        <v>0</v>
      </c>
      <c r="N111" s="182">
        <f>'F07 OPERAC. (MAT,SERV &amp; EQUIPO)'!W78</f>
        <v>0</v>
      </c>
      <c r="O111" s="182">
        <f>'F07 OPERAC. (MAT,SERV &amp; EQUIPO)'!X78</f>
        <v>0</v>
      </c>
      <c r="P111" s="182">
        <f>'F07 OPERAC. (MAT,SERV &amp; EQUIPO)'!Y78</f>
        <v>0</v>
      </c>
      <c r="Q111" s="266">
        <f t="shared" si="18"/>
        <v>0</v>
      </c>
    </row>
    <row r="112" spans="1:17" ht="26" hidden="1" customHeight="1" outlineLevel="1" x14ac:dyDescent="0.35">
      <c r="A112" s="179" t="s">
        <v>190</v>
      </c>
      <c r="B112" s="187">
        <f t="shared" si="17"/>
        <v>0</v>
      </c>
      <c r="C112" s="187">
        <f>'F07 OPERAC. (MAT,SERV &amp; EQUIPO)'!L79</f>
        <v>0</v>
      </c>
      <c r="D112" s="187">
        <f>'F07 OPERAC. (MAT,SERV &amp; EQUIPO)'!M79</f>
        <v>0</v>
      </c>
      <c r="E112" s="187">
        <f>'F07 OPERAC. (MAT,SERV &amp; EQUIPO)'!N79</f>
        <v>0</v>
      </c>
      <c r="F112" s="187">
        <f>'F07 OPERAC. (MAT,SERV &amp; EQUIPO)'!O79</f>
        <v>0</v>
      </c>
      <c r="G112" s="187">
        <f>'F07 OPERAC. (MAT,SERV &amp; EQUIPO)'!P79</f>
        <v>0</v>
      </c>
      <c r="H112" s="187">
        <f>'F07 OPERAC. (MAT,SERV &amp; EQUIPO)'!Q79</f>
        <v>0</v>
      </c>
      <c r="I112" s="187">
        <f>'F07 OPERAC. (MAT,SERV &amp; EQUIPO)'!R79</f>
        <v>0</v>
      </c>
      <c r="J112" s="187">
        <f>'F07 OPERAC. (MAT,SERV &amp; EQUIPO)'!S79</f>
        <v>0</v>
      </c>
      <c r="K112" s="187">
        <f>'F07 OPERAC. (MAT,SERV &amp; EQUIPO)'!T79</f>
        <v>0</v>
      </c>
      <c r="L112" s="187">
        <f>'F07 OPERAC. (MAT,SERV &amp; EQUIPO)'!U79</f>
        <v>0</v>
      </c>
      <c r="M112" s="187">
        <f>'F07 OPERAC. (MAT,SERV &amp; EQUIPO)'!V79</f>
        <v>0</v>
      </c>
      <c r="N112" s="187">
        <f>'F07 OPERAC. (MAT,SERV &amp; EQUIPO)'!W79</f>
        <v>0</v>
      </c>
      <c r="O112" s="187">
        <f>'F07 OPERAC. (MAT,SERV &amp; EQUIPO)'!X79</f>
        <v>0</v>
      </c>
      <c r="P112" s="187">
        <f>'F07 OPERAC. (MAT,SERV &amp; EQUIPO)'!Y79</f>
        <v>0</v>
      </c>
      <c r="Q112" s="266">
        <f t="shared" si="18"/>
        <v>0</v>
      </c>
    </row>
    <row r="113" spans="1:17" ht="26" hidden="1" customHeight="1" outlineLevel="1" x14ac:dyDescent="0.35">
      <c r="A113" s="181" t="s">
        <v>191</v>
      </c>
      <c r="B113" s="182">
        <f t="shared" si="17"/>
        <v>450</v>
      </c>
      <c r="C113" s="182">
        <f>'F07 OPERAC. (MAT,SERV &amp; EQUIPO)'!L80</f>
        <v>0</v>
      </c>
      <c r="D113" s="182">
        <f>'F07 OPERAC. (MAT,SERV &amp; EQUIPO)'!M80</f>
        <v>150</v>
      </c>
      <c r="E113" s="182">
        <f>'F07 OPERAC. (MAT,SERV &amp; EQUIPO)'!N80</f>
        <v>0</v>
      </c>
      <c r="F113" s="182">
        <f>'F07 OPERAC. (MAT,SERV &amp; EQUIPO)'!O80</f>
        <v>0</v>
      </c>
      <c r="G113" s="182">
        <f>'F07 OPERAC. (MAT,SERV &amp; EQUIPO)'!P80</f>
        <v>0</v>
      </c>
      <c r="H113" s="182">
        <f>'F07 OPERAC. (MAT,SERV &amp; EQUIPO)'!Q80</f>
        <v>0</v>
      </c>
      <c r="I113" s="182">
        <f>'F07 OPERAC. (MAT,SERV &amp; EQUIPO)'!R80</f>
        <v>150</v>
      </c>
      <c r="J113" s="182">
        <f>'F07 OPERAC. (MAT,SERV &amp; EQUIPO)'!S80</f>
        <v>0</v>
      </c>
      <c r="K113" s="182">
        <f>'F07 OPERAC. (MAT,SERV &amp; EQUIPO)'!T80</f>
        <v>0</v>
      </c>
      <c r="L113" s="182">
        <f>'F07 OPERAC. (MAT,SERV &amp; EQUIPO)'!U80</f>
        <v>0</v>
      </c>
      <c r="M113" s="182">
        <f>'F07 OPERAC. (MAT,SERV &amp; EQUIPO)'!V80</f>
        <v>0</v>
      </c>
      <c r="N113" s="182">
        <f>'F07 OPERAC. (MAT,SERV &amp; EQUIPO)'!W80</f>
        <v>0</v>
      </c>
      <c r="O113" s="182">
        <f>'F07 OPERAC. (MAT,SERV &amp; EQUIPO)'!X80</f>
        <v>150</v>
      </c>
      <c r="P113" s="182">
        <f>'F07 OPERAC. (MAT,SERV &amp; EQUIPO)'!Y80</f>
        <v>0</v>
      </c>
      <c r="Q113" s="266">
        <f t="shared" si="18"/>
        <v>3.5437340482396645E-4</v>
      </c>
    </row>
    <row r="114" spans="1:17" ht="26" hidden="1" customHeight="1" outlineLevel="1" x14ac:dyDescent="0.35">
      <c r="A114" s="179" t="s">
        <v>192</v>
      </c>
      <c r="B114" s="187">
        <f t="shared" si="17"/>
        <v>0</v>
      </c>
      <c r="C114" s="187">
        <f>'F07 OPERAC. (MAT,SERV &amp; EQUIPO)'!L81</f>
        <v>0</v>
      </c>
      <c r="D114" s="187">
        <f>'F07 OPERAC. (MAT,SERV &amp; EQUIPO)'!M81</f>
        <v>0</v>
      </c>
      <c r="E114" s="187">
        <f>'F07 OPERAC. (MAT,SERV &amp; EQUIPO)'!N81</f>
        <v>0</v>
      </c>
      <c r="F114" s="187">
        <f>'F07 OPERAC. (MAT,SERV &amp; EQUIPO)'!O81</f>
        <v>0</v>
      </c>
      <c r="G114" s="187">
        <f>'F07 OPERAC. (MAT,SERV &amp; EQUIPO)'!P81</f>
        <v>0</v>
      </c>
      <c r="H114" s="187">
        <f>'F07 OPERAC. (MAT,SERV &amp; EQUIPO)'!Q81</f>
        <v>0</v>
      </c>
      <c r="I114" s="187">
        <f>'F07 OPERAC. (MAT,SERV &amp; EQUIPO)'!R81</f>
        <v>0</v>
      </c>
      <c r="J114" s="187">
        <f>'F07 OPERAC. (MAT,SERV &amp; EQUIPO)'!S81</f>
        <v>0</v>
      </c>
      <c r="K114" s="187">
        <f>'F07 OPERAC. (MAT,SERV &amp; EQUIPO)'!T81</f>
        <v>0</v>
      </c>
      <c r="L114" s="187">
        <f>'F07 OPERAC. (MAT,SERV &amp; EQUIPO)'!U81</f>
        <v>0</v>
      </c>
      <c r="M114" s="187">
        <f>'F07 OPERAC. (MAT,SERV &amp; EQUIPO)'!V81</f>
        <v>0</v>
      </c>
      <c r="N114" s="187">
        <f>'F07 OPERAC. (MAT,SERV &amp; EQUIPO)'!W81</f>
        <v>0</v>
      </c>
      <c r="O114" s="187">
        <f>'F07 OPERAC. (MAT,SERV &amp; EQUIPO)'!X81</f>
        <v>0</v>
      </c>
      <c r="P114" s="187">
        <f>'F07 OPERAC. (MAT,SERV &amp; EQUIPO)'!Y81</f>
        <v>0</v>
      </c>
      <c r="Q114" s="266">
        <f t="shared" si="18"/>
        <v>0</v>
      </c>
    </row>
    <row r="115" spans="1:17" ht="26" hidden="1" customHeight="1" outlineLevel="1" x14ac:dyDescent="0.35">
      <c r="A115" s="181" t="s">
        <v>193</v>
      </c>
      <c r="B115" s="182">
        <f t="shared" si="17"/>
        <v>0</v>
      </c>
      <c r="C115" s="182">
        <f>'F07 OPERAC. (MAT,SERV &amp; EQUIPO)'!L82</f>
        <v>0</v>
      </c>
      <c r="D115" s="182">
        <f>'F07 OPERAC. (MAT,SERV &amp; EQUIPO)'!M82</f>
        <v>0</v>
      </c>
      <c r="E115" s="182">
        <f>'F07 OPERAC. (MAT,SERV &amp; EQUIPO)'!N82</f>
        <v>0</v>
      </c>
      <c r="F115" s="182">
        <f>'F07 OPERAC. (MAT,SERV &amp; EQUIPO)'!O82</f>
        <v>0</v>
      </c>
      <c r="G115" s="182">
        <f>'F07 OPERAC. (MAT,SERV &amp; EQUIPO)'!P82</f>
        <v>0</v>
      </c>
      <c r="H115" s="182">
        <f>'F07 OPERAC. (MAT,SERV &amp; EQUIPO)'!Q82</f>
        <v>0</v>
      </c>
      <c r="I115" s="182">
        <f>'F07 OPERAC. (MAT,SERV &amp; EQUIPO)'!R82</f>
        <v>0</v>
      </c>
      <c r="J115" s="182">
        <f>'F07 OPERAC. (MAT,SERV &amp; EQUIPO)'!S82</f>
        <v>0</v>
      </c>
      <c r="K115" s="182">
        <f>'F07 OPERAC. (MAT,SERV &amp; EQUIPO)'!T82</f>
        <v>0</v>
      </c>
      <c r="L115" s="182">
        <f>'F07 OPERAC. (MAT,SERV &amp; EQUIPO)'!U82</f>
        <v>0</v>
      </c>
      <c r="M115" s="182">
        <f>'F07 OPERAC. (MAT,SERV &amp; EQUIPO)'!V82</f>
        <v>0</v>
      </c>
      <c r="N115" s="182">
        <f>'F07 OPERAC. (MAT,SERV &amp; EQUIPO)'!W82</f>
        <v>0</v>
      </c>
      <c r="O115" s="182">
        <f>'F07 OPERAC. (MAT,SERV &amp; EQUIPO)'!X82</f>
        <v>0</v>
      </c>
      <c r="P115" s="182">
        <f>'F07 OPERAC. (MAT,SERV &amp; EQUIPO)'!Y82</f>
        <v>0</v>
      </c>
      <c r="Q115" s="266">
        <f t="shared" si="18"/>
        <v>0</v>
      </c>
    </row>
    <row r="116" spans="1:17" ht="26" hidden="1" customHeight="1" outlineLevel="1" x14ac:dyDescent="0.35">
      <c r="A116" s="179" t="s">
        <v>194</v>
      </c>
      <c r="B116" s="187">
        <f t="shared" si="17"/>
        <v>0</v>
      </c>
      <c r="C116" s="187">
        <f>'F07 OPERAC. (MAT,SERV &amp; EQUIPO)'!L83</f>
        <v>0</v>
      </c>
      <c r="D116" s="187">
        <f>'F07 OPERAC. (MAT,SERV &amp; EQUIPO)'!M83</f>
        <v>0</v>
      </c>
      <c r="E116" s="187">
        <f>'F07 OPERAC. (MAT,SERV &amp; EQUIPO)'!N83</f>
        <v>0</v>
      </c>
      <c r="F116" s="187">
        <f>'F07 OPERAC. (MAT,SERV &amp; EQUIPO)'!O83</f>
        <v>0</v>
      </c>
      <c r="G116" s="187">
        <f>'F07 OPERAC. (MAT,SERV &amp; EQUIPO)'!P83</f>
        <v>0</v>
      </c>
      <c r="H116" s="187">
        <f>'F07 OPERAC. (MAT,SERV &amp; EQUIPO)'!Q83</f>
        <v>0</v>
      </c>
      <c r="I116" s="187">
        <f>'F07 OPERAC. (MAT,SERV &amp; EQUIPO)'!R83</f>
        <v>0</v>
      </c>
      <c r="J116" s="187">
        <f>'F07 OPERAC. (MAT,SERV &amp; EQUIPO)'!S83</f>
        <v>0</v>
      </c>
      <c r="K116" s="187">
        <f>'F07 OPERAC. (MAT,SERV &amp; EQUIPO)'!T83</f>
        <v>0</v>
      </c>
      <c r="L116" s="187">
        <f>'F07 OPERAC. (MAT,SERV &amp; EQUIPO)'!U83</f>
        <v>0</v>
      </c>
      <c r="M116" s="187">
        <f>'F07 OPERAC. (MAT,SERV &amp; EQUIPO)'!V83</f>
        <v>0</v>
      </c>
      <c r="N116" s="187">
        <f>'F07 OPERAC. (MAT,SERV &amp; EQUIPO)'!W83</f>
        <v>0</v>
      </c>
      <c r="O116" s="187">
        <f>'F07 OPERAC. (MAT,SERV &amp; EQUIPO)'!X83</f>
        <v>0</v>
      </c>
      <c r="P116" s="187">
        <f>'F07 OPERAC. (MAT,SERV &amp; EQUIPO)'!Y83</f>
        <v>0</v>
      </c>
      <c r="Q116" s="266">
        <f t="shared" si="18"/>
        <v>0</v>
      </c>
    </row>
    <row r="117" spans="1:17" ht="26" hidden="1" customHeight="1" outlineLevel="1" x14ac:dyDescent="0.35">
      <c r="A117" s="181" t="s">
        <v>195</v>
      </c>
      <c r="B117" s="182">
        <f t="shared" si="17"/>
        <v>0</v>
      </c>
      <c r="C117" s="182">
        <f>'F07 OPERAC. (MAT,SERV &amp; EQUIPO)'!L84</f>
        <v>0</v>
      </c>
      <c r="D117" s="182">
        <f>'F07 OPERAC. (MAT,SERV &amp; EQUIPO)'!M84</f>
        <v>0</v>
      </c>
      <c r="E117" s="182">
        <f>'F07 OPERAC. (MAT,SERV &amp; EQUIPO)'!N84</f>
        <v>0</v>
      </c>
      <c r="F117" s="182">
        <f>'F07 OPERAC. (MAT,SERV &amp; EQUIPO)'!O84</f>
        <v>0</v>
      </c>
      <c r="G117" s="182">
        <f>'F07 OPERAC. (MAT,SERV &amp; EQUIPO)'!P84</f>
        <v>0</v>
      </c>
      <c r="H117" s="182">
        <f>'F07 OPERAC. (MAT,SERV &amp; EQUIPO)'!Q84</f>
        <v>0</v>
      </c>
      <c r="I117" s="182">
        <f>'F07 OPERAC. (MAT,SERV &amp; EQUIPO)'!R84</f>
        <v>0</v>
      </c>
      <c r="J117" s="182">
        <f>'F07 OPERAC. (MAT,SERV &amp; EQUIPO)'!S84</f>
        <v>0</v>
      </c>
      <c r="K117" s="182">
        <f>'F07 OPERAC. (MAT,SERV &amp; EQUIPO)'!T84</f>
        <v>0</v>
      </c>
      <c r="L117" s="182">
        <f>'F07 OPERAC. (MAT,SERV &amp; EQUIPO)'!U84</f>
        <v>0</v>
      </c>
      <c r="M117" s="182">
        <f>'F07 OPERAC. (MAT,SERV &amp; EQUIPO)'!V84</f>
        <v>0</v>
      </c>
      <c r="N117" s="182">
        <f>'F07 OPERAC. (MAT,SERV &amp; EQUIPO)'!W84</f>
        <v>0</v>
      </c>
      <c r="O117" s="182">
        <f>'F07 OPERAC. (MAT,SERV &amp; EQUIPO)'!X84</f>
        <v>0</v>
      </c>
      <c r="P117" s="182">
        <f>'F07 OPERAC. (MAT,SERV &amp; EQUIPO)'!Y84</f>
        <v>0</v>
      </c>
      <c r="Q117" s="266">
        <f t="shared" si="18"/>
        <v>0</v>
      </c>
    </row>
    <row r="118" spans="1:17" ht="26" hidden="1" customHeight="1" outlineLevel="1" x14ac:dyDescent="0.35">
      <c r="A118" s="179" t="s">
        <v>196</v>
      </c>
      <c r="B118" s="187">
        <f t="shared" si="17"/>
        <v>0</v>
      </c>
      <c r="C118" s="187">
        <f>'F07 OPERAC. (MAT,SERV &amp; EQUIPO)'!L85</f>
        <v>0</v>
      </c>
      <c r="D118" s="187">
        <f>'F07 OPERAC. (MAT,SERV &amp; EQUIPO)'!M85</f>
        <v>0</v>
      </c>
      <c r="E118" s="187">
        <f>'F07 OPERAC. (MAT,SERV &amp; EQUIPO)'!N85</f>
        <v>0</v>
      </c>
      <c r="F118" s="187">
        <f>'F07 OPERAC. (MAT,SERV &amp; EQUIPO)'!O85</f>
        <v>0</v>
      </c>
      <c r="G118" s="187">
        <f>'F07 OPERAC. (MAT,SERV &amp; EQUIPO)'!P85</f>
        <v>0</v>
      </c>
      <c r="H118" s="187">
        <f>'F07 OPERAC. (MAT,SERV &amp; EQUIPO)'!Q85</f>
        <v>0</v>
      </c>
      <c r="I118" s="187">
        <f>'F07 OPERAC. (MAT,SERV &amp; EQUIPO)'!R85</f>
        <v>0</v>
      </c>
      <c r="J118" s="187">
        <f>'F07 OPERAC. (MAT,SERV &amp; EQUIPO)'!S85</f>
        <v>0</v>
      </c>
      <c r="K118" s="187">
        <f>'F07 OPERAC. (MAT,SERV &amp; EQUIPO)'!T85</f>
        <v>0</v>
      </c>
      <c r="L118" s="187">
        <f>'F07 OPERAC. (MAT,SERV &amp; EQUIPO)'!U85</f>
        <v>0</v>
      </c>
      <c r="M118" s="187">
        <f>'F07 OPERAC. (MAT,SERV &amp; EQUIPO)'!V85</f>
        <v>0</v>
      </c>
      <c r="N118" s="187">
        <f>'F07 OPERAC. (MAT,SERV &amp; EQUIPO)'!W85</f>
        <v>0</v>
      </c>
      <c r="O118" s="187">
        <f>'F07 OPERAC. (MAT,SERV &amp; EQUIPO)'!X85</f>
        <v>0</v>
      </c>
      <c r="P118" s="187">
        <f>'F07 OPERAC. (MAT,SERV &amp; EQUIPO)'!Y85</f>
        <v>0</v>
      </c>
      <c r="Q118" s="266">
        <f t="shared" si="18"/>
        <v>0</v>
      </c>
    </row>
    <row r="119" spans="1:17" ht="26" hidden="1" customHeight="1" outlineLevel="1" x14ac:dyDescent="0.35">
      <c r="A119" s="181" t="s">
        <v>197</v>
      </c>
      <c r="B119" s="187">
        <f t="shared" si="17"/>
        <v>830895</v>
      </c>
      <c r="C119" s="187">
        <f>'F07 OPERAC. (MAT,SERV &amp; EQUIPO)'!L86</f>
        <v>0</v>
      </c>
      <c r="D119" s="187">
        <f>'F07 OPERAC. (MAT,SERV &amp; EQUIPO)'!M86</f>
        <v>63915</v>
      </c>
      <c r="E119" s="187">
        <f>'F07 OPERAC. (MAT,SERV &amp; EQUIPO)'!N86</f>
        <v>63915</v>
      </c>
      <c r="F119" s="187">
        <f>'F07 OPERAC. (MAT,SERV &amp; EQUIPO)'!O86</f>
        <v>63915</v>
      </c>
      <c r="G119" s="187">
        <f>'F07 OPERAC. (MAT,SERV &amp; EQUIPO)'!P86</f>
        <v>63915</v>
      </c>
      <c r="H119" s="187">
        <f>'F07 OPERAC. (MAT,SERV &amp; EQUIPO)'!Q86</f>
        <v>63915</v>
      </c>
      <c r="I119" s="187">
        <f>'F07 OPERAC. (MAT,SERV &amp; EQUIPO)'!R86</f>
        <v>63915</v>
      </c>
      <c r="J119" s="187">
        <f>'F07 OPERAC. (MAT,SERV &amp; EQUIPO)'!S86</f>
        <v>63915</v>
      </c>
      <c r="K119" s="187">
        <f>'F07 OPERAC. (MAT,SERV &amp; EQUIPO)'!T86</f>
        <v>63915</v>
      </c>
      <c r="L119" s="187">
        <f>'F07 OPERAC. (MAT,SERV &amp; EQUIPO)'!U86</f>
        <v>63915</v>
      </c>
      <c r="M119" s="187">
        <f>'F07 OPERAC. (MAT,SERV &amp; EQUIPO)'!V86</f>
        <v>63915</v>
      </c>
      <c r="N119" s="187">
        <f>'F07 OPERAC. (MAT,SERV &amp; EQUIPO)'!W86</f>
        <v>63915</v>
      </c>
      <c r="O119" s="187">
        <f>'F07 OPERAC. (MAT,SERV &amp; EQUIPO)'!X86</f>
        <v>63915</v>
      </c>
      <c r="P119" s="187">
        <f>'F07 OPERAC. (MAT,SERV &amp; EQUIPO)'!Y86</f>
        <v>63915</v>
      </c>
      <c r="Q119" s="266">
        <f t="shared" si="18"/>
        <v>0.65432686711379917</v>
      </c>
    </row>
    <row r="120" spans="1:17" ht="26" hidden="1" customHeight="1" outlineLevel="1" x14ac:dyDescent="0.35">
      <c r="A120" s="179" t="s">
        <v>198</v>
      </c>
      <c r="B120" s="187">
        <f t="shared" si="17"/>
        <v>0</v>
      </c>
      <c r="C120" s="187">
        <f>'F07 OPERAC. (MAT,SERV &amp; EQUIPO)'!L87</f>
        <v>0</v>
      </c>
      <c r="D120" s="187">
        <f>'F07 OPERAC. (MAT,SERV &amp; EQUIPO)'!M87</f>
        <v>0</v>
      </c>
      <c r="E120" s="187">
        <f>'F07 OPERAC. (MAT,SERV &amp; EQUIPO)'!N87</f>
        <v>0</v>
      </c>
      <c r="F120" s="187">
        <f>'F07 OPERAC. (MAT,SERV &amp; EQUIPO)'!O87</f>
        <v>0</v>
      </c>
      <c r="G120" s="187">
        <f>'F07 OPERAC. (MAT,SERV &amp; EQUIPO)'!P87</f>
        <v>0</v>
      </c>
      <c r="H120" s="187">
        <f>'F07 OPERAC. (MAT,SERV &amp; EQUIPO)'!Q87</f>
        <v>0</v>
      </c>
      <c r="I120" s="187">
        <f>'F07 OPERAC. (MAT,SERV &amp; EQUIPO)'!R87</f>
        <v>0</v>
      </c>
      <c r="J120" s="187">
        <f>'F07 OPERAC. (MAT,SERV &amp; EQUIPO)'!S87</f>
        <v>0</v>
      </c>
      <c r="K120" s="187">
        <f>'F07 OPERAC. (MAT,SERV &amp; EQUIPO)'!T87</f>
        <v>0</v>
      </c>
      <c r="L120" s="187">
        <f>'F07 OPERAC. (MAT,SERV &amp; EQUIPO)'!U87</f>
        <v>0</v>
      </c>
      <c r="M120" s="187">
        <f>'F07 OPERAC. (MAT,SERV &amp; EQUIPO)'!V87</f>
        <v>0</v>
      </c>
      <c r="N120" s="187">
        <f>'F07 OPERAC. (MAT,SERV &amp; EQUIPO)'!W87</f>
        <v>0</v>
      </c>
      <c r="O120" s="187">
        <f>'F07 OPERAC. (MAT,SERV &amp; EQUIPO)'!X87</f>
        <v>0</v>
      </c>
      <c r="P120" s="187">
        <f>'F07 OPERAC. (MAT,SERV &amp; EQUIPO)'!Y87</f>
        <v>0</v>
      </c>
      <c r="Q120" s="266">
        <f t="shared" si="18"/>
        <v>0</v>
      </c>
    </row>
    <row r="121" spans="1:17" ht="26" hidden="1" customHeight="1" outlineLevel="1" x14ac:dyDescent="0.35">
      <c r="A121" s="181" t="s">
        <v>199</v>
      </c>
      <c r="B121" s="182">
        <f t="shared" si="17"/>
        <v>0</v>
      </c>
      <c r="C121" s="182">
        <f>'F07 OPERAC. (MAT,SERV &amp; EQUIPO)'!L88</f>
        <v>0</v>
      </c>
      <c r="D121" s="182">
        <f>'F07 OPERAC. (MAT,SERV &amp; EQUIPO)'!M88</f>
        <v>0</v>
      </c>
      <c r="E121" s="182">
        <f>'F07 OPERAC. (MAT,SERV &amp; EQUIPO)'!N88</f>
        <v>0</v>
      </c>
      <c r="F121" s="182">
        <f>'F07 OPERAC. (MAT,SERV &amp; EQUIPO)'!O88</f>
        <v>0</v>
      </c>
      <c r="G121" s="182">
        <f>'F07 OPERAC. (MAT,SERV &amp; EQUIPO)'!P88</f>
        <v>0</v>
      </c>
      <c r="H121" s="182">
        <f>'F07 OPERAC. (MAT,SERV &amp; EQUIPO)'!Q88</f>
        <v>0</v>
      </c>
      <c r="I121" s="182">
        <f>'F07 OPERAC. (MAT,SERV &amp; EQUIPO)'!R88</f>
        <v>0</v>
      </c>
      <c r="J121" s="182">
        <f>'F07 OPERAC. (MAT,SERV &amp; EQUIPO)'!S88</f>
        <v>0</v>
      </c>
      <c r="K121" s="182">
        <f>'F07 OPERAC. (MAT,SERV &amp; EQUIPO)'!T88</f>
        <v>0</v>
      </c>
      <c r="L121" s="182">
        <f>'F07 OPERAC. (MAT,SERV &amp; EQUIPO)'!U88</f>
        <v>0</v>
      </c>
      <c r="M121" s="182">
        <f>'F07 OPERAC. (MAT,SERV &amp; EQUIPO)'!V88</f>
        <v>0</v>
      </c>
      <c r="N121" s="182">
        <f>'F07 OPERAC. (MAT,SERV &amp; EQUIPO)'!W88</f>
        <v>0</v>
      </c>
      <c r="O121" s="182">
        <f>'F07 OPERAC. (MAT,SERV &amp; EQUIPO)'!X88</f>
        <v>0</v>
      </c>
      <c r="P121" s="182">
        <f>'F07 OPERAC. (MAT,SERV &amp; EQUIPO)'!Y88</f>
        <v>0</v>
      </c>
      <c r="Q121" s="266">
        <f t="shared" si="18"/>
        <v>0</v>
      </c>
    </row>
    <row r="122" spans="1:17" ht="26" hidden="1" customHeight="1" outlineLevel="1" x14ac:dyDescent="0.35">
      <c r="A122" s="179" t="s">
        <v>200</v>
      </c>
      <c r="B122" s="187">
        <f t="shared" si="17"/>
        <v>0</v>
      </c>
      <c r="C122" s="187">
        <f>'F07 OPERAC. (MAT,SERV &amp; EQUIPO)'!L89</f>
        <v>0</v>
      </c>
      <c r="D122" s="187">
        <f>'F07 OPERAC. (MAT,SERV &amp; EQUIPO)'!M89</f>
        <v>0</v>
      </c>
      <c r="E122" s="187">
        <f>'F07 OPERAC. (MAT,SERV &amp; EQUIPO)'!N89</f>
        <v>0</v>
      </c>
      <c r="F122" s="187">
        <f>'F07 OPERAC. (MAT,SERV &amp; EQUIPO)'!O89</f>
        <v>0</v>
      </c>
      <c r="G122" s="187">
        <f>'F07 OPERAC. (MAT,SERV &amp; EQUIPO)'!P89</f>
        <v>0</v>
      </c>
      <c r="H122" s="187">
        <f>'F07 OPERAC. (MAT,SERV &amp; EQUIPO)'!Q89</f>
        <v>0</v>
      </c>
      <c r="I122" s="187">
        <f>'F07 OPERAC. (MAT,SERV &amp; EQUIPO)'!R89</f>
        <v>0</v>
      </c>
      <c r="J122" s="187">
        <f>'F07 OPERAC. (MAT,SERV &amp; EQUIPO)'!S89</f>
        <v>0</v>
      </c>
      <c r="K122" s="187">
        <f>'F07 OPERAC. (MAT,SERV &amp; EQUIPO)'!T89</f>
        <v>0</v>
      </c>
      <c r="L122" s="187">
        <f>'F07 OPERAC. (MAT,SERV &amp; EQUIPO)'!U89</f>
        <v>0</v>
      </c>
      <c r="M122" s="187">
        <f>'F07 OPERAC. (MAT,SERV &amp; EQUIPO)'!V89</f>
        <v>0</v>
      </c>
      <c r="N122" s="187">
        <f>'F07 OPERAC. (MAT,SERV &amp; EQUIPO)'!W89</f>
        <v>0</v>
      </c>
      <c r="O122" s="187">
        <f>'F07 OPERAC. (MAT,SERV &amp; EQUIPO)'!X89</f>
        <v>0</v>
      </c>
      <c r="P122" s="187">
        <f>'F07 OPERAC. (MAT,SERV &amp; EQUIPO)'!Y89</f>
        <v>0</v>
      </c>
      <c r="Q122" s="266">
        <f t="shared" si="18"/>
        <v>0</v>
      </c>
    </row>
    <row r="123" spans="1:17" ht="26" hidden="1" customHeight="1" outlineLevel="1" x14ac:dyDescent="0.35">
      <c r="A123" s="181" t="s">
        <v>201</v>
      </c>
      <c r="B123" s="182">
        <f t="shared" si="17"/>
        <v>450</v>
      </c>
      <c r="C123" s="182">
        <f>'F07 OPERAC. (MAT,SERV &amp; EQUIPO)'!L90</f>
        <v>0</v>
      </c>
      <c r="D123" s="182">
        <f>'F07 OPERAC. (MAT,SERV &amp; EQUIPO)'!M90</f>
        <v>0</v>
      </c>
      <c r="E123" s="182">
        <f>'F07 OPERAC. (MAT,SERV &amp; EQUIPO)'!N90</f>
        <v>450</v>
      </c>
      <c r="F123" s="182">
        <f>'F07 OPERAC. (MAT,SERV &amp; EQUIPO)'!O90</f>
        <v>0</v>
      </c>
      <c r="G123" s="182">
        <f>'F07 OPERAC. (MAT,SERV &amp; EQUIPO)'!P90</f>
        <v>0</v>
      </c>
      <c r="H123" s="182">
        <f>'F07 OPERAC. (MAT,SERV &amp; EQUIPO)'!Q90</f>
        <v>0</v>
      </c>
      <c r="I123" s="182">
        <f>'F07 OPERAC. (MAT,SERV &amp; EQUIPO)'!R90</f>
        <v>0</v>
      </c>
      <c r="J123" s="182">
        <f>'F07 OPERAC. (MAT,SERV &amp; EQUIPO)'!S90</f>
        <v>0</v>
      </c>
      <c r="K123" s="182">
        <f>'F07 OPERAC. (MAT,SERV &amp; EQUIPO)'!T90</f>
        <v>0</v>
      </c>
      <c r="L123" s="182">
        <f>'F07 OPERAC. (MAT,SERV &amp; EQUIPO)'!U90</f>
        <v>0</v>
      </c>
      <c r="M123" s="182">
        <f>'F07 OPERAC. (MAT,SERV &amp; EQUIPO)'!V90</f>
        <v>0</v>
      </c>
      <c r="N123" s="182">
        <f>'F07 OPERAC. (MAT,SERV &amp; EQUIPO)'!W90</f>
        <v>0</v>
      </c>
      <c r="O123" s="182">
        <f>'F07 OPERAC. (MAT,SERV &amp; EQUIPO)'!X90</f>
        <v>0</v>
      </c>
      <c r="P123" s="182">
        <f>'F07 OPERAC. (MAT,SERV &amp; EQUIPO)'!Y90</f>
        <v>0</v>
      </c>
      <c r="Q123" s="266">
        <f t="shared" si="18"/>
        <v>3.5437340482396645E-4</v>
      </c>
    </row>
    <row r="124" spans="1:17" ht="26" hidden="1" customHeight="1" outlineLevel="1" x14ac:dyDescent="0.35">
      <c r="A124" s="179" t="s">
        <v>202</v>
      </c>
      <c r="B124" s="187">
        <f t="shared" si="17"/>
        <v>3250</v>
      </c>
      <c r="C124" s="187">
        <f>'F07 OPERAC. (MAT,SERV &amp; EQUIPO)'!L91</f>
        <v>0</v>
      </c>
      <c r="D124" s="187">
        <f>'F07 OPERAC. (MAT,SERV &amp; EQUIPO)'!M91</f>
        <v>250</v>
      </c>
      <c r="E124" s="187">
        <f>'F07 OPERAC. (MAT,SERV &amp; EQUIPO)'!N91</f>
        <v>250</v>
      </c>
      <c r="F124" s="187">
        <f>'F07 OPERAC. (MAT,SERV &amp; EQUIPO)'!O91</f>
        <v>250</v>
      </c>
      <c r="G124" s="187">
        <f>'F07 OPERAC. (MAT,SERV &amp; EQUIPO)'!P91</f>
        <v>250</v>
      </c>
      <c r="H124" s="187">
        <f>'F07 OPERAC. (MAT,SERV &amp; EQUIPO)'!Q91</f>
        <v>250</v>
      </c>
      <c r="I124" s="187">
        <f>'F07 OPERAC. (MAT,SERV &amp; EQUIPO)'!R91</f>
        <v>250</v>
      </c>
      <c r="J124" s="187">
        <f>'F07 OPERAC. (MAT,SERV &amp; EQUIPO)'!S91</f>
        <v>250</v>
      </c>
      <c r="K124" s="187">
        <f>'F07 OPERAC. (MAT,SERV &amp; EQUIPO)'!T91</f>
        <v>250</v>
      </c>
      <c r="L124" s="187">
        <f>'F07 OPERAC. (MAT,SERV &amp; EQUIPO)'!U91</f>
        <v>250</v>
      </c>
      <c r="M124" s="187">
        <f>'F07 OPERAC. (MAT,SERV &amp; EQUIPO)'!V91</f>
        <v>250</v>
      </c>
      <c r="N124" s="187">
        <f>'F07 OPERAC. (MAT,SERV &amp; EQUIPO)'!W91</f>
        <v>250</v>
      </c>
      <c r="O124" s="187">
        <f>'F07 OPERAC. (MAT,SERV &amp; EQUIPO)'!X91</f>
        <v>250</v>
      </c>
      <c r="P124" s="187">
        <f>'F07 OPERAC. (MAT,SERV &amp; EQUIPO)'!Y91</f>
        <v>250</v>
      </c>
      <c r="Q124" s="266">
        <f t="shared" si="18"/>
        <v>2.559363479284202E-3</v>
      </c>
    </row>
    <row r="125" spans="1:17" ht="26" hidden="1" customHeight="1" outlineLevel="1" x14ac:dyDescent="0.35">
      <c r="A125" s="181" t="s">
        <v>203</v>
      </c>
      <c r="B125" s="182">
        <f t="shared" si="17"/>
        <v>0</v>
      </c>
      <c r="C125" s="182">
        <f>'F07 OPERAC. (MAT,SERV &amp; EQUIPO)'!L92</f>
        <v>0</v>
      </c>
      <c r="D125" s="182">
        <f>'F07 OPERAC. (MAT,SERV &amp; EQUIPO)'!M92</f>
        <v>0</v>
      </c>
      <c r="E125" s="182">
        <f>'F07 OPERAC. (MAT,SERV &amp; EQUIPO)'!N92</f>
        <v>0</v>
      </c>
      <c r="F125" s="182">
        <f>'F07 OPERAC. (MAT,SERV &amp; EQUIPO)'!O92</f>
        <v>0</v>
      </c>
      <c r="G125" s="182">
        <f>'F07 OPERAC. (MAT,SERV &amp; EQUIPO)'!P92</f>
        <v>0</v>
      </c>
      <c r="H125" s="182">
        <f>'F07 OPERAC. (MAT,SERV &amp; EQUIPO)'!Q92</f>
        <v>0</v>
      </c>
      <c r="I125" s="182">
        <f>'F07 OPERAC. (MAT,SERV &amp; EQUIPO)'!R92</f>
        <v>0</v>
      </c>
      <c r="J125" s="182">
        <f>'F07 OPERAC. (MAT,SERV &amp; EQUIPO)'!S92</f>
        <v>0</v>
      </c>
      <c r="K125" s="182">
        <f>'F07 OPERAC. (MAT,SERV &amp; EQUIPO)'!T92</f>
        <v>0</v>
      </c>
      <c r="L125" s="182">
        <f>'F07 OPERAC. (MAT,SERV &amp; EQUIPO)'!U92</f>
        <v>0</v>
      </c>
      <c r="M125" s="182">
        <f>'F07 OPERAC. (MAT,SERV &amp; EQUIPO)'!V92</f>
        <v>0</v>
      </c>
      <c r="N125" s="182">
        <f>'F07 OPERAC. (MAT,SERV &amp; EQUIPO)'!W92</f>
        <v>0</v>
      </c>
      <c r="O125" s="182">
        <f>'F07 OPERAC. (MAT,SERV &amp; EQUIPO)'!X92</f>
        <v>0</v>
      </c>
      <c r="P125" s="182">
        <f>'F07 OPERAC. (MAT,SERV &amp; EQUIPO)'!Y92</f>
        <v>0</v>
      </c>
      <c r="Q125" s="266">
        <f t="shared" si="18"/>
        <v>0</v>
      </c>
    </row>
    <row r="126" spans="1:17" ht="26" hidden="1" customHeight="1" outlineLevel="1" x14ac:dyDescent="0.35">
      <c r="A126" s="179" t="s">
        <v>204</v>
      </c>
      <c r="B126" s="187">
        <f t="shared" si="17"/>
        <v>162.5</v>
      </c>
      <c r="C126" s="187">
        <f>'F07 OPERAC. (MAT,SERV &amp; EQUIPO)'!L93</f>
        <v>0</v>
      </c>
      <c r="D126" s="187">
        <f>'F07 OPERAC. (MAT,SERV &amp; EQUIPO)'!M93</f>
        <v>12.5</v>
      </c>
      <c r="E126" s="187">
        <f>'F07 OPERAC. (MAT,SERV &amp; EQUIPO)'!N93</f>
        <v>12.5</v>
      </c>
      <c r="F126" s="187">
        <f>'F07 OPERAC. (MAT,SERV &amp; EQUIPO)'!O93</f>
        <v>12.5</v>
      </c>
      <c r="G126" s="187">
        <f>'F07 OPERAC. (MAT,SERV &amp; EQUIPO)'!P93</f>
        <v>12.5</v>
      </c>
      <c r="H126" s="187">
        <f>'F07 OPERAC. (MAT,SERV &amp; EQUIPO)'!Q93</f>
        <v>12.5</v>
      </c>
      <c r="I126" s="187">
        <f>'F07 OPERAC. (MAT,SERV &amp; EQUIPO)'!R93</f>
        <v>12.5</v>
      </c>
      <c r="J126" s="187">
        <f>'F07 OPERAC. (MAT,SERV &amp; EQUIPO)'!S93</f>
        <v>12.5</v>
      </c>
      <c r="K126" s="187">
        <f>'F07 OPERAC. (MAT,SERV &amp; EQUIPO)'!T93</f>
        <v>12.5</v>
      </c>
      <c r="L126" s="187">
        <f>'F07 OPERAC. (MAT,SERV &amp; EQUIPO)'!U93</f>
        <v>12.5</v>
      </c>
      <c r="M126" s="187">
        <f>'F07 OPERAC. (MAT,SERV &amp; EQUIPO)'!V93</f>
        <v>12.5</v>
      </c>
      <c r="N126" s="187">
        <f>'F07 OPERAC. (MAT,SERV &amp; EQUIPO)'!W93</f>
        <v>12.5</v>
      </c>
      <c r="O126" s="187">
        <f>'F07 OPERAC. (MAT,SERV &amp; EQUIPO)'!X93</f>
        <v>12.5</v>
      </c>
      <c r="P126" s="187">
        <f>'F07 OPERAC. (MAT,SERV &amp; EQUIPO)'!Y93</f>
        <v>12.5</v>
      </c>
      <c r="Q126" s="266">
        <f t="shared" si="18"/>
        <v>1.2796817396421012E-4</v>
      </c>
    </row>
    <row r="127" spans="1:17" ht="26" hidden="1" customHeight="1" outlineLevel="1" x14ac:dyDescent="0.35">
      <c r="A127" s="181" t="s">
        <v>205</v>
      </c>
      <c r="B127" s="182">
        <f t="shared" si="17"/>
        <v>0</v>
      </c>
      <c r="C127" s="182">
        <f>'F07 OPERAC. (MAT,SERV &amp; EQUIPO)'!L94</f>
        <v>0</v>
      </c>
      <c r="D127" s="182">
        <f>'F07 OPERAC. (MAT,SERV &amp; EQUIPO)'!M94</f>
        <v>0</v>
      </c>
      <c r="E127" s="182">
        <f>'F07 OPERAC. (MAT,SERV &amp; EQUIPO)'!N94</f>
        <v>0</v>
      </c>
      <c r="F127" s="182">
        <f>'F07 OPERAC. (MAT,SERV &amp; EQUIPO)'!O94</f>
        <v>0</v>
      </c>
      <c r="G127" s="182">
        <f>'F07 OPERAC. (MAT,SERV &amp; EQUIPO)'!P94</f>
        <v>0</v>
      </c>
      <c r="H127" s="182">
        <f>'F07 OPERAC. (MAT,SERV &amp; EQUIPO)'!Q94</f>
        <v>0</v>
      </c>
      <c r="I127" s="182">
        <f>'F07 OPERAC. (MAT,SERV &amp; EQUIPO)'!R94</f>
        <v>0</v>
      </c>
      <c r="J127" s="182">
        <f>'F07 OPERAC. (MAT,SERV &amp; EQUIPO)'!S94</f>
        <v>0</v>
      </c>
      <c r="K127" s="182">
        <f>'F07 OPERAC. (MAT,SERV &amp; EQUIPO)'!T94</f>
        <v>0</v>
      </c>
      <c r="L127" s="182">
        <f>'F07 OPERAC. (MAT,SERV &amp; EQUIPO)'!U94</f>
        <v>0</v>
      </c>
      <c r="M127" s="182">
        <f>'F07 OPERAC. (MAT,SERV &amp; EQUIPO)'!V94</f>
        <v>0</v>
      </c>
      <c r="N127" s="182">
        <f>'F07 OPERAC. (MAT,SERV &amp; EQUIPO)'!W94</f>
        <v>0</v>
      </c>
      <c r="O127" s="182">
        <f>'F07 OPERAC. (MAT,SERV &amp; EQUIPO)'!X94</f>
        <v>0</v>
      </c>
      <c r="P127" s="182">
        <f>'F07 OPERAC. (MAT,SERV &amp; EQUIPO)'!Y94</f>
        <v>0</v>
      </c>
      <c r="Q127" s="266">
        <f t="shared" si="18"/>
        <v>0</v>
      </c>
    </row>
    <row r="128" spans="1:17" ht="26" hidden="1" customHeight="1" outlineLevel="1" x14ac:dyDescent="0.35">
      <c r="A128" s="179" t="s">
        <v>206</v>
      </c>
      <c r="B128" s="187">
        <f t="shared" si="17"/>
        <v>0</v>
      </c>
      <c r="C128" s="187">
        <f>'F07 OPERAC. (MAT,SERV &amp; EQUIPO)'!L95</f>
        <v>0</v>
      </c>
      <c r="D128" s="187">
        <f>'F07 OPERAC. (MAT,SERV &amp; EQUIPO)'!M95</f>
        <v>0</v>
      </c>
      <c r="E128" s="187">
        <f>'F07 OPERAC. (MAT,SERV &amp; EQUIPO)'!N95</f>
        <v>0</v>
      </c>
      <c r="F128" s="187">
        <f>'F07 OPERAC. (MAT,SERV &amp; EQUIPO)'!O95</f>
        <v>0</v>
      </c>
      <c r="G128" s="187">
        <f>'F07 OPERAC. (MAT,SERV &amp; EQUIPO)'!P95</f>
        <v>0</v>
      </c>
      <c r="H128" s="187">
        <f>'F07 OPERAC. (MAT,SERV &amp; EQUIPO)'!Q95</f>
        <v>0</v>
      </c>
      <c r="I128" s="187">
        <f>'F07 OPERAC. (MAT,SERV &amp; EQUIPO)'!R95</f>
        <v>0</v>
      </c>
      <c r="J128" s="187">
        <f>'F07 OPERAC. (MAT,SERV &amp; EQUIPO)'!S95</f>
        <v>0</v>
      </c>
      <c r="K128" s="187">
        <f>'F07 OPERAC. (MAT,SERV &amp; EQUIPO)'!T95</f>
        <v>0</v>
      </c>
      <c r="L128" s="187">
        <f>'F07 OPERAC. (MAT,SERV &amp; EQUIPO)'!U95</f>
        <v>0</v>
      </c>
      <c r="M128" s="187">
        <f>'F07 OPERAC. (MAT,SERV &amp; EQUIPO)'!V95</f>
        <v>0</v>
      </c>
      <c r="N128" s="187">
        <f>'F07 OPERAC. (MAT,SERV &amp; EQUIPO)'!W95</f>
        <v>0</v>
      </c>
      <c r="O128" s="187">
        <f>'F07 OPERAC. (MAT,SERV &amp; EQUIPO)'!X95</f>
        <v>0</v>
      </c>
      <c r="P128" s="187">
        <f>'F07 OPERAC. (MAT,SERV &amp; EQUIPO)'!Y95</f>
        <v>0</v>
      </c>
      <c r="Q128" s="266">
        <f t="shared" si="18"/>
        <v>0</v>
      </c>
    </row>
    <row r="129" spans="1:17" ht="26" hidden="1" customHeight="1" outlineLevel="1" x14ac:dyDescent="0.35">
      <c r="A129" s="181" t="s">
        <v>207</v>
      </c>
      <c r="B129" s="182">
        <f t="shared" si="17"/>
        <v>0</v>
      </c>
      <c r="C129" s="182">
        <f>'F07 OPERAC. (MAT,SERV &amp; EQUIPO)'!L96</f>
        <v>0</v>
      </c>
      <c r="D129" s="182">
        <f>'F07 OPERAC. (MAT,SERV &amp; EQUIPO)'!M96</f>
        <v>0</v>
      </c>
      <c r="E129" s="182">
        <f>'F07 OPERAC. (MAT,SERV &amp; EQUIPO)'!N96</f>
        <v>0</v>
      </c>
      <c r="F129" s="182">
        <f>'F07 OPERAC. (MAT,SERV &amp; EQUIPO)'!O96</f>
        <v>0</v>
      </c>
      <c r="G129" s="182">
        <f>'F07 OPERAC. (MAT,SERV &amp; EQUIPO)'!P96</f>
        <v>0</v>
      </c>
      <c r="H129" s="182">
        <f>'F07 OPERAC. (MAT,SERV &amp; EQUIPO)'!Q96</f>
        <v>0</v>
      </c>
      <c r="I129" s="182">
        <f>'F07 OPERAC. (MAT,SERV &amp; EQUIPO)'!R96</f>
        <v>0</v>
      </c>
      <c r="J129" s="182">
        <f>'F07 OPERAC. (MAT,SERV &amp; EQUIPO)'!S96</f>
        <v>0</v>
      </c>
      <c r="K129" s="182">
        <f>'F07 OPERAC. (MAT,SERV &amp; EQUIPO)'!T96</f>
        <v>0</v>
      </c>
      <c r="L129" s="182">
        <f>'F07 OPERAC. (MAT,SERV &amp; EQUIPO)'!U96</f>
        <v>0</v>
      </c>
      <c r="M129" s="182">
        <f>'F07 OPERAC. (MAT,SERV &amp; EQUIPO)'!V96</f>
        <v>0</v>
      </c>
      <c r="N129" s="182">
        <f>'F07 OPERAC. (MAT,SERV &amp; EQUIPO)'!W96</f>
        <v>0</v>
      </c>
      <c r="O129" s="182">
        <f>'F07 OPERAC. (MAT,SERV &amp; EQUIPO)'!X96</f>
        <v>0</v>
      </c>
      <c r="P129" s="182">
        <f>'F07 OPERAC. (MAT,SERV &amp; EQUIPO)'!Y96</f>
        <v>0</v>
      </c>
      <c r="Q129" s="266">
        <f t="shared" si="18"/>
        <v>0</v>
      </c>
    </row>
    <row r="130" spans="1:17" ht="26" hidden="1" customHeight="1" outlineLevel="1" x14ac:dyDescent="0.35">
      <c r="A130" s="179" t="s">
        <v>208</v>
      </c>
      <c r="B130" s="187">
        <f t="shared" si="17"/>
        <v>260</v>
      </c>
      <c r="C130" s="187">
        <f>'F07 OPERAC. (MAT,SERV &amp; EQUIPO)'!L97</f>
        <v>0</v>
      </c>
      <c r="D130" s="187">
        <f>'F07 OPERAC. (MAT,SERV &amp; EQUIPO)'!M97</f>
        <v>20</v>
      </c>
      <c r="E130" s="187">
        <f>'F07 OPERAC. (MAT,SERV &amp; EQUIPO)'!N97</f>
        <v>20</v>
      </c>
      <c r="F130" s="187">
        <f>'F07 OPERAC. (MAT,SERV &amp; EQUIPO)'!O97</f>
        <v>20</v>
      </c>
      <c r="G130" s="187">
        <f>'F07 OPERAC. (MAT,SERV &amp; EQUIPO)'!P97</f>
        <v>20</v>
      </c>
      <c r="H130" s="187">
        <f>'F07 OPERAC. (MAT,SERV &amp; EQUIPO)'!Q97</f>
        <v>20</v>
      </c>
      <c r="I130" s="187">
        <f>'F07 OPERAC. (MAT,SERV &amp; EQUIPO)'!R97</f>
        <v>20</v>
      </c>
      <c r="J130" s="187">
        <f>'F07 OPERAC. (MAT,SERV &amp; EQUIPO)'!S97</f>
        <v>20</v>
      </c>
      <c r="K130" s="187">
        <f>'F07 OPERAC. (MAT,SERV &amp; EQUIPO)'!T97</f>
        <v>20</v>
      </c>
      <c r="L130" s="187">
        <f>'F07 OPERAC. (MAT,SERV &amp; EQUIPO)'!U97</f>
        <v>20</v>
      </c>
      <c r="M130" s="187">
        <f>'F07 OPERAC. (MAT,SERV &amp; EQUIPO)'!V97</f>
        <v>20</v>
      </c>
      <c r="N130" s="187">
        <f>'F07 OPERAC. (MAT,SERV &amp; EQUIPO)'!W97</f>
        <v>20</v>
      </c>
      <c r="O130" s="187">
        <f>'F07 OPERAC. (MAT,SERV &amp; EQUIPO)'!X97</f>
        <v>20</v>
      </c>
      <c r="P130" s="187">
        <f>'F07 OPERAC. (MAT,SERV &amp; EQUIPO)'!Y97</f>
        <v>20</v>
      </c>
      <c r="Q130" s="266">
        <f t="shared" si="18"/>
        <v>2.0474907834273616E-4</v>
      </c>
    </row>
    <row r="131" spans="1:17" ht="26" hidden="1" customHeight="1" outlineLevel="1" x14ac:dyDescent="0.35">
      <c r="A131" s="181" t="s">
        <v>209</v>
      </c>
      <c r="B131" s="182">
        <f t="shared" si="17"/>
        <v>0</v>
      </c>
      <c r="C131" s="182">
        <f>'F07 OPERAC. (MAT,SERV &amp; EQUIPO)'!L98</f>
        <v>0</v>
      </c>
      <c r="D131" s="182">
        <f>'F07 OPERAC. (MAT,SERV &amp; EQUIPO)'!M98</f>
        <v>0</v>
      </c>
      <c r="E131" s="182">
        <f>'F07 OPERAC. (MAT,SERV &amp; EQUIPO)'!N98</f>
        <v>0</v>
      </c>
      <c r="F131" s="182">
        <f>'F07 OPERAC. (MAT,SERV &amp; EQUIPO)'!O98</f>
        <v>0</v>
      </c>
      <c r="G131" s="182">
        <f>'F07 OPERAC. (MAT,SERV &amp; EQUIPO)'!P98</f>
        <v>0</v>
      </c>
      <c r="H131" s="182">
        <f>'F07 OPERAC. (MAT,SERV &amp; EQUIPO)'!Q98</f>
        <v>0</v>
      </c>
      <c r="I131" s="182">
        <f>'F07 OPERAC. (MAT,SERV &amp; EQUIPO)'!R98</f>
        <v>0</v>
      </c>
      <c r="J131" s="182">
        <f>'F07 OPERAC. (MAT,SERV &amp; EQUIPO)'!S98</f>
        <v>0</v>
      </c>
      <c r="K131" s="182">
        <f>'F07 OPERAC. (MAT,SERV &amp; EQUIPO)'!T98</f>
        <v>0</v>
      </c>
      <c r="L131" s="182">
        <f>'F07 OPERAC. (MAT,SERV &amp; EQUIPO)'!U98</f>
        <v>0</v>
      </c>
      <c r="M131" s="182">
        <f>'F07 OPERAC. (MAT,SERV &amp; EQUIPO)'!V98</f>
        <v>0</v>
      </c>
      <c r="N131" s="182">
        <f>'F07 OPERAC. (MAT,SERV &amp; EQUIPO)'!W98</f>
        <v>0</v>
      </c>
      <c r="O131" s="182">
        <f>'F07 OPERAC. (MAT,SERV &amp; EQUIPO)'!X98</f>
        <v>0</v>
      </c>
      <c r="P131" s="182">
        <f>'F07 OPERAC. (MAT,SERV &amp; EQUIPO)'!Y98</f>
        <v>0</v>
      </c>
      <c r="Q131" s="266">
        <f t="shared" si="18"/>
        <v>0</v>
      </c>
    </row>
    <row r="132" spans="1:17" ht="26" hidden="1" customHeight="1" outlineLevel="1" x14ac:dyDescent="0.35">
      <c r="A132" s="179" t="s">
        <v>210</v>
      </c>
      <c r="B132" s="187">
        <f t="shared" si="17"/>
        <v>0</v>
      </c>
      <c r="C132" s="187">
        <f>'F07 OPERAC. (MAT,SERV &amp; EQUIPO)'!L99</f>
        <v>0</v>
      </c>
      <c r="D132" s="187">
        <f>'F07 OPERAC. (MAT,SERV &amp; EQUIPO)'!M99</f>
        <v>0</v>
      </c>
      <c r="E132" s="187">
        <f>'F07 OPERAC. (MAT,SERV &amp; EQUIPO)'!N99</f>
        <v>0</v>
      </c>
      <c r="F132" s="187">
        <f>'F07 OPERAC. (MAT,SERV &amp; EQUIPO)'!O99</f>
        <v>0</v>
      </c>
      <c r="G132" s="187">
        <f>'F07 OPERAC. (MAT,SERV &amp; EQUIPO)'!P99</f>
        <v>0</v>
      </c>
      <c r="H132" s="187">
        <f>'F07 OPERAC. (MAT,SERV &amp; EQUIPO)'!Q99</f>
        <v>0</v>
      </c>
      <c r="I132" s="187">
        <f>'F07 OPERAC. (MAT,SERV &amp; EQUIPO)'!R99</f>
        <v>0</v>
      </c>
      <c r="J132" s="187">
        <f>'F07 OPERAC. (MAT,SERV &amp; EQUIPO)'!S99</f>
        <v>0</v>
      </c>
      <c r="K132" s="187">
        <f>'F07 OPERAC. (MAT,SERV &amp; EQUIPO)'!T99</f>
        <v>0</v>
      </c>
      <c r="L132" s="187">
        <f>'F07 OPERAC. (MAT,SERV &amp; EQUIPO)'!U99</f>
        <v>0</v>
      </c>
      <c r="M132" s="187">
        <f>'F07 OPERAC. (MAT,SERV &amp; EQUIPO)'!V99</f>
        <v>0</v>
      </c>
      <c r="N132" s="187">
        <f>'F07 OPERAC. (MAT,SERV &amp; EQUIPO)'!W99</f>
        <v>0</v>
      </c>
      <c r="O132" s="187">
        <f>'F07 OPERAC. (MAT,SERV &amp; EQUIPO)'!X99</f>
        <v>0</v>
      </c>
      <c r="P132" s="187">
        <f>'F07 OPERAC. (MAT,SERV &amp; EQUIPO)'!Y99</f>
        <v>0</v>
      </c>
      <c r="Q132" s="266">
        <f t="shared" si="18"/>
        <v>0</v>
      </c>
    </row>
    <row r="133" spans="1:17" ht="26" hidden="1" customHeight="1" outlineLevel="1" x14ac:dyDescent="0.35">
      <c r="A133" s="181" t="s">
        <v>211</v>
      </c>
      <c r="B133" s="182">
        <f t="shared" si="17"/>
        <v>0</v>
      </c>
      <c r="C133" s="182">
        <f>'F07 OPERAC. (MAT,SERV &amp; EQUIPO)'!L100</f>
        <v>0</v>
      </c>
      <c r="D133" s="182">
        <f>'F07 OPERAC. (MAT,SERV &amp; EQUIPO)'!M100</f>
        <v>0</v>
      </c>
      <c r="E133" s="182">
        <f>'F07 OPERAC. (MAT,SERV &amp; EQUIPO)'!N100</f>
        <v>0</v>
      </c>
      <c r="F133" s="182">
        <f>'F07 OPERAC. (MAT,SERV &amp; EQUIPO)'!O100</f>
        <v>0</v>
      </c>
      <c r="G133" s="182">
        <f>'F07 OPERAC. (MAT,SERV &amp; EQUIPO)'!P100</f>
        <v>0</v>
      </c>
      <c r="H133" s="182">
        <f>'F07 OPERAC. (MAT,SERV &amp; EQUIPO)'!Q100</f>
        <v>0</v>
      </c>
      <c r="I133" s="182">
        <f>'F07 OPERAC. (MAT,SERV &amp; EQUIPO)'!R100</f>
        <v>0</v>
      </c>
      <c r="J133" s="182">
        <f>'F07 OPERAC. (MAT,SERV &amp; EQUIPO)'!S100</f>
        <v>0</v>
      </c>
      <c r="K133" s="182">
        <f>'F07 OPERAC. (MAT,SERV &amp; EQUIPO)'!T100</f>
        <v>0</v>
      </c>
      <c r="L133" s="182">
        <f>'F07 OPERAC. (MAT,SERV &amp; EQUIPO)'!U100</f>
        <v>0</v>
      </c>
      <c r="M133" s="182">
        <f>'F07 OPERAC. (MAT,SERV &amp; EQUIPO)'!V100</f>
        <v>0</v>
      </c>
      <c r="N133" s="182">
        <f>'F07 OPERAC. (MAT,SERV &amp; EQUIPO)'!W100</f>
        <v>0</v>
      </c>
      <c r="O133" s="182">
        <f>'F07 OPERAC. (MAT,SERV &amp; EQUIPO)'!X100</f>
        <v>0</v>
      </c>
      <c r="P133" s="182">
        <f>'F07 OPERAC. (MAT,SERV &amp; EQUIPO)'!Y100</f>
        <v>0</v>
      </c>
      <c r="Q133" s="266">
        <f t="shared" si="18"/>
        <v>0</v>
      </c>
    </row>
    <row r="134" spans="1:17" ht="26" hidden="1" customHeight="1" outlineLevel="1" x14ac:dyDescent="0.35">
      <c r="A134" s="179" t="s">
        <v>212</v>
      </c>
      <c r="B134" s="187">
        <f t="shared" si="17"/>
        <v>0</v>
      </c>
      <c r="C134" s="187">
        <f>'F07 OPERAC. (MAT,SERV &amp; EQUIPO)'!L101</f>
        <v>0</v>
      </c>
      <c r="D134" s="187">
        <f>'F07 OPERAC. (MAT,SERV &amp; EQUIPO)'!M101</f>
        <v>0</v>
      </c>
      <c r="E134" s="187">
        <f>'F07 OPERAC. (MAT,SERV &amp; EQUIPO)'!N101</f>
        <v>0</v>
      </c>
      <c r="F134" s="187">
        <f>'F07 OPERAC. (MAT,SERV &amp; EQUIPO)'!O101</f>
        <v>0</v>
      </c>
      <c r="G134" s="187">
        <f>'F07 OPERAC. (MAT,SERV &amp; EQUIPO)'!P101</f>
        <v>0</v>
      </c>
      <c r="H134" s="187">
        <f>'F07 OPERAC. (MAT,SERV &amp; EQUIPO)'!Q101</f>
        <v>0</v>
      </c>
      <c r="I134" s="187">
        <f>'F07 OPERAC. (MAT,SERV &amp; EQUIPO)'!R101</f>
        <v>0</v>
      </c>
      <c r="J134" s="187">
        <f>'F07 OPERAC. (MAT,SERV &amp; EQUIPO)'!S101</f>
        <v>0</v>
      </c>
      <c r="K134" s="187">
        <f>'F07 OPERAC. (MAT,SERV &amp; EQUIPO)'!T101</f>
        <v>0</v>
      </c>
      <c r="L134" s="187">
        <f>'F07 OPERAC. (MAT,SERV &amp; EQUIPO)'!U101</f>
        <v>0</v>
      </c>
      <c r="M134" s="187">
        <f>'F07 OPERAC. (MAT,SERV &amp; EQUIPO)'!V101</f>
        <v>0</v>
      </c>
      <c r="N134" s="187">
        <f>'F07 OPERAC. (MAT,SERV &amp; EQUIPO)'!W101</f>
        <v>0</v>
      </c>
      <c r="O134" s="187">
        <f>'F07 OPERAC. (MAT,SERV &amp; EQUIPO)'!X101</f>
        <v>0</v>
      </c>
      <c r="P134" s="187">
        <f>'F07 OPERAC. (MAT,SERV &amp; EQUIPO)'!Y101</f>
        <v>0</v>
      </c>
      <c r="Q134" s="266">
        <f t="shared" si="18"/>
        <v>0</v>
      </c>
    </row>
    <row r="135" spans="1:17" ht="26" hidden="1" customHeight="1" outlineLevel="1" x14ac:dyDescent="0.35">
      <c r="A135" s="181" t="s">
        <v>213</v>
      </c>
      <c r="B135" s="182">
        <f t="shared" si="17"/>
        <v>0</v>
      </c>
      <c r="C135" s="182">
        <f>'F07 OPERAC. (MAT,SERV &amp; EQUIPO)'!L102</f>
        <v>0</v>
      </c>
      <c r="D135" s="182">
        <f>'F07 OPERAC. (MAT,SERV &amp; EQUIPO)'!M102</f>
        <v>0</v>
      </c>
      <c r="E135" s="182">
        <f>'F07 OPERAC. (MAT,SERV &amp; EQUIPO)'!N102</f>
        <v>0</v>
      </c>
      <c r="F135" s="182">
        <f>'F07 OPERAC. (MAT,SERV &amp; EQUIPO)'!O102</f>
        <v>0</v>
      </c>
      <c r="G135" s="182">
        <f>'F07 OPERAC. (MAT,SERV &amp; EQUIPO)'!P102</f>
        <v>0</v>
      </c>
      <c r="H135" s="182">
        <f>'F07 OPERAC. (MAT,SERV &amp; EQUIPO)'!Q102</f>
        <v>0</v>
      </c>
      <c r="I135" s="182">
        <f>'F07 OPERAC. (MAT,SERV &amp; EQUIPO)'!R102</f>
        <v>0</v>
      </c>
      <c r="J135" s="182">
        <f>'F07 OPERAC. (MAT,SERV &amp; EQUIPO)'!S102</f>
        <v>0</v>
      </c>
      <c r="K135" s="182">
        <f>'F07 OPERAC. (MAT,SERV &amp; EQUIPO)'!T102</f>
        <v>0</v>
      </c>
      <c r="L135" s="182">
        <f>'F07 OPERAC. (MAT,SERV &amp; EQUIPO)'!U102</f>
        <v>0</v>
      </c>
      <c r="M135" s="182">
        <f>'F07 OPERAC. (MAT,SERV &amp; EQUIPO)'!V102</f>
        <v>0</v>
      </c>
      <c r="N135" s="182">
        <f>'F07 OPERAC. (MAT,SERV &amp; EQUIPO)'!W102</f>
        <v>0</v>
      </c>
      <c r="O135" s="182">
        <f>'F07 OPERAC. (MAT,SERV &amp; EQUIPO)'!X102</f>
        <v>0</v>
      </c>
      <c r="P135" s="182">
        <f>'F07 OPERAC. (MAT,SERV &amp; EQUIPO)'!Y102</f>
        <v>0</v>
      </c>
      <c r="Q135" s="266">
        <f t="shared" si="18"/>
        <v>0</v>
      </c>
    </row>
    <row r="136" spans="1:17" ht="26" hidden="1" customHeight="1" outlineLevel="1" x14ac:dyDescent="0.35">
      <c r="A136" s="179" t="s">
        <v>214</v>
      </c>
      <c r="B136" s="187">
        <f t="shared" si="17"/>
        <v>0</v>
      </c>
      <c r="C136" s="187">
        <f>'F07 OPERAC. (MAT,SERV &amp; EQUIPO)'!L103</f>
        <v>0</v>
      </c>
      <c r="D136" s="187">
        <f>'F07 OPERAC. (MAT,SERV &amp; EQUIPO)'!M103</f>
        <v>0</v>
      </c>
      <c r="E136" s="187">
        <f>'F07 OPERAC. (MAT,SERV &amp; EQUIPO)'!N103</f>
        <v>0</v>
      </c>
      <c r="F136" s="187">
        <f>'F07 OPERAC. (MAT,SERV &amp; EQUIPO)'!O103</f>
        <v>0</v>
      </c>
      <c r="G136" s="187">
        <f>'F07 OPERAC. (MAT,SERV &amp; EQUIPO)'!P103</f>
        <v>0</v>
      </c>
      <c r="H136" s="187">
        <f>'F07 OPERAC. (MAT,SERV &amp; EQUIPO)'!Q103</f>
        <v>0</v>
      </c>
      <c r="I136" s="187">
        <f>'F07 OPERAC. (MAT,SERV &amp; EQUIPO)'!R103</f>
        <v>0</v>
      </c>
      <c r="J136" s="187">
        <f>'F07 OPERAC. (MAT,SERV &amp; EQUIPO)'!S103</f>
        <v>0</v>
      </c>
      <c r="K136" s="187">
        <f>'F07 OPERAC. (MAT,SERV &amp; EQUIPO)'!T103</f>
        <v>0</v>
      </c>
      <c r="L136" s="187">
        <f>'F07 OPERAC. (MAT,SERV &amp; EQUIPO)'!U103</f>
        <v>0</v>
      </c>
      <c r="M136" s="187">
        <f>'F07 OPERAC. (MAT,SERV &amp; EQUIPO)'!V103</f>
        <v>0</v>
      </c>
      <c r="N136" s="187">
        <f>'F07 OPERAC. (MAT,SERV &amp; EQUIPO)'!W103</f>
        <v>0</v>
      </c>
      <c r="O136" s="187">
        <f>'F07 OPERAC. (MAT,SERV &amp; EQUIPO)'!X103</f>
        <v>0</v>
      </c>
      <c r="P136" s="187">
        <f>'F07 OPERAC. (MAT,SERV &amp; EQUIPO)'!Y103</f>
        <v>0</v>
      </c>
      <c r="Q136" s="266">
        <f t="shared" si="18"/>
        <v>0</v>
      </c>
    </row>
    <row r="137" spans="1:17" ht="26" hidden="1" customHeight="1" outlineLevel="1" x14ac:dyDescent="0.35">
      <c r="A137" s="181" t="s">
        <v>215</v>
      </c>
      <c r="B137" s="182">
        <f t="shared" si="17"/>
        <v>0</v>
      </c>
      <c r="C137" s="182">
        <f>'F07 OPERAC. (MAT,SERV &amp; EQUIPO)'!L104</f>
        <v>0</v>
      </c>
      <c r="D137" s="182">
        <f>'F07 OPERAC. (MAT,SERV &amp; EQUIPO)'!M104</f>
        <v>0</v>
      </c>
      <c r="E137" s="182">
        <f>'F07 OPERAC. (MAT,SERV &amp; EQUIPO)'!N104</f>
        <v>0</v>
      </c>
      <c r="F137" s="182">
        <f>'F07 OPERAC. (MAT,SERV &amp; EQUIPO)'!O104</f>
        <v>0</v>
      </c>
      <c r="G137" s="182">
        <f>'F07 OPERAC. (MAT,SERV &amp; EQUIPO)'!P104</f>
        <v>0</v>
      </c>
      <c r="H137" s="182">
        <f>'F07 OPERAC. (MAT,SERV &amp; EQUIPO)'!Q104</f>
        <v>0</v>
      </c>
      <c r="I137" s="182">
        <f>'F07 OPERAC. (MAT,SERV &amp; EQUIPO)'!R104</f>
        <v>0</v>
      </c>
      <c r="J137" s="182">
        <f>'F07 OPERAC. (MAT,SERV &amp; EQUIPO)'!S104</f>
        <v>0</v>
      </c>
      <c r="K137" s="182">
        <f>'F07 OPERAC. (MAT,SERV &amp; EQUIPO)'!T104</f>
        <v>0</v>
      </c>
      <c r="L137" s="182">
        <f>'F07 OPERAC. (MAT,SERV &amp; EQUIPO)'!U104</f>
        <v>0</v>
      </c>
      <c r="M137" s="182">
        <f>'F07 OPERAC. (MAT,SERV &amp; EQUIPO)'!V104</f>
        <v>0</v>
      </c>
      <c r="N137" s="182">
        <f>'F07 OPERAC. (MAT,SERV &amp; EQUIPO)'!W104</f>
        <v>0</v>
      </c>
      <c r="O137" s="182">
        <f>'F07 OPERAC. (MAT,SERV &amp; EQUIPO)'!X104</f>
        <v>0</v>
      </c>
      <c r="P137" s="182">
        <f>'F07 OPERAC. (MAT,SERV &amp; EQUIPO)'!Y104</f>
        <v>0</v>
      </c>
      <c r="Q137" s="266">
        <f t="shared" si="18"/>
        <v>0</v>
      </c>
    </row>
    <row r="138" spans="1:17" ht="26" hidden="1" customHeight="1" outlineLevel="1" x14ac:dyDescent="0.35">
      <c r="A138" s="179" t="s">
        <v>93</v>
      </c>
      <c r="B138" s="187">
        <f t="shared" si="17"/>
        <v>0</v>
      </c>
      <c r="C138" s="187">
        <f>'F07 OPERAC. (MAT,SERV &amp; EQUIPO)'!L105</f>
        <v>0</v>
      </c>
      <c r="D138" s="187">
        <f>'F07 OPERAC. (MAT,SERV &amp; EQUIPO)'!M105</f>
        <v>0</v>
      </c>
      <c r="E138" s="187">
        <f>'F07 OPERAC. (MAT,SERV &amp; EQUIPO)'!N105</f>
        <v>0</v>
      </c>
      <c r="F138" s="187">
        <f>'F07 OPERAC. (MAT,SERV &amp; EQUIPO)'!O105</f>
        <v>0</v>
      </c>
      <c r="G138" s="187">
        <f>'F07 OPERAC. (MAT,SERV &amp; EQUIPO)'!P105</f>
        <v>0</v>
      </c>
      <c r="H138" s="187">
        <f>'F07 OPERAC. (MAT,SERV &amp; EQUIPO)'!Q105</f>
        <v>0</v>
      </c>
      <c r="I138" s="187">
        <f>'F07 OPERAC. (MAT,SERV &amp; EQUIPO)'!R105</f>
        <v>0</v>
      </c>
      <c r="J138" s="187">
        <f>'F07 OPERAC. (MAT,SERV &amp; EQUIPO)'!S105</f>
        <v>0</v>
      </c>
      <c r="K138" s="187">
        <f>'F07 OPERAC. (MAT,SERV &amp; EQUIPO)'!T105</f>
        <v>0</v>
      </c>
      <c r="L138" s="187">
        <f>'F07 OPERAC. (MAT,SERV &amp; EQUIPO)'!U105</f>
        <v>0</v>
      </c>
      <c r="M138" s="187">
        <f>'F07 OPERAC. (MAT,SERV &amp; EQUIPO)'!V105</f>
        <v>0</v>
      </c>
      <c r="N138" s="187">
        <f>'F07 OPERAC. (MAT,SERV &amp; EQUIPO)'!W105</f>
        <v>0</v>
      </c>
      <c r="O138" s="187">
        <f>'F07 OPERAC. (MAT,SERV &amp; EQUIPO)'!X105</f>
        <v>0</v>
      </c>
      <c r="P138" s="187">
        <f>'F07 OPERAC. (MAT,SERV &amp; EQUIPO)'!Y105</f>
        <v>0</v>
      </c>
      <c r="Q138" s="266">
        <f t="shared" si="18"/>
        <v>0</v>
      </c>
    </row>
    <row r="139" spans="1:17" ht="26" hidden="1" customHeight="1" outlineLevel="1" x14ac:dyDescent="0.35">
      <c r="A139" s="181" t="s">
        <v>216</v>
      </c>
      <c r="B139" s="182">
        <f t="shared" si="17"/>
        <v>0</v>
      </c>
      <c r="C139" s="182">
        <f>'F07 OPERAC. (MAT,SERV &amp; EQUIPO)'!L106</f>
        <v>0</v>
      </c>
      <c r="D139" s="182">
        <f>'F07 OPERAC. (MAT,SERV &amp; EQUIPO)'!M106</f>
        <v>0</v>
      </c>
      <c r="E139" s="182">
        <f>'F07 OPERAC. (MAT,SERV &amp; EQUIPO)'!N106</f>
        <v>0</v>
      </c>
      <c r="F139" s="182">
        <f>'F07 OPERAC. (MAT,SERV &amp; EQUIPO)'!O106</f>
        <v>0</v>
      </c>
      <c r="G139" s="182">
        <f>'F07 OPERAC. (MAT,SERV &amp; EQUIPO)'!P106</f>
        <v>0</v>
      </c>
      <c r="H139" s="182">
        <f>'F07 OPERAC. (MAT,SERV &amp; EQUIPO)'!Q106</f>
        <v>0</v>
      </c>
      <c r="I139" s="182">
        <f>'F07 OPERAC. (MAT,SERV &amp; EQUIPO)'!R106</f>
        <v>0</v>
      </c>
      <c r="J139" s="182">
        <f>'F07 OPERAC. (MAT,SERV &amp; EQUIPO)'!S106</f>
        <v>0</v>
      </c>
      <c r="K139" s="182">
        <f>'F07 OPERAC. (MAT,SERV &amp; EQUIPO)'!T106</f>
        <v>0</v>
      </c>
      <c r="L139" s="182">
        <f>'F07 OPERAC. (MAT,SERV &amp; EQUIPO)'!U106</f>
        <v>0</v>
      </c>
      <c r="M139" s="182">
        <f>'F07 OPERAC. (MAT,SERV &amp; EQUIPO)'!V106</f>
        <v>0</v>
      </c>
      <c r="N139" s="182">
        <f>'F07 OPERAC. (MAT,SERV &amp; EQUIPO)'!W106</f>
        <v>0</v>
      </c>
      <c r="O139" s="182">
        <f>'F07 OPERAC. (MAT,SERV &amp; EQUIPO)'!X106</f>
        <v>0</v>
      </c>
      <c r="P139" s="182">
        <f>'F07 OPERAC. (MAT,SERV &amp; EQUIPO)'!Y106</f>
        <v>0</v>
      </c>
      <c r="Q139" s="266">
        <f t="shared" si="18"/>
        <v>0</v>
      </c>
    </row>
    <row r="140" spans="1:17" ht="26" hidden="1" customHeight="1" outlineLevel="1" x14ac:dyDescent="0.35">
      <c r="A140" s="179" t="s">
        <v>217</v>
      </c>
      <c r="B140" s="187">
        <f t="shared" si="17"/>
        <v>0</v>
      </c>
      <c r="C140" s="187">
        <f>'F07 OPERAC. (MAT,SERV &amp; EQUIPO)'!L107</f>
        <v>0</v>
      </c>
      <c r="D140" s="187">
        <f>'F07 OPERAC. (MAT,SERV &amp; EQUIPO)'!M107</f>
        <v>0</v>
      </c>
      <c r="E140" s="187">
        <f>'F07 OPERAC. (MAT,SERV &amp; EQUIPO)'!N107</f>
        <v>0</v>
      </c>
      <c r="F140" s="187">
        <f>'F07 OPERAC. (MAT,SERV &amp; EQUIPO)'!O107</f>
        <v>0</v>
      </c>
      <c r="G140" s="187">
        <f>'F07 OPERAC. (MAT,SERV &amp; EQUIPO)'!P107</f>
        <v>0</v>
      </c>
      <c r="H140" s="187">
        <f>'F07 OPERAC. (MAT,SERV &amp; EQUIPO)'!Q107</f>
        <v>0</v>
      </c>
      <c r="I140" s="187">
        <f>'F07 OPERAC. (MAT,SERV &amp; EQUIPO)'!R107</f>
        <v>0</v>
      </c>
      <c r="J140" s="187">
        <f>'F07 OPERAC. (MAT,SERV &amp; EQUIPO)'!S107</f>
        <v>0</v>
      </c>
      <c r="K140" s="187">
        <f>'F07 OPERAC. (MAT,SERV &amp; EQUIPO)'!T107</f>
        <v>0</v>
      </c>
      <c r="L140" s="187">
        <f>'F07 OPERAC. (MAT,SERV &amp; EQUIPO)'!U107</f>
        <v>0</v>
      </c>
      <c r="M140" s="187">
        <f>'F07 OPERAC. (MAT,SERV &amp; EQUIPO)'!V107</f>
        <v>0</v>
      </c>
      <c r="N140" s="187">
        <f>'F07 OPERAC. (MAT,SERV &amp; EQUIPO)'!W107</f>
        <v>0</v>
      </c>
      <c r="O140" s="187">
        <f>'F07 OPERAC. (MAT,SERV &amp; EQUIPO)'!X107</f>
        <v>0</v>
      </c>
      <c r="P140" s="187">
        <f>'F07 OPERAC. (MAT,SERV &amp; EQUIPO)'!Y107</f>
        <v>0</v>
      </c>
      <c r="Q140" s="266">
        <f t="shared" si="18"/>
        <v>0</v>
      </c>
    </row>
    <row r="141" spans="1:17" ht="26" hidden="1" customHeight="1" outlineLevel="1" x14ac:dyDescent="0.35">
      <c r="A141" s="181" t="s">
        <v>218</v>
      </c>
      <c r="B141" s="182">
        <f t="shared" si="17"/>
        <v>65000</v>
      </c>
      <c r="C141" s="182">
        <f>'F07 OPERAC. (MAT,SERV &amp; EQUIPO)'!L108</f>
        <v>0</v>
      </c>
      <c r="D141" s="182">
        <f>'F07 OPERAC. (MAT,SERV &amp; EQUIPO)'!M108</f>
        <v>5000</v>
      </c>
      <c r="E141" s="182">
        <f>'F07 OPERAC. (MAT,SERV &amp; EQUIPO)'!N108</f>
        <v>5000</v>
      </c>
      <c r="F141" s="182">
        <f>'F07 OPERAC. (MAT,SERV &amp; EQUIPO)'!O108</f>
        <v>5000</v>
      </c>
      <c r="G141" s="182">
        <f>'F07 OPERAC. (MAT,SERV &amp; EQUIPO)'!P108</f>
        <v>5000</v>
      </c>
      <c r="H141" s="182">
        <f>'F07 OPERAC. (MAT,SERV &amp; EQUIPO)'!Q108</f>
        <v>5000</v>
      </c>
      <c r="I141" s="182">
        <f>'F07 OPERAC. (MAT,SERV &amp; EQUIPO)'!R108</f>
        <v>5000</v>
      </c>
      <c r="J141" s="182">
        <f>'F07 OPERAC. (MAT,SERV &amp; EQUIPO)'!S108</f>
        <v>5000</v>
      </c>
      <c r="K141" s="182">
        <f>'F07 OPERAC. (MAT,SERV &amp; EQUIPO)'!T108</f>
        <v>5000</v>
      </c>
      <c r="L141" s="182">
        <f>'F07 OPERAC. (MAT,SERV &amp; EQUIPO)'!U108</f>
        <v>5000</v>
      </c>
      <c r="M141" s="182">
        <f>'F07 OPERAC. (MAT,SERV &amp; EQUIPO)'!V108</f>
        <v>5000</v>
      </c>
      <c r="N141" s="182">
        <f>'F07 OPERAC. (MAT,SERV &amp; EQUIPO)'!W108</f>
        <v>5000</v>
      </c>
      <c r="O141" s="182">
        <f>'F07 OPERAC. (MAT,SERV &amp; EQUIPO)'!X108</f>
        <v>5000</v>
      </c>
      <c r="P141" s="182">
        <f>'F07 OPERAC. (MAT,SERV &amp; EQUIPO)'!Y108</f>
        <v>5000</v>
      </c>
      <c r="Q141" s="266">
        <f t="shared" ref="Q141:Q165" si="19">B141/$B$166</f>
        <v>5.1187269585684043E-2</v>
      </c>
    </row>
    <row r="142" spans="1:17" ht="26" hidden="1" customHeight="1" outlineLevel="1" x14ac:dyDescent="0.35">
      <c r="A142" s="179" t="s">
        <v>219</v>
      </c>
      <c r="B142" s="187">
        <f t="shared" si="17"/>
        <v>11700</v>
      </c>
      <c r="C142" s="187">
        <f>'F07 OPERAC. (MAT,SERV &amp; EQUIPO)'!L109</f>
        <v>0</v>
      </c>
      <c r="D142" s="187">
        <f>'F07 OPERAC. (MAT,SERV &amp; EQUIPO)'!M109</f>
        <v>900</v>
      </c>
      <c r="E142" s="187">
        <f>'F07 OPERAC. (MAT,SERV &amp; EQUIPO)'!N109</f>
        <v>900</v>
      </c>
      <c r="F142" s="187">
        <f>'F07 OPERAC. (MAT,SERV &amp; EQUIPO)'!O109</f>
        <v>900</v>
      </c>
      <c r="G142" s="187">
        <f>'F07 OPERAC. (MAT,SERV &amp; EQUIPO)'!P109</f>
        <v>900</v>
      </c>
      <c r="H142" s="187">
        <f>'F07 OPERAC. (MAT,SERV &amp; EQUIPO)'!Q109</f>
        <v>900</v>
      </c>
      <c r="I142" s="187">
        <f>'F07 OPERAC. (MAT,SERV &amp; EQUIPO)'!R109</f>
        <v>900</v>
      </c>
      <c r="J142" s="187">
        <f>'F07 OPERAC. (MAT,SERV &amp; EQUIPO)'!S109</f>
        <v>900</v>
      </c>
      <c r="K142" s="187">
        <f>'F07 OPERAC. (MAT,SERV &amp; EQUIPO)'!T109</f>
        <v>900</v>
      </c>
      <c r="L142" s="187">
        <f>'F07 OPERAC. (MAT,SERV &amp; EQUIPO)'!U109</f>
        <v>900</v>
      </c>
      <c r="M142" s="187">
        <f>'F07 OPERAC. (MAT,SERV &amp; EQUIPO)'!V109</f>
        <v>900</v>
      </c>
      <c r="N142" s="187">
        <f>'F07 OPERAC. (MAT,SERV &amp; EQUIPO)'!W109</f>
        <v>900</v>
      </c>
      <c r="O142" s="187">
        <f>'F07 OPERAC. (MAT,SERV &amp; EQUIPO)'!X109</f>
        <v>900</v>
      </c>
      <c r="P142" s="187">
        <f>'F07 OPERAC. (MAT,SERV &amp; EQUIPO)'!Y109</f>
        <v>900</v>
      </c>
      <c r="Q142" s="266">
        <f t="shared" si="19"/>
        <v>9.2137085254231279E-3</v>
      </c>
    </row>
    <row r="143" spans="1:17" ht="26" hidden="1" customHeight="1" outlineLevel="1" x14ac:dyDescent="0.35">
      <c r="A143" s="181" t="s">
        <v>220</v>
      </c>
      <c r="B143" s="182">
        <f t="shared" si="17"/>
        <v>0</v>
      </c>
      <c r="C143" s="182">
        <f>'F07 OPERAC. (MAT,SERV &amp; EQUIPO)'!L110</f>
        <v>0</v>
      </c>
      <c r="D143" s="182">
        <f>'F07 OPERAC. (MAT,SERV &amp; EQUIPO)'!M110</f>
        <v>0</v>
      </c>
      <c r="E143" s="182">
        <f>'F07 OPERAC. (MAT,SERV &amp; EQUIPO)'!N110</f>
        <v>0</v>
      </c>
      <c r="F143" s="182">
        <f>'F07 OPERAC. (MAT,SERV &amp; EQUIPO)'!O110</f>
        <v>0</v>
      </c>
      <c r="G143" s="182">
        <f>'F07 OPERAC. (MAT,SERV &amp; EQUIPO)'!P110</f>
        <v>0</v>
      </c>
      <c r="H143" s="182">
        <f>'F07 OPERAC. (MAT,SERV &amp; EQUIPO)'!Q110</f>
        <v>0</v>
      </c>
      <c r="I143" s="182">
        <f>'F07 OPERAC. (MAT,SERV &amp; EQUIPO)'!R110</f>
        <v>0</v>
      </c>
      <c r="J143" s="182">
        <f>'F07 OPERAC. (MAT,SERV &amp; EQUIPO)'!S110</f>
        <v>0</v>
      </c>
      <c r="K143" s="182">
        <f>'F07 OPERAC. (MAT,SERV &amp; EQUIPO)'!T110</f>
        <v>0</v>
      </c>
      <c r="L143" s="182">
        <f>'F07 OPERAC. (MAT,SERV &amp; EQUIPO)'!U110</f>
        <v>0</v>
      </c>
      <c r="M143" s="182">
        <f>'F07 OPERAC. (MAT,SERV &amp; EQUIPO)'!V110</f>
        <v>0</v>
      </c>
      <c r="N143" s="182">
        <f>'F07 OPERAC. (MAT,SERV &amp; EQUIPO)'!W110</f>
        <v>0</v>
      </c>
      <c r="O143" s="182">
        <f>'F07 OPERAC. (MAT,SERV &amp; EQUIPO)'!X110</f>
        <v>0</v>
      </c>
      <c r="P143" s="182">
        <f>'F07 OPERAC. (MAT,SERV &amp; EQUIPO)'!Y110</f>
        <v>0</v>
      </c>
      <c r="Q143" s="266">
        <f t="shared" si="19"/>
        <v>0</v>
      </c>
    </row>
    <row r="144" spans="1:17" ht="26" hidden="1" customHeight="1" outlineLevel="1" x14ac:dyDescent="0.35">
      <c r="A144" s="179" t="s">
        <v>221</v>
      </c>
      <c r="B144" s="187">
        <f t="shared" si="17"/>
        <v>5000</v>
      </c>
      <c r="C144" s="187">
        <f>'F07 OPERAC. (MAT,SERV &amp; EQUIPO)'!L111</f>
        <v>0</v>
      </c>
      <c r="D144" s="187">
        <f>'F07 OPERAC. (MAT,SERV &amp; EQUIPO)'!M111</f>
        <v>0</v>
      </c>
      <c r="E144" s="187">
        <f>'F07 OPERAC. (MAT,SERV &amp; EQUIPO)'!N111</f>
        <v>0</v>
      </c>
      <c r="F144" s="187">
        <f>'F07 OPERAC. (MAT,SERV &amp; EQUIPO)'!O111</f>
        <v>0</v>
      </c>
      <c r="G144" s="187">
        <f>'F07 OPERAC. (MAT,SERV &amp; EQUIPO)'!P111</f>
        <v>0</v>
      </c>
      <c r="H144" s="187">
        <f>'F07 OPERAC. (MAT,SERV &amp; EQUIPO)'!Q111</f>
        <v>0</v>
      </c>
      <c r="I144" s="187">
        <f>'F07 OPERAC. (MAT,SERV &amp; EQUIPO)'!R111</f>
        <v>0</v>
      </c>
      <c r="J144" s="187">
        <f>'F07 OPERAC. (MAT,SERV &amp; EQUIPO)'!S111</f>
        <v>0</v>
      </c>
      <c r="K144" s="187">
        <f>'F07 OPERAC. (MAT,SERV &amp; EQUIPO)'!T111</f>
        <v>0</v>
      </c>
      <c r="L144" s="187">
        <f>'F07 OPERAC. (MAT,SERV &amp; EQUIPO)'!U111</f>
        <v>0</v>
      </c>
      <c r="M144" s="187">
        <f>'F07 OPERAC. (MAT,SERV &amp; EQUIPO)'!V111</f>
        <v>0</v>
      </c>
      <c r="N144" s="187">
        <f>'F07 OPERAC. (MAT,SERV &amp; EQUIPO)'!W111</f>
        <v>0</v>
      </c>
      <c r="O144" s="187">
        <f>'F07 OPERAC. (MAT,SERV &amp; EQUIPO)'!X111</f>
        <v>0</v>
      </c>
      <c r="P144" s="187">
        <f>'F07 OPERAC. (MAT,SERV &amp; EQUIPO)'!Y111</f>
        <v>5000</v>
      </c>
      <c r="Q144" s="266">
        <f t="shared" si="19"/>
        <v>3.9374822758218497E-3</v>
      </c>
    </row>
    <row r="145" spans="1:20" ht="26" hidden="1" customHeight="1" outlineLevel="1" x14ac:dyDescent="0.35">
      <c r="A145" s="181" t="s">
        <v>177</v>
      </c>
      <c r="B145" s="182">
        <f t="shared" si="17"/>
        <v>0</v>
      </c>
      <c r="C145" s="182">
        <f>'F07 OPERAC. (MAT,SERV &amp; EQUIPO)'!L112</f>
        <v>0</v>
      </c>
      <c r="D145" s="182">
        <f>'F07 OPERAC. (MAT,SERV &amp; EQUIPO)'!M112</f>
        <v>0</v>
      </c>
      <c r="E145" s="182">
        <f>'F07 OPERAC. (MAT,SERV &amp; EQUIPO)'!N112</f>
        <v>0</v>
      </c>
      <c r="F145" s="182">
        <f>'F07 OPERAC. (MAT,SERV &amp; EQUIPO)'!O112</f>
        <v>0</v>
      </c>
      <c r="G145" s="182">
        <f>'F07 OPERAC. (MAT,SERV &amp; EQUIPO)'!P112</f>
        <v>0</v>
      </c>
      <c r="H145" s="182">
        <f>'F07 OPERAC. (MAT,SERV &amp; EQUIPO)'!Q112</f>
        <v>0</v>
      </c>
      <c r="I145" s="182">
        <f>'F07 OPERAC. (MAT,SERV &amp; EQUIPO)'!R112</f>
        <v>0</v>
      </c>
      <c r="J145" s="182">
        <f>'F07 OPERAC. (MAT,SERV &amp; EQUIPO)'!S112</f>
        <v>0</v>
      </c>
      <c r="K145" s="182">
        <f>'F07 OPERAC. (MAT,SERV &amp; EQUIPO)'!T112</f>
        <v>0</v>
      </c>
      <c r="L145" s="182">
        <f>'F07 OPERAC. (MAT,SERV &amp; EQUIPO)'!U112</f>
        <v>0</v>
      </c>
      <c r="M145" s="182">
        <f>'F07 OPERAC. (MAT,SERV &amp; EQUIPO)'!V112</f>
        <v>0</v>
      </c>
      <c r="N145" s="182">
        <f>'F07 OPERAC. (MAT,SERV &amp; EQUIPO)'!W112</f>
        <v>0</v>
      </c>
      <c r="O145" s="182">
        <f>'F07 OPERAC. (MAT,SERV &amp; EQUIPO)'!X112</f>
        <v>0</v>
      </c>
      <c r="P145" s="182">
        <f>'F07 OPERAC. (MAT,SERV &amp; EQUIPO)'!Y112</f>
        <v>0</v>
      </c>
      <c r="Q145" s="266">
        <f t="shared" si="19"/>
        <v>0</v>
      </c>
    </row>
    <row r="146" spans="1:20" ht="26" hidden="1" customHeight="1" outlineLevel="1" x14ac:dyDescent="0.35">
      <c r="A146" s="179" t="s">
        <v>222</v>
      </c>
      <c r="B146" s="187">
        <f t="shared" si="17"/>
        <v>0</v>
      </c>
      <c r="C146" s="187">
        <f>'F07 OPERAC. (MAT,SERV &amp; EQUIPO)'!L113</f>
        <v>0</v>
      </c>
      <c r="D146" s="187">
        <f>'F07 OPERAC. (MAT,SERV &amp; EQUIPO)'!M113</f>
        <v>0</v>
      </c>
      <c r="E146" s="187">
        <f>'F07 OPERAC. (MAT,SERV &amp; EQUIPO)'!N113</f>
        <v>0</v>
      </c>
      <c r="F146" s="187">
        <f>'F07 OPERAC. (MAT,SERV &amp; EQUIPO)'!O113</f>
        <v>0</v>
      </c>
      <c r="G146" s="187">
        <f>'F07 OPERAC. (MAT,SERV &amp; EQUIPO)'!P113</f>
        <v>0</v>
      </c>
      <c r="H146" s="187">
        <f>'F07 OPERAC. (MAT,SERV &amp; EQUIPO)'!Q113</f>
        <v>0</v>
      </c>
      <c r="I146" s="187">
        <f>'F07 OPERAC. (MAT,SERV &amp; EQUIPO)'!R113</f>
        <v>0</v>
      </c>
      <c r="J146" s="187">
        <f>'F07 OPERAC. (MAT,SERV &amp; EQUIPO)'!S113</f>
        <v>0</v>
      </c>
      <c r="K146" s="187">
        <f>'F07 OPERAC. (MAT,SERV &amp; EQUIPO)'!T113</f>
        <v>0</v>
      </c>
      <c r="L146" s="187">
        <f>'F07 OPERAC. (MAT,SERV &amp; EQUIPO)'!U113</f>
        <v>0</v>
      </c>
      <c r="M146" s="187">
        <f>'F07 OPERAC. (MAT,SERV &amp; EQUIPO)'!V113</f>
        <v>0</v>
      </c>
      <c r="N146" s="187">
        <f>'F07 OPERAC. (MAT,SERV &amp; EQUIPO)'!W113</f>
        <v>0</v>
      </c>
      <c r="O146" s="187">
        <f>'F07 OPERAC. (MAT,SERV &amp; EQUIPO)'!X113</f>
        <v>0</v>
      </c>
      <c r="P146" s="187">
        <f>'F07 OPERAC. (MAT,SERV &amp; EQUIPO)'!Y113</f>
        <v>0</v>
      </c>
      <c r="Q146" s="266">
        <f t="shared" si="19"/>
        <v>0</v>
      </c>
    </row>
    <row r="147" spans="1:20" ht="26" hidden="1" customHeight="1" outlineLevel="1" x14ac:dyDescent="0.35">
      <c r="A147" s="181" t="s">
        <v>223</v>
      </c>
      <c r="B147" s="182">
        <f t="shared" si="17"/>
        <v>195</v>
      </c>
      <c r="C147" s="182">
        <f>'F07 OPERAC. (MAT,SERV &amp; EQUIPO)'!L114</f>
        <v>0</v>
      </c>
      <c r="D147" s="182">
        <f>'F07 OPERAC. (MAT,SERV &amp; EQUIPO)'!M114</f>
        <v>15</v>
      </c>
      <c r="E147" s="182">
        <f>'F07 OPERAC. (MAT,SERV &amp; EQUIPO)'!N114</f>
        <v>15</v>
      </c>
      <c r="F147" s="182">
        <f>'F07 OPERAC. (MAT,SERV &amp; EQUIPO)'!O114</f>
        <v>15</v>
      </c>
      <c r="G147" s="182">
        <f>'F07 OPERAC. (MAT,SERV &amp; EQUIPO)'!P114</f>
        <v>15</v>
      </c>
      <c r="H147" s="182">
        <f>'F07 OPERAC. (MAT,SERV &amp; EQUIPO)'!Q114</f>
        <v>15</v>
      </c>
      <c r="I147" s="182">
        <f>'F07 OPERAC. (MAT,SERV &amp; EQUIPO)'!R114</f>
        <v>15</v>
      </c>
      <c r="J147" s="182">
        <f>'F07 OPERAC. (MAT,SERV &amp; EQUIPO)'!S114</f>
        <v>15</v>
      </c>
      <c r="K147" s="182">
        <f>'F07 OPERAC. (MAT,SERV &amp; EQUIPO)'!T114</f>
        <v>15</v>
      </c>
      <c r="L147" s="182">
        <f>'F07 OPERAC. (MAT,SERV &amp; EQUIPO)'!U114</f>
        <v>15</v>
      </c>
      <c r="M147" s="182">
        <f>'F07 OPERAC. (MAT,SERV &amp; EQUIPO)'!V114</f>
        <v>15</v>
      </c>
      <c r="N147" s="182">
        <f>'F07 OPERAC. (MAT,SERV &amp; EQUIPO)'!W114</f>
        <v>15</v>
      </c>
      <c r="O147" s="182">
        <f>'F07 OPERAC. (MAT,SERV &amp; EQUIPO)'!X114</f>
        <v>15</v>
      </c>
      <c r="P147" s="182">
        <f>'F07 OPERAC. (MAT,SERV &amp; EQUIPO)'!Y114</f>
        <v>15</v>
      </c>
      <c r="Q147" s="266">
        <f t="shared" si="19"/>
        <v>1.5356180875705214E-4</v>
      </c>
    </row>
    <row r="148" spans="1:20" s="186" customFormat="1" ht="26" customHeight="1" collapsed="1" x14ac:dyDescent="0.35">
      <c r="A148" s="188" t="s">
        <v>4</v>
      </c>
      <c r="B148" s="189">
        <f>SUM(B85:B147)</f>
        <v>920937.5</v>
      </c>
      <c r="C148" s="190">
        <f t="shared" ref="C148:P148" si="20">SUM(C85:C147)</f>
        <v>0</v>
      </c>
      <c r="D148" s="190">
        <f t="shared" si="20"/>
        <v>70537.5</v>
      </c>
      <c r="E148" s="190">
        <f t="shared" si="20"/>
        <v>70837.5</v>
      </c>
      <c r="F148" s="190">
        <f t="shared" si="20"/>
        <v>70387.5</v>
      </c>
      <c r="G148" s="190">
        <f t="shared" si="20"/>
        <v>70387.5</v>
      </c>
      <c r="H148" s="190">
        <f t="shared" si="20"/>
        <v>70387.5</v>
      </c>
      <c r="I148" s="190">
        <f t="shared" si="20"/>
        <v>70537.5</v>
      </c>
      <c r="J148" s="190">
        <f t="shared" si="20"/>
        <v>70387.5</v>
      </c>
      <c r="K148" s="190">
        <f t="shared" si="20"/>
        <v>70387.5</v>
      </c>
      <c r="L148" s="190">
        <f t="shared" si="20"/>
        <v>70387.5</v>
      </c>
      <c r="M148" s="190">
        <f t="shared" si="20"/>
        <v>70387.5</v>
      </c>
      <c r="N148" s="190">
        <f t="shared" si="20"/>
        <v>70387.5</v>
      </c>
      <c r="O148" s="190">
        <f t="shared" si="20"/>
        <v>70537.5</v>
      </c>
      <c r="P148" s="190">
        <f t="shared" si="20"/>
        <v>75387.5</v>
      </c>
      <c r="Q148" s="266">
        <f t="shared" si="19"/>
        <v>0.72523501667793688</v>
      </c>
      <c r="R148" s="173"/>
      <c r="S148" s="263">
        <f>'F07 OPERAC. (MAT,SERV &amp; EQUIPO)'!L118</f>
        <v>920937.5</v>
      </c>
      <c r="T148" s="263">
        <f>+B148-S148</f>
        <v>0</v>
      </c>
    </row>
    <row r="149" spans="1:20" s="186" customFormat="1" ht="26" hidden="1" customHeight="1" outlineLevel="1" x14ac:dyDescent="0.35">
      <c r="A149" s="179" t="s">
        <v>90</v>
      </c>
      <c r="B149" s="187">
        <f>SUM(C149:P149)</f>
        <v>3250</v>
      </c>
      <c r="C149" s="187">
        <f>'F07 OPERAC. (MAT,SERV &amp; EQUIPO)'!L174</f>
        <v>0</v>
      </c>
      <c r="D149" s="187">
        <f>'F07 OPERAC. (MAT,SERV &amp; EQUIPO)'!M174</f>
        <v>250</v>
      </c>
      <c r="E149" s="187">
        <f>'F07 OPERAC. (MAT,SERV &amp; EQUIPO)'!N174</f>
        <v>250</v>
      </c>
      <c r="F149" s="187">
        <f>'F07 OPERAC. (MAT,SERV &amp; EQUIPO)'!O174</f>
        <v>250</v>
      </c>
      <c r="G149" s="187">
        <f>'F07 OPERAC. (MAT,SERV &amp; EQUIPO)'!P174</f>
        <v>250</v>
      </c>
      <c r="H149" s="187">
        <f>'F07 OPERAC. (MAT,SERV &amp; EQUIPO)'!Q174</f>
        <v>250</v>
      </c>
      <c r="I149" s="187">
        <f>'F07 OPERAC. (MAT,SERV &amp; EQUIPO)'!R174</f>
        <v>250</v>
      </c>
      <c r="J149" s="187">
        <f>'F07 OPERAC. (MAT,SERV &amp; EQUIPO)'!S174</f>
        <v>250</v>
      </c>
      <c r="K149" s="187">
        <f>'F07 OPERAC. (MAT,SERV &amp; EQUIPO)'!T174</f>
        <v>250</v>
      </c>
      <c r="L149" s="187">
        <f>'F07 OPERAC. (MAT,SERV &amp; EQUIPO)'!U174</f>
        <v>250</v>
      </c>
      <c r="M149" s="187">
        <f>'F07 OPERAC. (MAT,SERV &amp; EQUIPO)'!V174</f>
        <v>250</v>
      </c>
      <c r="N149" s="187">
        <f>'F07 OPERAC. (MAT,SERV &amp; EQUIPO)'!W174</f>
        <v>250</v>
      </c>
      <c r="O149" s="187">
        <f>'F07 OPERAC. (MAT,SERV &amp; EQUIPO)'!X174</f>
        <v>250</v>
      </c>
      <c r="P149" s="187">
        <f>'F07 OPERAC. (MAT,SERV &amp; EQUIPO)'!Y174</f>
        <v>250</v>
      </c>
      <c r="Q149" s="266">
        <f t="shared" si="19"/>
        <v>2.559363479284202E-3</v>
      </c>
      <c r="R149" s="173"/>
      <c r="S149" s="173"/>
      <c r="T149" s="173"/>
    </row>
    <row r="150" spans="1:20" s="186" customFormat="1" ht="26" customHeight="1" collapsed="1" x14ac:dyDescent="0.35">
      <c r="A150" s="188" t="s">
        <v>90</v>
      </c>
      <c r="B150" s="189">
        <f>SUM(B149)</f>
        <v>3250</v>
      </c>
      <c r="C150" s="190">
        <f t="shared" ref="C150:P154" si="21">SUM(C149)</f>
        <v>0</v>
      </c>
      <c r="D150" s="190">
        <f t="shared" si="21"/>
        <v>250</v>
      </c>
      <c r="E150" s="190">
        <f t="shared" si="21"/>
        <v>250</v>
      </c>
      <c r="F150" s="190">
        <f t="shared" si="21"/>
        <v>250</v>
      </c>
      <c r="G150" s="190">
        <f t="shared" si="21"/>
        <v>250</v>
      </c>
      <c r="H150" s="190">
        <f t="shared" si="21"/>
        <v>250</v>
      </c>
      <c r="I150" s="190">
        <f t="shared" si="21"/>
        <v>250</v>
      </c>
      <c r="J150" s="190">
        <f t="shared" si="21"/>
        <v>250</v>
      </c>
      <c r="K150" s="190">
        <f t="shared" si="21"/>
        <v>250</v>
      </c>
      <c r="L150" s="190">
        <f t="shared" si="21"/>
        <v>250</v>
      </c>
      <c r="M150" s="190">
        <f t="shared" si="21"/>
        <v>250</v>
      </c>
      <c r="N150" s="190">
        <f t="shared" si="21"/>
        <v>250</v>
      </c>
      <c r="O150" s="190">
        <f t="shared" si="21"/>
        <v>250</v>
      </c>
      <c r="P150" s="190">
        <f t="shared" si="21"/>
        <v>250</v>
      </c>
      <c r="Q150" s="266">
        <f t="shared" si="19"/>
        <v>2.559363479284202E-3</v>
      </c>
      <c r="R150" s="173"/>
      <c r="S150" s="263">
        <f>'F07 OPERAC. (MAT,SERV &amp; EQUIPO)'!L176</f>
        <v>3250</v>
      </c>
      <c r="T150" s="263">
        <f>+B150-S150</f>
        <v>0</v>
      </c>
    </row>
    <row r="151" spans="1:20" ht="26" hidden="1" customHeight="1" outlineLevel="1" x14ac:dyDescent="0.35">
      <c r="A151" s="179" t="s">
        <v>224</v>
      </c>
      <c r="B151" s="187">
        <f>SUM(C151:P151)</f>
        <v>1469.442</v>
      </c>
      <c r="C151" s="187">
        <f>'F07 OPERAC. (MAT,SERV &amp; EQUIPO)'!L187</f>
        <v>0</v>
      </c>
      <c r="D151" s="187">
        <f>'F07 OPERAC. (MAT,SERV &amp; EQUIPO)'!M187</f>
        <v>113.03399999999999</v>
      </c>
      <c r="E151" s="187">
        <f>'F07 OPERAC. (MAT,SERV &amp; EQUIPO)'!N187</f>
        <v>113.03399999999999</v>
      </c>
      <c r="F151" s="187">
        <f>'F07 OPERAC. (MAT,SERV &amp; EQUIPO)'!O187</f>
        <v>113.03399999999999</v>
      </c>
      <c r="G151" s="187">
        <f>'F07 OPERAC. (MAT,SERV &amp; EQUIPO)'!P187</f>
        <v>113.03399999999999</v>
      </c>
      <c r="H151" s="187">
        <f>'F07 OPERAC. (MAT,SERV &amp; EQUIPO)'!Q187</f>
        <v>113.03399999999999</v>
      </c>
      <c r="I151" s="187">
        <f>'F07 OPERAC. (MAT,SERV &amp; EQUIPO)'!R187</f>
        <v>113.03399999999999</v>
      </c>
      <c r="J151" s="187">
        <f>'F07 OPERAC. (MAT,SERV &amp; EQUIPO)'!S187</f>
        <v>113.03399999999999</v>
      </c>
      <c r="K151" s="187">
        <f>'F07 OPERAC. (MAT,SERV &amp; EQUIPO)'!T187</f>
        <v>113.03399999999999</v>
      </c>
      <c r="L151" s="187">
        <f>'F07 OPERAC. (MAT,SERV &amp; EQUIPO)'!U187</f>
        <v>113.03399999999999</v>
      </c>
      <c r="M151" s="187">
        <f>'F07 OPERAC. (MAT,SERV &amp; EQUIPO)'!V187</f>
        <v>113.03399999999999</v>
      </c>
      <c r="N151" s="187">
        <f>'F07 OPERAC. (MAT,SERV &amp; EQUIPO)'!W187</f>
        <v>113.03399999999999</v>
      </c>
      <c r="O151" s="187">
        <f>'F07 OPERAC. (MAT,SERV &amp; EQUIPO)'!X187</f>
        <v>113.03399999999999</v>
      </c>
      <c r="P151" s="187">
        <f>'F07 OPERAC. (MAT,SERV &amp; EQUIPO)'!Y187</f>
        <v>113.03399999999999</v>
      </c>
      <c r="Q151" s="266">
        <f t="shared" si="19"/>
        <v>1.1571803660696421E-3</v>
      </c>
    </row>
    <row r="152" spans="1:20" s="186" customFormat="1" ht="26" customHeight="1" collapsed="1" x14ac:dyDescent="0.35">
      <c r="A152" s="188" t="s">
        <v>91</v>
      </c>
      <c r="B152" s="189">
        <f>SUM(B151)</f>
        <v>1469.442</v>
      </c>
      <c r="C152" s="190">
        <f t="shared" si="21"/>
        <v>0</v>
      </c>
      <c r="D152" s="190">
        <f t="shared" si="21"/>
        <v>113.03399999999999</v>
      </c>
      <c r="E152" s="190">
        <f t="shared" si="21"/>
        <v>113.03399999999999</v>
      </c>
      <c r="F152" s="190">
        <f t="shared" si="21"/>
        <v>113.03399999999999</v>
      </c>
      <c r="G152" s="190">
        <f t="shared" si="21"/>
        <v>113.03399999999999</v>
      </c>
      <c r="H152" s="190">
        <f t="shared" si="21"/>
        <v>113.03399999999999</v>
      </c>
      <c r="I152" s="190">
        <f t="shared" si="21"/>
        <v>113.03399999999999</v>
      </c>
      <c r="J152" s="190">
        <f t="shared" si="21"/>
        <v>113.03399999999999</v>
      </c>
      <c r="K152" s="190">
        <f t="shared" si="21"/>
        <v>113.03399999999999</v>
      </c>
      <c r="L152" s="190">
        <f t="shared" si="21"/>
        <v>113.03399999999999</v>
      </c>
      <c r="M152" s="190">
        <f t="shared" si="21"/>
        <v>113.03399999999999</v>
      </c>
      <c r="N152" s="190">
        <f t="shared" si="21"/>
        <v>113.03399999999999</v>
      </c>
      <c r="O152" s="190">
        <f t="shared" si="21"/>
        <v>113.03399999999999</v>
      </c>
      <c r="P152" s="190">
        <f t="shared" si="21"/>
        <v>113.03399999999999</v>
      </c>
      <c r="Q152" s="266">
        <f t="shared" si="19"/>
        <v>1.1571803660696421E-3</v>
      </c>
      <c r="R152" s="173"/>
      <c r="S152" s="263">
        <f>'F07 OPERAC. (MAT,SERV &amp; EQUIPO)'!L189</f>
        <v>1469.442</v>
      </c>
      <c r="T152" s="263">
        <f>+B152-S152</f>
        <v>0</v>
      </c>
    </row>
    <row r="153" spans="1:20" s="186" customFormat="1" ht="26" hidden="1" customHeight="1" outlineLevel="1" x14ac:dyDescent="0.35">
      <c r="A153" s="179" t="s">
        <v>92</v>
      </c>
      <c r="B153" s="187">
        <f>SUM(C153:P153)</f>
        <v>1872</v>
      </c>
      <c r="C153" s="180">
        <f>'F01 UNIFORMES'!M12</f>
        <v>0</v>
      </c>
      <c r="D153" s="180">
        <f>'F01 UNIFORMES'!N12</f>
        <v>144</v>
      </c>
      <c r="E153" s="180">
        <f>'F01 UNIFORMES'!O12</f>
        <v>144</v>
      </c>
      <c r="F153" s="180">
        <f>'F01 UNIFORMES'!P12</f>
        <v>144</v>
      </c>
      <c r="G153" s="180">
        <f>'F01 UNIFORMES'!Q12</f>
        <v>144</v>
      </c>
      <c r="H153" s="180">
        <f>'F01 UNIFORMES'!R12</f>
        <v>144</v>
      </c>
      <c r="I153" s="180">
        <f>'F01 UNIFORMES'!S12</f>
        <v>144</v>
      </c>
      <c r="J153" s="180">
        <f>'F01 UNIFORMES'!T12</f>
        <v>144</v>
      </c>
      <c r="K153" s="180">
        <f>'F01 UNIFORMES'!U12</f>
        <v>144</v>
      </c>
      <c r="L153" s="180">
        <f>'F01 UNIFORMES'!V12</f>
        <v>144</v>
      </c>
      <c r="M153" s="180">
        <f>'F01 UNIFORMES'!W12</f>
        <v>144</v>
      </c>
      <c r="N153" s="180">
        <f>'F01 UNIFORMES'!X12</f>
        <v>144</v>
      </c>
      <c r="O153" s="180">
        <f>'F01 UNIFORMES'!Y12</f>
        <v>144</v>
      </c>
      <c r="P153" s="180">
        <f>'F01 UNIFORMES'!Z12</f>
        <v>144</v>
      </c>
      <c r="Q153" s="266">
        <f t="shared" si="19"/>
        <v>1.4741933640677004E-3</v>
      </c>
      <c r="R153" s="173"/>
      <c r="S153" s="173"/>
      <c r="T153" s="173"/>
    </row>
    <row r="154" spans="1:20" s="186" customFormat="1" ht="26" customHeight="1" collapsed="1" x14ac:dyDescent="0.35">
      <c r="A154" s="188" t="s">
        <v>92</v>
      </c>
      <c r="B154" s="189">
        <f>SUM(B153)</f>
        <v>1872</v>
      </c>
      <c r="C154" s="190">
        <f t="shared" si="21"/>
        <v>0</v>
      </c>
      <c r="D154" s="190">
        <f t="shared" si="21"/>
        <v>144</v>
      </c>
      <c r="E154" s="190">
        <f t="shared" si="21"/>
        <v>144</v>
      </c>
      <c r="F154" s="190">
        <f t="shared" si="21"/>
        <v>144</v>
      </c>
      <c r="G154" s="190">
        <f t="shared" si="21"/>
        <v>144</v>
      </c>
      <c r="H154" s="190">
        <f t="shared" si="21"/>
        <v>144</v>
      </c>
      <c r="I154" s="190">
        <f t="shared" si="21"/>
        <v>144</v>
      </c>
      <c r="J154" s="190">
        <f t="shared" si="21"/>
        <v>144</v>
      </c>
      <c r="K154" s="190">
        <f t="shared" si="21"/>
        <v>144</v>
      </c>
      <c r="L154" s="190">
        <f t="shared" si="21"/>
        <v>144</v>
      </c>
      <c r="M154" s="190">
        <f t="shared" si="21"/>
        <v>144</v>
      </c>
      <c r="N154" s="190">
        <f t="shared" si="21"/>
        <v>144</v>
      </c>
      <c r="O154" s="190">
        <f t="shared" si="21"/>
        <v>144</v>
      </c>
      <c r="P154" s="190">
        <f t="shared" si="21"/>
        <v>144</v>
      </c>
      <c r="Q154" s="266">
        <f t="shared" si="19"/>
        <v>1.4741933640677004E-3</v>
      </c>
      <c r="R154" s="173"/>
      <c r="S154" s="263">
        <f>'F01 UNIFORMES'!M14</f>
        <v>1872</v>
      </c>
      <c r="T154" s="263">
        <f>+B154-S154</f>
        <v>0</v>
      </c>
    </row>
    <row r="155" spans="1:20" ht="26" hidden="1" customHeight="1" outlineLevel="1" x14ac:dyDescent="0.35">
      <c r="A155" s="179" t="s">
        <v>225</v>
      </c>
      <c r="B155" s="187">
        <f>SUM(C155:P155)</f>
        <v>0</v>
      </c>
      <c r="C155" s="187">
        <f>'F04 VEHÍCULOS Y COMB. '!R11</f>
        <v>0</v>
      </c>
      <c r="D155" s="187">
        <f>'F04 VEHÍCULOS Y COMB. '!S11</f>
        <v>0</v>
      </c>
      <c r="E155" s="187">
        <f>'F04 VEHÍCULOS Y COMB. '!T11</f>
        <v>0</v>
      </c>
      <c r="F155" s="187">
        <f>'F04 VEHÍCULOS Y COMB. '!U11</f>
        <v>0</v>
      </c>
      <c r="G155" s="187">
        <f>'F04 VEHÍCULOS Y COMB. '!V11</f>
        <v>0</v>
      </c>
      <c r="H155" s="187">
        <f>'F04 VEHÍCULOS Y COMB. '!W11</f>
        <v>0</v>
      </c>
      <c r="I155" s="187">
        <f>'F04 VEHÍCULOS Y COMB. '!X11</f>
        <v>0</v>
      </c>
      <c r="J155" s="187">
        <f>'F04 VEHÍCULOS Y COMB. '!Y11</f>
        <v>0</v>
      </c>
      <c r="K155" s="187">
        <f>'F04 VEHÍCULOS Y COMB. '!Z11</f>
        <v>0</v>
      </c>
      <c r="L155" s="187">
        <f>'F04 VEHÍCULOS Y COMB. '!AA11</f>
        <v>0</v>
      </c>
      <c r="M155" s="187">
        <f>'F04 VEHÍCULOS Y COMB. '!AB11</f>
        <v>0</v>
      </c>
      <c r="N155" s="187">
        <f>'F04 VEHÍCULOS Y COMB. '!AC11</f>
        <v>0</v>
      </c>
      <c r="O155" s="187">
        <f>'F04 VEHÍCULOS Y COMB. '!AD11</f>
        <v>0</v>
      </c>
      <c r="P155" s="187">
        <f>'F04 VEHÍCULOS Y COMB. '!AE11</f>
        <v>0</v>
      </c>
      <c r="Q155" s="266">
        <f t="shared" si="19"/>
        <v>0</v>
      </c>
    </row>
    <row r="156" spans="1:20" ht="26" hidden="1" customHeight="1" outlineLevel="1" x14ac:dyDescent="0.35">
      <c r="A156" s="181" t="s">
        <v>226</v>
      </c>
      <c r="B156" s="182">
        <f>SUM(C156:P156)</f>
        <v>18018</v>
      </c>
      <c r="C156" s="182">
        <f>'F04 VEHÍCULOS Y COMB. '!R25</f>
        <v>0</v>
      </c>
      <c r="D156" s="182">
        <f>'F04 VEHÍCULOS Y COMB. '!S25</f>
        <v>1386</v>
      </c>
      <c r="E156" s="182">
        <f>'F04 VEHÍCULOS Y COMB. '!T25</f>
        <v>1386</v>
      </c>
      <c r="F156" s="182">
        <f>'F04 VEHÍCULOS Y COMB. '!U25</f>
        <v>1386</v>
      </c>
      <c r="G156" s="182">
        <f>'F04 VEHÍCULOS Y COMB. '!V25</f>
        <v>1386</v>
      </c>
      <c r="H156" s="182">
        <f>'F04 VEHÍCULOS Y COMB. '!W25</f>
        <v>1386</v>
      </c>
      <c r="I156" s="182">
        <f>'F04 VEHÍCULOS Y COMB. '!X25</f>
        <v>1386</v>
      </c>
      <c r="J156" s="182">
        <f>'F04 VEHÍCULOS Y COMB. '!Y25</f>
        <v>1386</v>
      </c>
      <c r="K156" s="182">
        <f>'F04 VEHÍCULOS Y COMB. '!Z25</f>
        <v>1386</v>
      </c>
      <c r="L156" s="182">
        <f>'F04 VEHÍCULOS Y COMB. '!AA25</f>
        <v>1386</v>
      </c>
      <c r="M156" s="182">
        <f>'F04 VEHÍCULOS Y COMB. '!AB25</f>
        <v>1386</v>
      </c>
      <c r="N156" s="182">
        <f>'F04 VEHÍCULOS Y COMB. '!AC25</f>
        <v>1386</v>
      </c>
      <c r="O156" s="182">
        <f>'F04 VEHÍCULOS Y COMB. '!AD25</f>
        <v>1386</v>
      </c>
      <c r="P156" s="182">
        <f>'F04 VEHÍCULOS Y COMB. '!AE25</f>
        <v>1386</v>
      </c>
      <c r="Q156" s="266">
        <f t="shared" si="19"/>
        <v>1.4189111129151617E-2</v>
      </c>
    </row>
    <row r="157" spans="1:20" s="186" customFormat="1" ht="26" customHeight="1" collapsed="1" x14ac:dyDescent="0.35">
      <c r="A157" s="188" t="s">
        <v>5</v>
      </c>
      <c r="B157" s="189">
        <f>SUM(B155:B156)</f>
        <v>18018</v>
      </c>
      <c r="C157" s="190">
        <f t="shared" ref="C157:P157" si="22">SUM(C155:C156)</f>
        <v>0</v>
      </c>
      <c r="D157" s="190">
        <f t="shared" si="22"/>
        <v>1386</v>
      </c>
      <c r="E157" s="190">
        <f t="shared" si="22"/>
        <v>1386</v>
      </c>
      <c r="F157" s="190">
        <f t="shared" si="22"/>
        <v>1386</v>
      </c>
      <c r="G157" s="190">
        <f t="shared" si="22"/>
        <v>1386</v>
      </c>
      <c r="H157" s="190">
        <f t="shared" si="22"/>
        <v>1386</v>
      </c>
      <c r="I157" s="190">
        <f t="shared" si="22"/>
        <v>1386</v>
      </c>
      <c r="J157" s="190">
        <f t="shared" si="22"/>
        <v>1386</v>
      </c>
      <c r="K157" s="190">
        <f t="shared" si="22"/>
        <v>1386</v>
      </c>
      <c r="L157" s="190">
        <f t="shared" si="22"/>
        <v>1386</v>
      </c>
      <c r="M157" s="190">
        <f t="shared" si="22"/>
        <v>1386</v>
      </c>
      <c r="N157" s="190">
        <f t="shared" si="22"/>
        <v>1386</v>
      </c>
      <c r="O157" s="190">
        <f t="shared" si="22"/>
        <v>1386</v>
      </c>
      <c r="P157" s="190">
        <f t="shared" si="22"/>
        <v>1386</v>
      </c>
      <c r="Q157" s="266">
        <f t="shared" si="19"/>
        <v>1.4189111129151617E-2</v>
      </c>
      <c r="R157" s="173"/>
      <c r="S157" s="263">
        <f>'F04 VEHÍCULOS Y COMB. '!R32</f>
        <v>18018</v>
      </c>
      <c r="T157" s="263">
        <f>+B157-S157</f>
        <v>0</v>
      </c>
    </row>
    <row r="158" spans="1:20" ht="26" hidden="1" customHeight="1" outlineLevel="1" x14ac:dyDescent="0.35">
      <c r="A158" s="179" t="s">
        <v>227</v>
      </c>
      <c r="B158" s="187">
        <f>SUM(C158:P158)</f>
        <v>650</v>
      </c>
      <c r="C158" s="187">
        <f>'F05 VIÁTICOS'!K7</f>
        <v>0</v>
      </c>
      <c r="D158" s="187">
        <f>'F05 VIÁTICOS'!L7</f>
        <v>50</v>
      </c>
      <c r="E158" s="187">
        <f>'F05 VIÁTICOS'!M7</f>
        <v>50</v>
      </c>
      <c r="F158" s="187">
        <f>'F05 VIÁTICOS'!N7</f>
        <v>50</v>
      </c>
      <c r="G158" s="187">
        <f>'F05 VIÁTICOS'!O7</f>
        <v>50</v>
      </c>
      <c r="H158" s="187">
        <f>'F05 VIÁTICOS'!P7</f>
        <v>50</v>
      </c>
      <c r="I158" s="187">
        <f>'F05 VIÁTICOS'!Q7</f>
        <v>50</v>
      </c>
      <c r="J158" s="187">
        <f>'F05 VIÁTICOS'!R7</f>
        <v>50</v>
      </c>
      <c r="K158" s="187">
        <f>'F05 VIÁTICOS'!S7</f>
        <v>50</v>
      </c>
      <c r="L158" s="187">
        <f>'F05 VIÁTICOS'!T7</f>
        <v>50</v>
      </c>
      <c r="M158" s="187">
        <f>'F05 VIÁTICOS'!U7</f>
        <v>50</v>
      </c>
      <c r="N158" s="187">
        <f>'F05 VIÁTICOS'!V7</f>
        <v>50</v>
      </c>
      <c r="O158" s="187">
        <f>'F05 VIÁTICOS'!W7</f>
        <v>50</v>
      </c>
      <c r="P158" s="187">
        <f>'F05 VIÁTICOS'!X7</f>
        <v>50</v>
      </c>
      <c r="Q158" s="266">
        <f t="shared" si="19"/>
        <v>5.1187269585684049E-4</v>
      </c>
    </row>
    <row r="159" spans="1:20" ht="26" hidden="1" customHeight="1" outlineLevel="1" x14ac:dyDescent="0.35">
      <c r="A159" s="181" t="s">
        <v>228</v>
      </c>
      <c r="B159" s="182">
        <f t="shared" ref="B159:B164" si="23">SUM(C159:P159)</f>
        <v>650</v>
      </c>
      <c r="C159" s="182">
        <f>'F05 VIÁTICOS'!K8</f>
        <v>0</v>
      </c>
      <c r="D159" s="182">
        <f>'F05 VIÁTICOS'!L8</f>
        <v>50</v>
      </c>
      <c r="E159" s="182">
        <f>'F05 VIÁTICOS'!M8</f>
        <v>50</v>
      </c>
      <c r="F159" s="182">
        <f>'F05 VIÁTICOS'!N8</f>
        <v>50</v>
      </c>
      <c r="G159" s="182">
        <f>'F05 VIÁTICOS'!O8</f>
        <v>50</v>
      </c>
      <c r="H159" s="182">
        <f>'F05 VIÁTICOS'!P8</f>
        <v>50</v>
      </c>
      <c r="I159" s="182">
        <f>'F05 VIÁTICOS'!Q8</f>
        <v>50</v>
      </c>
      <c r="J159" s="182">
        <f>'F05 VIÁTICOS'!R8</f>
        <v>50</v>
      </c>
      <c r="K159" s="182">
        <f>'F05 VIÁTICOS'!S8</f>
        <v>50</v>
      </c>
      <c r="L159" s="182">
        <f>'F05 VIÁTICOS'!T8</f>
        <v>50</v>
      </c>
      <c r="M159" s="182">
        <f>'F05 VIÁTICOS'!U8</f>
        <v>50</v>
      </c>
      <c r="N159" s="182">
        <f>'F05 VIÁTICOS'!V8</f>
        <v>50</v>
      </c>
      <c r="O159" s="182">
        <f>'F05 VIÁTICOS'!W8</f>
        <v>50</v>
      </c>
      <c r="P159" s="182">
        <f>'F05 VIÁTICOS'!X8</f>
        <v>50</v>
      </c>
      <c r="Q159" s="266">
        <f t="shared" si="19"/>
        <v>5.1187269585684049E-4</v>
      </c>
    </row>
    <row r="160" spans="1:20" ht="26" hidden="1" customHeight="1" outlineLevel="1" x14ac:dyDescent="0.35">
      <c r="A160" s="179" t="s">
        <v>229</v>
      </c>
      <c r="B160" s="187">
        <f t="shared" si="23"/>
        <v>1950</v>
      </c>
      <c r="C160" s="187">
        <f>'F05 VIÁTICOS'!K9</f>
        <v>0</v>
      </c>
      <c r="D160" s="187">
        <f>'F05 VIÁTICOS'!L9</f>
        <v>150</v>
      </c>
      <c r="E160" s="187">
        <f>'F05 VIÁTICOS'!M9</f>
        <v>150</v>
      </c>
      <c r="F160" s="187">
        <f>'F05 VIÁTICOS'!N9</f>
        <v>150</v>
      </c>
      <c r="G160" s="187">
        <f>'F05 VIÁTICOS'!O9</f>
        <v>150</v>
      </c>
      <c r="H160" s="187">
        <f>'F05 VIÁTICOS'!P9</f>
        <v>150</v>
      </c>
      <c r="I160" s="187">
        <f>'F05 VIÁTICOS'!Q9</f>
        <v>150</v>
      </c>
      <c r="J160" s="187">
        <f>'F05 VIÁTICOS'!R9</f>
        <v>150</v>
      </c>
      <c r="K160" s="187">
        <f>'F05 VIÁTICOS'!S9</f>
        <v>150</v>
      </c>
      <c r="L160" s="187">
        <f>'F05 VIÁTICOS'!T9</f>
        <v>150</v>
      </c>
      <c r="M160" s="187">
        <f>'F05 VIÁTICOS'!U9</f>
        <v>150</v>
      </c>
      <c r="N160" s="187">
        <f>'F05 VIÁTICOS'!V9</f>
        <v>150</v>
      </c>
      <c r="O160" s="187">
        <f>'F05 VIÁTICOS'!W9</f>
        <v>150</v>
      </c>
      <c r="P160" s="187">
        <f>'F05 VIÁTICOS'!X9</f>
        <v>150</v>
      </c>
      <c r="Q160" s="266">
        <f t="shared" si="19"/>
        <v>1.5356180875705212E-3</v>
      </c>
    </row>
    <row r="161" spans="1:20" ht="26" hidden="1" customHeight="1" outlineLevel="1" x14ac:dyDescent="0.35">
      <c r="A161" s="181" t="s">
        <v>230</v>
      </c>
      <c r="B161" s="182">
        <f t="shared" si="23"/>
        <v>1300</v>
      </c>
      <c r="C161" s="182">
        <f>'F05 VIÁTICOS'!K10</f>
        <v>0</v>
      </c>
      <c r="D161" s="182">
        <f>'F05 VIÁTICOS'!L10</f>
        <v>100</v>
      </c>
      <c r="E161" s="182">
        <f>'F05 VIÁTICOS'!M10</f>
        <v>100</v>
      </c>
      <c r="F161" s="182">
        <f>'F05 VIÁTICOS'!N10</f>
        <v>100</v>
      </c>
      <c r="G161" s="182">
        <f>'F05 VIÁTICOS'!O10</f>
        <v>100</v>
      </c>
      <c r="H161" s="182">
        <f>'F05 VIÁTICOS'!P10</f>
        <v>100</v>
      </c>
      <c r="I161" s="182">
        <f>'F05 VIÁTICOS'!Q10</f>
        <v>100</v>
      </c>
      <c r="J161" s="182">
        <f>'F05 VIÁTICOS'!R10</f>
        <v>100</v>
      </c>
      <c r="K161" s="182">
        <f>'F05 VIÁTICOS'!S10</f>
        <v>100</v>
      </c>
      <c r="L161" s="182">
        <f>'F05 VIÁTICOS'!T10</f>
        <v>100</v>
      </c>
      <c r="M161" s="182">
        <f>'F05 VIÁTICOS'!U10</f>
        <v>100</v>
      </c>
      <c r="N161" s="182">
        <f>'F05 VIÁTICOS'!V10</f>
        <v>100</v>
      </c>
      <c r="O161" s="182">
        <f>'F05 VIÁTICOS'!W10</f>
        <v>100</v>
      </c>
      <c r="P161" s="182">
        <f>'F05 VIÁTICOS'!X10</f>
        <v>100</v>
      </c>
      <c r="Q161" s="266">
        <f t="shared" si="19"/>
        <v>1.023745391713681E-3</v>
      </c>
    </row>
    <row r="162" spans="1:20" ht="26" hidden="1" customHeight="1" outlineLevel="1" x14ac:dyDescent="0.35">
      <c r="A162" s="179" t="s">
        <v>231</v>
      </c>
      <c r="B162" s="187">
        <f t="shared" si="23"/>
        <v>1300</v>
      </c>
      <c r="C162" s="187">
        <f>'F05 VIÁTICOS'!K11</f>
        <v>0</v>
      </c>
      <c r="D162" s="187">
        <f>'F05 VIÁTICOS'!L11</f>
        <v>100</v>
      </c>
      <c r="E162" s="187">
        <f>'F05 VIÁTICOS'!M11</f>
        <v>100</v>
      </c>
      <c r="F162" s="187">
        <f>'F05 VIÁTICOS'!N11</f>
        <v>100</v>
      </c>
      <c r="G162" s="187">
        <f>'F05 VIÁTICOS'!O11</f>
        <v>100</v>
      </c>
      <c r="H162" s="187">
        <f>'F05 VIÁTICOS'!P11</f>
        <v>100</v>
      </c>
      <c r="I162" s="187">
        <f>'F05 VIÁTICOS'!Q11</f>
        <v>100</v>
      </c>
      <c r="J162" s="187">
        <f>'F05 VIÁTICOS'!R11</f>
        <v>100</v>
      </c>
      <c r="K162" s="187">
        <f>'F05 VIÁTICOS'!S11</f>
        <v>100</v>
      </c>
      <c r="L162" s="187">
        <f>'F05 VIÁTICOS'!T11</f>
        <v>100</v>
      </c>
      <c r="M162" s="187">
        <f>'F05 VIÁTICOS'!U11</f>
        <v>100</v>
      </c>
      <c r="N162" s="187">
        <f>'F05 VIÁTICOS'!V11</f>
        <v>100</v>
      </c>
      <c r="O162" s="187">
        <f>'F05 VIÁTICOS'!W11</f>
        <v>100</v>
      </c>
      <c r="P162" s="187">
        <f>'F05 VIÁTICOS'!X11</f>
        <v>100</v>
      </c>
      <c r="Q162" s="266">
        <f t="shared" si="19"/>
        <v>1.023745391713681E-3</v>
      </c>
    </row>
    <row r="163" spans="1:20" ht="26" hidden="1" customHeight="1" outlineLevel="1" x14ac:dyDescent="0.35">
      <c r="A163" s="192" t="str">
        <f>'F05 VIÁTICOS'!B19</f>
        <v xml:space="preserve">CAJA CHICA </v>
      </c>
      <c r="B163" s="182">
        <f t="shared" si="23"/>
        <v>0</v>
      </c>
      <c r="C163" s="182">
        <f>'F05 VIÁTICOS'!K19</f>
        <v>0</v>
      </c>
      <c r="D163" s="182">
        <f>'F05 VIÁTICOS'!L19</f>
        <v>0</v>
      </c>
      <c r="E163" s="182">
        <f>'F05 VIÁTICOS'!M19</f>
        <v>0</v>
      </c>
      <c r="F163" s="182">
        <f>'F05 VIÁTICOS'!N19</f>
        <v>0</v>
      </c>
      <c r="G163" s="182">
        <f>'F05 VIÁTICOS'!O19</f>
        <v>0</v>
      </c>
      <c r="H163" s="182">
        <f>'F05 VIÁTICOS'!P19</f>
        <v>0</v>
      </c>
      <c r="I163" s="182">
        <f>'F05 VIÁTICOS'!Q19</f>
        <v>0</v>
      </c>
      <c r="J163" s="182">
        <f>'F05 VIÁTICOS'!R19</f>
        <v>0</v>
      </c>
      <c r="K163" s="182">
        <f>'F05 VIÁTICOS'!S19</f>
        <v>0</v>
      </c>
      <c r="L163" s="182">
        <f>'F05 VIÁTICOS'!T19</f>
        <v>0</v>
      </c>
      <c r="M163" s="182">
        <f>'F05 VIÁTICOS'!U19</f>
        <v>0</v>
      </c>
      <c r="N163" s="182">
        <f>'F05 VIÁTICOS'!V19</f>
        <v>0</v>
      </c>
      <c r="O163" s="182">
        <f>'F05 VIÁTICOS'!W19</f>
        <v>0</v>
      </c>
      <c r="P163" s="182">
        <f>'F05 VIÁTICOS'!X19</f>
        <v>0</v>
      </c>
      <c r="Q163" s="266">
        <f t="shared" si="19"/>
        <v>0</v>
      </c>
    </row>
    <row r="164" spans="1:20" ht="26" hidden="1" customHeight="1" outlineLevel="1" x14ac:dyDescent="0.35">
      <c r="A164" s="192" t="str">
        <f>'F05 VIÁTICOS'!B20</f>
        <v>REEMBOLSOS</v>
      </c>
      <c r="B164" s="187">
        <f t="shared" si="23"/>
        <v>0</v>
      </c>
      <c r="C164" s="187">
        <f>'F05 VIÁTICOS'!K20</f>
        <v>0</v>
      </c>
      <c r="D164" s="187">
        <f>'F05 VIÁTICOS'!L20</f>
        <v>0</v>
      </c>
      <c r="E164" s="187">
        <f>'F05 VIÁTICOS'!M20</f>
        <v>0</v>
      </c>
      <c r="F164" s="187">
        <f>'F05 VIÁTICOS'!N20</f>
        <v>0</v>
      </c>
      <c r="G164" s="187">
        <f>'F05 VIÁTICOS'!O20</f>
        <v>0</v>
      </c>
      <c r="H164" s="187">
        <f>'F05 VIÁTICOS'!P20</f>
        <v>0</v>
      </c>
      <c r="I164" s="187">
        <f>'F05 VIÁTICOS'!Q20</f>
        <v>0</v>
      </c>
      <c r="J164" s="187">
        <f>'F05 VIÁTICOS'!R20</f>
        <v>0</v>
      </c>
      <c r="K164" s="187">
        <f>'F05 VIÁTICOS'!S20</f>
        <v>0</v>
      </c>
      <c r="L164" s="187">
        <f>'F05 VIÁTICOS'!T20</f>
        <v>0</v>
      </c>
      <c r="M164" s="187">
        <f>'F05 VIÁTICOS'!U20</f>
        <v>0</v>
      </c>
      <c r="N164" s="187">
        <f>'F05 VIÁTICOS'!V20</f>
        <v>0</v>
      </c>
      <c r="O164" s="187">
        <f>'F05 VIÁTICOS'!W20</f>
        <v>0</v>
      </c>
      <c r="P164" s="187">
        <f>'F05 VIÁTICOS'!X20</f>
        <v>0</v>
      </c>
      <c r="Q164" s="266">
        <f t="shared" si="19"/>
        <v>0</v>
      </c>
    </row>
    <row r="165" spans="1:20" s="186" customFormat="1" ht="26" customHeight="1" collapsed="1" x14ac:dyDescent="0.35">
      <c r="A165" s="188" t="s">
        <v>6</v>
      </c>
      <c r="B165" s="189">
        <f>SUM(B158:B164)</f>
        <v>5850</v>
      </c>
      <c r="C165" s="190">
        <f>SUM(C158:C164)</f>
        <v>0</v>
      </c>
      <c r="D165" s="190">
        <f t="shared" ref="D165:P165" si="24">SUM(D158:D164)</f>
        <v>450</v>
      </c>
      <c r="E165" s="190">
        <f t="shared" si="24"/>
        <v>450</v>
      </c>
      <c r="F165" s="190">
        <f t="shared" si="24"/>
        <v>450</v>
      </c>
      <c r="G165" s="190">
        <f t="shared" si="24"/>
        <v>450</v>
      </c>
      <c r="H165" s="190">
        <f t="shared" si="24"/>
        <v>450</v>
      </c>
      <c r="I165" s="190">
        <f t="shared" si="24"/>
        <v>450</v>
      </c>
      <c r="J165" s="190">
        <f t="shared" si="24"/>
        <v>450</v>
      </c>
      <c r="K165" s="190">
        <f t="shared" si="24"/>
        <v>450</v>
      </c>
      <c r="L165" s="190">
        <f t="shared" si="24"/>
        <v>450</v>
      </c>
      <c r="M165" s="190">
        <f t="shared" si="24"/>
        <v>450</v>
      </c>
      <c r="N165" s="190">
        <f t="shared" si="24"/>
        <v>450</v>
      </c>
      <c r="O165" s="190">
        <f t="shared" si="24"/>
        <v>450</v>
      </c>
      <c r="P165" s="190">
        <f t="shared" si="24"/>
        <v>450</v>
      </c>
      <c r="Q165" s="266">
        <f t="shared" si="19"/>
        <v>4.6068542627115639E-3</v>
      </c>
      <c r="R165" s="173"/>
      <c r="S165" s="263">
        <f>'F05 VIÁTICOS'!K29</f>
        <v>5850</v>
      </c>
      <c r="T165" s="263">
        <f>+B165-S165</f>
        <v>0</v>
      </c>
    </row>
    <row r="166" spans="1:20" ht="26" customHeight="1" x14ac:dyDescent="0.35">
      <c r="A166" s="175" t="s">
        <v>54</v>
      </c>
      <c r="B166" s="193">
        <f>SUM(B165,B157,B154,B152,B150,B148,B84,B80,B78,B76,B40,B37,B32,B30,B28,B25,B23,B13)</f>
        <v>1269846.9859032894</v>
      </c>
      <c r="C166" s="193">
        <f>C13+C23+C25+C28+C30+C32+C37+C40+C76+C78+C80+C84+C148+C150+C152+C154+C157+C165</f>
        <v>0</v>
      </c>
      <c r="D166" s="193">
        <f>D13+D23+D25+D28+D30+D32+D37+D40+D76+D78+D80+D84+D148+D150+D152+D154+D157+D165</f>
        <v>94460.018059868409</v>
      </c>
      <c r="E166" s="193">
        <f t="shared" ref="E166:P166" si="25">E13+E23+E25+E28+E30+E32+E37+E40+E76+E78+E80+E84+E148+E150+E152+E154+E157+E165</f>
        <v>125060.01805986841</v>
      </c>
      <c r="F166" s="193">
        <f t="shared" si="25"/>
        <v>92810.018059868409</v>
      </c>
      <c r="G166" s="193">
        <f t="shared" si="25"/>
        <v>95060.018059868409</v>
      </c>
      <c r="H166" s="193">
        <f t="shared" si="25"/>
        <v>98142.518381296992</v>
      </c>
      <c r="I166" s="193">
        <f t="shared" si="25"/>
        <v>94663.018059868409</v>
      </c>
      <c r="J166" s="193">
        <f t="shared" si="25"/>
        <v>92810.018059868409</v>
      </c>
      <c r="K166" s="193">
        <f t="shared" si="25"/>
        <v>92810.018059868409</v>
      </c>
      <c r="L166" s="193">
        <f t="shared" si="25"/>
        <v>92810.018059868409</v>
      </c>
      <c r="M166" s="193">
        <f t="shared" si="25"/>
        <v>92810.018059868409</v>
      </c>
      <c r="N166" s="193">
        <f t="shared" si="25"/>
        <v>92810.018059868409</v>
      </c>
      <c r="O166" s="193">
        <f t="shared" si="25"/>
        <v>107791.26886343984</v>
      </c>
      <c r="P166" s="193">
        <f t="shared" si="25"/>
        <v>97810.018059868409</v>
      </c>
      <c r="Q166" s="265">
        <f>SUM(Q165,Q157,Q154,Q152,Q150,Q148,Q84,Q80,Q78,Q76,Q40,Q37,Q32,Q30,Q28,Q25,Q23,Q13)</f>
        <v>0.99999999999999989</v>
      </c>
    </row>
    <row r="167" spans="1:20" ht="26" customHeight="1" x14ac:dyDescent="0.35">
      <c r="A167" s="175" t="s">
        <v>27</v>
      </c>
      <c r="B167" s="193">
        <f>SUM(B165,B157,B154,B152,B150,B148,B84,B80,B78,B76,B40,B37,B32,B30,B28,B25,B23)</f>
        <v>1238046.9859032894</v>
      </c>
      <c r="C167" s="193">
        <f>SUM(C165,C157,C154,C152,C150,C148,C84,C80,C78,C76,C40,C37,C32,C30,C28,C25,C23)</f>
        <v>0</v>
      </c>
      <c r="D167" s="193">
        <f>SUM(D165,D157,D154,D152,D150,D148,D84,D80,D78,D76,D40,D37,D32,D30,D28,D25,D23)</f>
        <v>94460.018059868424</v>
      </c>
      <c r="E167" s="193">
        <f t="shared" ref="E167:P167" si="26">SUM(E165,E157,E154,E152,E150,E148,E84,E80,E78,E76,E40,E37,E32,E30,E28,E25,E23)</f>
        <v>93260.018059868424</v>
      </c>
      <c r="F167" s="193">
        <f t="shared" si="26"/>
        <v>92810.018059868424</v>
      </c>
      <c r="G167" s="193">
        <f t="shared" si="26"/>
        <v>95060.018059868424</v>
      </c>
      <c r="H167" s="193">
        <f t="shared" si="26"/>
        <v>98142.518381297006</v>
      </c>
      <c r="I167" s="193">
        <f t="shared" si="26"/>
        <v>94663.018059868424</v>
      </c>
      <c r="J167" s="193">
        <f t="shared" si="26"/>
        <v>92810.018059868424</v>
      </c>
      <c r="K167" s="193">
        <f t="shared" si="26"/>
        <v>92810.018059868424</v>
      </c>
      <c r="L167" s="193">
        <f t="shared" si="26"/>
        <v>92810.018059868424</v>
      </c>
      <c r="M167" s="193">
        <f t="shared" si="26"/>
        <v>92810.018059868424</v>
      </c>
      <c r="N167" s="193">
        <f t="shared" si="26"/>
        <v>92810.018059868424</v>
      </c>
      <c r="O167" s="193">
        <f t="shared" si="26"/>
        <v>107791.26886343985</v>
      </c>
      <c r="P167" s="193">
        <f t="shared" si="26"/>
        <v>97810.018059868424</v>
      </c>
      <c r="Q167" s="266">
        <f t="shared" ref="Q167:Q168" si="27">B167/$B$166</f>
        <v>0.97495761272577308</v>
      </c>
    </row>
    <row r="168" spans="1:20" s="186" customFormat="1" ht="26" customHeight="1" x14ac:dyDescent="0.35">
      <c r="A168" s="194" t="s">
        <v>232</v>
      </c>
      <c r="B168" s="195">
        <f>B5-B166</f>
        <v>1363267.8940967105</v>
      </c>
      <c r="C168" s="195">
        <f>C167</f>
        <v>0</v>
      </c>
      <c r="D168" s="195">
        <f>C168+D167</f>
        <v>94460.018059868424</v>
      </c>
      <c r="E168" s="195">
        <f t="shared" ref="E168:P168" si="28">D168+E167</f>
        <v>187720.03611973685</v>
      </c>
      <c r="F168" s="195">
        <f t="shared" si="28"/>
        <v>280530.05417960527</v>
      </c>
      <c r="G168" s="195">
        <f t="shared" si="28"/>
        <v>375590.07223947369</v>
      </c>
      <c r="H168" s="195">
        <f t="shared" si="28"/>
        <v>473732.5906207707</v>
      </c>
      <c r="I168" s="195">
        <f t="shared" si="28"/>
        <v>568395.60868063918</v>
      </c>
      <c r="J168" s="195">
        <f t="shared" si="28"/>
        <v>661205.62674050755</v>
      </c>
      <c r="K168" s="195">
        <f t="shared" si="28"/>
        <v>754015.64480037591</v>
      </c>
      <c r="L168" s="195">
        <f t="shared" si="28"/>
        <v>846825.66286024428</v>
      </c>
      <c r="M168" s="195">
        <f t="shared" si="28"/>
        <v>939635.68092011265</v>
      </c>
      <c r="N168" s="195">
        <f t="shared" si="28"/>
        <v>1032445.698979981</v>
      </c>
      <c r="O168" s="195">
        <f t="shared" si="28"/>
        <v>1140236.9678434208</v>
      </c>
      <c r="P168" s="195">
        <f t="shared" si="28"/>
        <v>1238046.9859032892</v>
      </c>
      <c r="Q168" s="266">
        <f t="shared" si="27"/>
        <v>1.0735686340405552</v>
      </c>
      <c r="R168" s="173"/>
      <c r="S168" s="173"/>
      <c r="T168" s="173"/>
    </row>
    <row r="169" spans="1:20" ht="26" customHeight="1" x14ac:dyDescent="0.35">
      <c r="B169" s="196">
        <f>B168/B5</f>
        <v>0.51773961875021213</v>
      </c>
      <c r="C169" s="197"/>
    </row>
    <row r="170" spans="1:20" ht="26" customHeight="1" x14ac:dyDescent="0.35">
      <c r="A170" s="166" t="s">
        <v>354</v>
      </c>
      <c r="B170" s="167">
        <v>1</v>
      </c>
      <c r="C170" s="197"/>
    </row>
    <row r="171" spans="1:20" ht="26" customHeight="1" x14ac:dyDescent="0.35">
      <c r="A171" s="166" t="s">
        <v>355</v>
      </c>
      <c r="B171" s="167">
        <v>1</v>
      </c>
      <c r="C171" s="197"/>
    </row>
    <row r="173" spans="1:20" ht="26" customHeight="1" x14ac:dyDescent="0.35">
      <c r="A173" s="205" t="s">
        <v>412</v>
      </c>
      <c r="B173" s="206" t="s">
        <v>243</v>
      </c>
      <c r="C173" s="174" t="str">
        <f>C3</f>
        <v>INSTALACIÓN</v>
      </c>
      <c r="D173" s="174" t="str">
        <f t="shared" ref="D173:P173" si="29">D3</f>
        <v>M1</v>
      </c>
      <c r="E173" s="174" t="str">
        <f t="shared" si="29"/>
        <v>M2</v>
      </c>
      <c r="F173" s="174" t="str">
        <f t="shared" si="29"/>
        <v>M3</v>
      </c>
      <c r="G173" s="174" t="str">
        <f t="shared" si="29"/>
        <v>M4</v>
      </c>
      <c r="H173" s="174" t="str">
        <f t="shared" si="29"/>
        <v>M5</v>
      </c>
      <c r="I173" s="174" t="str">
        <f t="shared" si="29"/>
        <v>M6</v>
      </c>
      <c r="J173" s="174" t="str">
        <f t="shared" si="29"/>
        <v>M7</v>
      </c>
      <c r="K173" s="174" t="str">
        <f t="shared" si="29"/>
        <v>M8</v>
      </c>
      <c r="L173" s="174" t="str">
        <f t="shared" si="29"/>
        <v>M9</v>
      </c>
      <c r="M173" s="174" t="str">
        <f t="shared" si="29"/>
        <v>M10</v>
      </c>
      <c r="N173" s="174" t="str">
        <f t="shared" si="29"/>
        <v>M11</v>
      </c>
      <c r="O173" s="174" t="str">
        <f t="shared" si="29"/>
        <v>M12</v>
      </c>
      <c r="P173" s="174" t="str">
        <f t="shared" si="29"/>
        <v>M13</v>
      </c>
    </row>
    <row r="174" spans="1:20" ht="26" customHeight="1" x14ac:dyDescent="0.35">
      <c r="A174" s="175" t="s">
        <v>24</v>
      </c>
      <c r="B174" s="175" t="s">
        <v>384</v>
      </c>
      <c r="C174" s="175" t="str">
        <f>C4</f>
        <v>-</v>
      </c>
      <c r="D174" s="175" t="str">
        <f t="shared" ref="D174:P174" si="30">D4</f>
        <v>ENE</v>
      </c>
      <c r="E174" s="175" t="str">
        <f t="shared" si="30"/>
        <v>FEB</v>
      </c>
      <c r="F174" s="175" t="str">
        <f t="shared" si="30"/>
        <v>MAR</v>
      </c>
      <c r="G174" s="175" t="str">
        <f t="shared" si="30"/>
        <v>ABR</v>
      </c>
      <c r="H174" s="175" t="str">
        <f t="shared" si="30"/>
        <v>MAY</v>
      </c>
      <c r="I174" s="175" t="str">
        <f t="shared" si="30"/>
        <v>JUN</v>
      </c>
      <c r="J174" s="175" t="str">
        <f t="shared" si="30"/>
        <v>JUL</v>
      </c>
      <c r="K174" s="175" t="str">
        <f t="shared" si="30"/>
        <v>AGO</v>
      </c>
      <c r="L174" s="175" t="str">
        <f t="shared" si="30"/>
        <v>SEP</v>
      </c>
      <c r="M174" s="175" t="str">
        <f t="shared" si="30"/>
        <v>OCT</v>
      </c>
      <c r="N174" s="175" t="str">
        <f t="shared" si="30"/>
        <v>NOV</v>
      </c>
      <c r="O174" s="175" t="str">
        <f t="shared" si="30"/>
        <v>DIC</v>
      </c>
      <c r="P174" s="175" t="str">
        <f t="shared" si="30"/>
        <v>ENE</v>
      </c>
    </row>
    <row r="175" spans="1:20" ht="26" customHeight="1" x14ac:dyDescent="0.35">
      <c r="A175" s="176" t="s">
        <v>80</v>
      </c>
      <c r="B175" s="177">
        <f>B5*$B$202</f>
        <v>52662297.599999994</v>
      </c>
      <c r="C175" s="177">
        <f>C5*$B$202</f>
        <v>0</v>
      </c>
      <c r="D175" s="177">
        <f t="shared" ref="D175:P175" si="31">D5*$B$202</f>
        <v>4122553.5999999996</v>
      </c>
      <c r="E175" s="177">
        <f t="shared" si="31"/>
        <v>3723596.8</v>
      </c>
      <c r="F175" s="177">
        <f t="shared" si="31"/>
        <v>4122553.5999999996</v>
      </c>
      <c r="G175" s="177">
        <f t="shared" si="31"/>
        <v>3989568</v>
      </c>
      <c r="H175" s="177">
        <f t="shared" si="31"/>
        <v>4122553.5999999996</v>
      </c>
      <c r="I175" s="177">
        <f t="shared" si="31"/>
        <v>3989568</v>
      </c>
      <c r="J175" s="177">
        <f t="shared" si="31"/>
        <v>4122553.5999999996</v>
      </c>
      <c r="K175" s="177">
        <f t="shared" si="31"/>
        <v>4122553.5999999996</v>
      </c>
      <c r="L175" s="177">
        <f t="shared" si="31"/>
        <v>3989568</v>
      </c>
      <c r="M175" s="177">
        <f t="shared" si="31"/>
        <v>4122553.5999999996</v>
      </c>
      <c r="N175" s="177">
        <f t="shared" si="31"/>
        <v>3989568</v>
      </c>
      <c r="O175" s="177">
        <f t="shared" si="31"/>
        <v>4122553.5999999996</v>
      </c>
      <c r="P175" s="177">
        <f t="shared" si="31"/>
        <v>4122553.5999999996</v>
      </c>
    </row>
    <row r="176" spans="1:20" ht="12" customHeight="1" x14ac:dyDescent="0.35"/>
    <row r="177" spans="1:17" ht="26" customHeight="1" x14ac:dyDescent="0.35">
      <c r="A177" s="205" t="s">
        <v>412</v>
      </c>
      <c r="B177" s="206" t="s">
        <v>243</v>
      </c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</row>
    <row r="178" spans="1:17" ht="26" customHeight="1" x14ac:dyDescent="0.35">
      <c r="A178" s="175" t="s">
        <v>24</v>
      </c>
      <c r="B178" s="175" t="s">
        <v>384</v>
      </c>
      <c r="C178" s="175" t="s">
        <v>251</v>
      </c>
      <c r="D178" s="175" t="s">
        <v>370</v>
      </c>
      <c r="E178" s="175" t="s">
        <v>371</v>
      </c>
      <c r="F178" s="175" t="s">
        <v>372</v>
      </c>
      <c r="G178" s="175" t="s">
        <v>373</v>
      </c>
      <c r="H178" s="175" t="s">
        <v>374</v>
      </c>
      <c r="I178" s="175" t="s">
        <v>375</v>
      </c>
      <c r="J178" s="175" t="s">
        <v>376</v>
      </c>
      <c r="K178" s="175" t="s">
        <v>377</v>
      </c>
      <c r="L178" s="175" t="s">
        <v>378</v>
      </c>
      <c r="M178" s="175" t="s">
        <v>379</v>
      </c>
      <c r="N178" s="175" t="s">
        <v>380</v>
      </c>
      <c r="O178" s="175" t="s">
        <v>381</v>
      </c>
      <c r="P178" s="175" t="s">
        <v>370</v>
      </c>
    </row>
    <row r="179" spans="1:17" s="186" customFormat="1" ht="26" customHeight="1" collapsed="1" x14ac:dyDescent="0.35">
      <c r="A179" s="183" t="s">
        <v>81</v>
      </c>
      <c r="B179" s="184">
        <f>B13*$B$202</f>
        <v>636000</v>
      </c>
      <c r="C179" s="184">
        <f t="shared" ref="C179:P179" si="32">C13*$B$202</f>
        <v>0</v>
      </c>
      <c r="D179" s="184">
        <f t="shared" si="32"/>
        <v>0</v>
      </c>
      <c r="E179" s="184">
        <f t="shared" si="32"/>
        <v>636000</v>
      </c>
      <c r="F179" s="184">
        <f t="shared" si="32"/>
        <v>0</v>
      </c>
      <c r="G179" s="184">
        <f t="shared" si="32"/>
        <v>0</v>
      </c>
      <c r="H179" s="184">
        <f t="shared" si="32"/>
        <v>0</v>
      </c>
      <c r="I179" s="184">
        <f t="shared" si="32"/>
        <v>0</v>
      </c>
      <c r="J179" s="184">
        <f t="shared" si="32"/>
        <v>0</v>
      </c>
      <c r="K179" s="184">
        <f t="shared" si="32"/>
        <v>0</v>
      </c>
      <c r="L179" s="184">
        <f t="shared" si="32"/>
        <v>0</v>
      </c>
      <c r="M179" s="184">
        <f t="shared" si="32"/>
        <v>0</v>
      </c>
      <c r="N179" s="184">
        <f t="shared" si="32"/>
        <v>0</v>
      </c>
      <c r="O179" s="184">
        <f t="shared" si="32"/>
        <v>0</v>
      </c>
      <c r="P179" s="184">
        <f t="shared" si="32"/>
        <v>0</v>
      </c>
      <c r="Q179" s="173"/>
    </row>
    <row r="180" spans="1:17" s="186" customFormat="1" ht="26" customHeight="1" collapsed="1" x14ac:dyDescent="0.35">
      <c r="A180" s="188" t="s">
        <v>82</v>
      </c>
      <c r="B180" s="189">
        <f>B23*$B$202</f>
        <v>525200</v>
      </c>
      <c r="C180" s="190">
        <f>C23*$B$202</f>
        <v>0</v>
      </c>
      <c r="D180" s="190">
        <f t="shared" ref="D180:P180" si="33">D23*$B$202</f>
        <v>40400</v>
      </c>
      <c r="E180" s="190">
        <f t="shared" si="33"/>
        <v>40400</v>
      </c>
      <c r="F180" s="190">
        <f t="shared" si="33"/>
        <v>40400</v>
      </c>
      <c r="G180" s="190">
        <f t="shared" si="33"/>
        <v>40400</v>
      </c>
      <c r="H180" s="190">
        <f t="shared" si="33"/>
        <v>40400</v>
      </c>
      <c r="I180" s="190">
        <f t="shared" si="33"/>
        <v>40400</v>
      </c>
      <c r="J180" s="190">
        <f t="shared" si="33"/>
        <v>40400</v>
      </c>
      <c r="K180" s="190">
        <f t="shared" si="33"/>
        <v>40400</v>
      </c>
      <c r="L180" s="190">
        <f t="shared" si="33"/>
        <v>40400</v>
      </c>
      <c r="M180" s="190">
        <f t="shared" si="33"/>
        <v>40400</v>
      </c>
      <c r="N180" s="190">
        <f t="shared" si="33"/>
        <v>40400</v>
      </c>
      <c r="O180" s="190">
        <f t="shared" si="33"/>
        <v>40400</v>
      </c>
      <c r="P180" s="190">
        <f t="shared" si="33"/>
        <v>40400</v>
      </c>
      <c r="Q180" s="173"/>
    </row>
    <row r="181" spans="1:17" s="186" customFormat="1" ht="26" customHeight="1" collapsed="1" x14ac:dyDescent="0.35">
      <c r="A181" s="188" t="s">
        <v>83</v>
      </c>
      <c r="B181" s="189">
        <f>B25*$B$202</f>
        <v>105300</v>
      </c>
      <c r="C181" s="190">
        <f t="shared" ref="C181:C196" si="34">C24*$B$202</f>
        <v>0</v>
      </c>
      <c r="D181" s="190">
        <f t="shared" ref="D181:P181" si="35">D24*$B$202</f>
        <v>8100</v>
      </c>
      <c r="E181" s="190">
        <f t="shared" si="35"/>
        <v>8100</v>
      </c>
      <c r="F181" s="190">
        <f t="shared" si="35"/>
        <v>8100</v>
      </c>
      <c r="G181" s="190">
        <f t="shared" si="35"/>
        <v>8100</v>
      </c>
      <c r="H181" s="190">
        <f t="shared" si="35"/>
        <v>8100</v>
      </c>
      <c r="I181" s="190">
        <f t="shared" si="35"/>
        <v>8100</v>
      </c>
      <c r="J181" s="190">
        <f t="shared" si="35"/>
        <v>8100</v>
      </c>
      <c r="K181" s="190">
        <f t="shared" si="35"/>
        <v>8100</v>
      </c>
      <c r="L181" s="190">
        <f t="shared" si="35"/>
        <v>8100</v>
      </c>
      <c r="M181" s="190">
        <f t="shared" si="35"/>
        <v>8100</v>
      </c>
      <c r="N181" s="190">
        <f t="shared" si="35"/>
        <v>8100</v>
      </c>
      <c r="O181" s="190">
        <f t="shared" si="35"/>
        <v>8100</v>
      </c>
      <c r="P181" s="190">
        <f t="shared" si="35"/>
        <v>8100</v>
      </c>
      <c r="Q181" s="173"/>
    </row>
    <row r="182" spans="1:17" s="186" customFormat="1" ht="26" customHeight="1" collapsed="1" x14ac:dyDescent="0.35">
      <c r="A182" s="188" t="s">
        <v>10</v>
      </c>
      <c r="B182" s="189">
        <f>B28*$B$202</f>
        <v>0</v>
      </c>
      <c r="C182" s="190">
        <f t="shared" si="34"/>
        <v>0</v>
      </c>
      <c r="D182" s="190">
        <f>D28*$B$202</f>
        <v>0</v>
      </c>
      <c r="E182" s="190">
        <f t="shared" ref="E182:P183" si="36">E28*$B$202</f>
        <v>0</v>
      </c>
      <c r="F182" s="190">
        <f t="shared" si="36"/>
        <v>0</v>
      </c>
      <c r="G182" s="190">
        <f t="shared" si="36"/>
        <v>0</v>
      </c>
      <c r="H182" s="190">
        <f t="shared" si="36"/>
        <v>0</v>
      </c>
      <c r="I182" s="190">
        <f t="shared" si="36"/>
        <v>0</v>
      </c>
      <c r="J182" s="190">
        <f t="shared" si="36"/>
        <v>0</v>
      </c>
      <c r="K182" s="190">
        <f t="shared" si="36"/>
        <v>0</v>
      </c>
      <c r="L182" s="190">
        <f t="shared" si="36"/>
        <v>0</v>
      </c>
      <c r="M182" s="190">
        <f t="shared" si="36"/>
        <v>0</v>
      </c>
      <c r="N182" s="190">
        <f t="shared" si="36"/>
        <v>0</v>
      </c>
      <c r="O182" s="190">
        <f t="shared" si="36"/>
        <v>0</v>
      </c>
      <c r="P182" s="190">
        <f t="shared" si="36"/>
        <v>0</v>
      </c>
      <c r="Q182" s="173"/>
    </row>
    <row r="183" spans="1:17" s="186" customFormat="1" ht="26" customHeight="1" collapsed="1" x14ac:dyDescent="0.35">
      <c r="A183" s="188" t="s">
        <v>84</v>
      </c>
      <c r="B183" s="189">
        <f>B30*$B$202</f>
        <v>21450</v>
      </c>
      <c r="C183" s="190">
        <f t="shared" ref="C183" si="37">C29*$B$202</f>
        <v>0</v>
      </c>
      <c r="D183" s="190">
        <f>D29*$B$202</f>
        <v>1650</v>
      </c>
      <c r="E183" s="190">
        <f t="shared" si="36"/>
        <v>1650</v>
      </c>
      <c r="F183" s="190">
        <f t="shared" si="36"/>
        <v>1650</v>
      </c>
      <c r="G183" s="190">
        <f t="shared" si="36"/>
        <v>1650</v>
      </c>
      <c r="H183" s="190">
        <f t="shared" si="36"/>
        <v>1650</v>
      </c>
      <c r="I183" s="190">
        <f t="shared" si="36"/>
        <v>1650</v>
      </c>
      <c r="J183" s="190">
        <f t="shared" si="36"/>
        <v>1650</v>
      </c>
      <c r="K183" s="190">
        <f t="shared" si="36"/>
        <v>1650</v>
      </c>
      <c r="L183" s="190">
        <f t="shared" si="36"/>
        <v>1650</v>
      </c>
      <c r="M183" s="190">
        <f t="shared" si="36"/>
        <v>1650</v>
      </c>
      <c r="N183" s="190">
        <f t="shared" si="36"/>
        <v>1650</v>
      </c>
      <c r="O183" s="190">
        <f t="shared" si="36"/>
        <v>1650</v>
      </c>
      <c r="P183" s="190">
        <f t="shared" si="36"/>
        <v>1650</v>
      </c>
      <c r="Q183" s="173"/>
    </row>
    <row r="184" spans="1:17" s="186" customFormat="1" ht="26" customHeight="1" collapsed="1" x14ac:dyDescent="0.35">
      <c r="A184" s="188" t="s">
        <v>85</v>
      </c>
      <c r="B184" s="189">
        <f>B32*$B$202</f>
        <v>15004.99</v>
      </c>
      <c r="C184" s="190">
        <f t="shared" si="34"/>
        <v>0</v>
      </c>
      <c r="D184" s="190">
        <f>D32*$B$202</f>
        <v>1154.23</v>
      </c>
      <c r="E184" s="190">
        <f t="shared" ref="E184:P184" si="38">E32*$B$202</f>
        <v>1154.23</v>
      </c>
      <c r="F184" s="190">
        <f t="shared" si="38"/>
        <v>1154.23</v>
      </c>
      <c r="G184" s="190">
        <f t="shared" si="38"/>
        <v>1154.23</v>
      </c>
      <c r="H184" s="190">
        <f t="shared" si="38"/>
        <v>1154.23</v>
      </c>
      <c r="I184" s="190">
        <f t="shared" si="38"/>
        <v>1154.23</v>
      </c>
      <c r="J184" s="190">
        <f t="shared" si="38"/>
        <v>1154.23</v>
      </c>
      <c r="K184" s="190">
        <f t="shared" si="38"/>
        <v>1154.23</v>
      </c>
      <c r="L184" s="190">
        <f t="shared" si="38"/>
        <v>1154.23</v>
      </c>
      <c r="M184" s="190">
        <f t="shared" si="38"/>
        <v>1154.23</v>
      </c>
      <c r="N184" s="190">
        <f t="shared" si="38"/>
        <v>1154.23</v>
      </c>
      <c r="O184" s="190">
        <f t="shared" si="38"/>
        <v>1154.23</v>
      </c>
      <c r="P184" s="190">
        <f t="shared" si="38"/>
        <v>1154.23</v>
      </c>
      <c r="Q184" s="173"/>
    </row>
    <row r="185" spans="1:17" s="186" customFormat="1" ht="26" customHeight="1" collapsed="1" x14ac:dyDescent="0.35">
      <c r="A185" s="188" t="s">
        <v>86</v>
      </c>
      <c r="B185" s="189">
        <f>B37*$B$202</f>
        <v>10400</v>
      </c>
      <c r="C185" s="190">
        <f t="shared" si="34"/>
        <v>0</v>
      </c>
      <c r="D185" s="190">
        <f>D37*$B$202</f>
        <v>800</v>
      </c>
      <c r="E185" s="190">
        <f t="shared" ref="E185:P185" si="39">E37*$B$202</f>
        <v>800</v>
      </c>
      <c r="F185" s="190">
        <f t="shared" si="39"/>
        <v>800</v>
      </c>
      <c r="G185" s="190">
        <f t="shared" si="39"/>
        <v>800</v>
      </c>
      <c r="H185" s="190">
        <f t="shared" si="39"/>
        <v>800</v>
      </c>
      <c r="I185" s="190">
        <f t="shared" si="39"/>
        <v>800</v>
      </c>
      <c r="J185" s="190">
        <f t="shared" si="39"/>
        <v>800</v>
      </c>
      <c r="K185" s="190">
        <f t="shared" si="39"/>
        <v>800</v>
      </c>
      <c r="L185" s="190">
        <f t="shared" si="39"/>
        <v>800</v>
      </c>
      <c r="M185" s="190">
        <f t="shared" si="39"/>
        <v>800</v>
      </c>
      <c r="N185" s="190">
        <f t="shared" si="39"/>
        <v>800</v>
      </c>
      <c r="O185" s="190">
        <f t="shared" si="39"/>
        <v>800</v>
      </c>
      <c r="P185" s="190">
        <f t="shared" si="39"/>
        <v>800</v>
      </c>
      <c r="Q185" s="173"/>
    </row>
    <row r="186" spans="1:17" s="186" customFormat="1" ht="26" customHeight="1" collapsed="1" x14ac:dyDescent="0.35">
      <c r="A186" s="188" t="s">
        <v>87</v>
      </c>
      <c r="B186" s="189">
        <f>B40*$B$202</f>
        <v>0</v>
      </c>
      <c r="C186" s="190">
        <f t="shared" si="34"/>
        <v>0</v>
      </c>
      <c r="D186" s="190">
        <f>D40*$B$202</f>
        <v>0</v>
      </c>
      <c r="E186" s="190">
        <f t="shared" ref="E186:P186" si="40">E40*$B$202</f>
        <v>0</v>
      </c>
      <c r="F186" s="190">
        <f t="shared" si="40"/>
        <v>0</v>
      </c>
      <c r="G186" s="190">
        <f t="shared" si="40"/>
        <v>0</v>
      </c>
      <c r="H186" s="190">
        <f t="shared" si="40"/>
        <v>0</v>
      </c>
      <c r="I186" s="190">
        <f t="shared" si="40"/>
        <v>0</v>
      </c>
      <c r="J186" s="190">
        <f t="shared" si="40"/>
        <v>0</v>
      </c>
      <c r="K186" s="190">
        <f t="shared" si="40"/>
        <v>0</v>
      </c>
      <c r="L186" s="190">
        <f t="shared" si="40"/>
        <v>0</v>
      </c>
      <c r="M186" s="190">
        <f t="shared" si="40"/>
        <v>0</v>
      </c>
      <c r="N186" s="190">
        <f t="shared" si="40"/>
        <v>0</v>
      </c>
      <c r="O186" s="190">
        <f t="shared" si="40"/>
        <v>0</v>
      </c>
      <c r="P186" s="190">
        <f t="shared" si="40"/>
        <v>0</v>
      </c>
      <c r="Q186" s="173"/>
    </row>
    <row r="187" spans="1:17" s="186" customFormat="1" ht="26" customHeight="1" collapsed="1" x14ac:dyDescent="0.35">
      <c r="A187" s="188" t="s">
        <v>7</v>
      </c>
      <c r="B187" s="189">
        <f>B76*$B$202</f>
        <v>466660</v>
      </c>
      <c r="C187" s="190">
        <f t="shared" si="34"/>
        <v>0</v>
      </c>
      <c r="D187" s="190">
        <f>D76*$B$202</f>
        <v>55200</v>
      </c>
      <c r="E187" s="190">
        <f t="shared" ref="E187:P187" si="41">E76*$B$202</f>
        <v>25200</v>
      </c>
      <c r="F187" s="190">
        <f t="shared" si="41"/>
        <v>25200</v>
      </c>
      <c r="G187" s="190">
        <f t="shared" si="41"/>
        <v>70200</v>
      </c>
      <c r="H187" s="190">
        <f t="shared" si="41"/>
        <v>25200</v>
      </c>
      <c r="I187" s="190">
        <f t="shared" si="41"/>
        <v>59260</v>
      </c>
      <c r="J187" s="190">
        <f t="shared" si="41"/>
        <v>25200</v>
      </c>
      <c r="K187" s="190">
        <f t="shared" si="41"/>
        <v>25200</v>
      </c>
      <c r="L187" s="190">
        <f t="shared" si="41"/>
        <v>25200</v>
      </c>
      <c r="M187" s="190">
        <f t="shared" si="41"/>
        <v>25200</v>
      </c>
      <c r="N187" s="190">
        <f t="shared" si="41"/>
        <v>25200</v>
      </c>
      <c r="O187" s="190">
        <f t="shared" si="41"/>
        <v>55200</v>
      </c>
      <c r="P187" s="190">
        <f t="shared" si="41"/>
        <v>25200</v>
      </c>
      <c r="Q187" s="173"/>
    </row>
    <row r="188" spans="1:17" s="186" customFormat="1" ht="26" customHeight="1" collapsed="1" x14ac:dyDescent="0.35">
      <c r="A188" s="188" t="s">
        <v>88</v>
      </c>
      <c r="B188" s="189">
        <f>B78*$B$202</f>
        <v>9100</v>
      </c>
      <c r="C188" s="190">
        <f t="shared" si="34"/>
        <v>0</v>
      </c>
      <c r="D188" s="190">
        <f>D78*$B$202</f>
        <v>700</v>
      </c>
      <c r="E188" s="190">
        <f t="shared" ref="E188:P188" si="42">E78*$B$202</f>
        <v>700</v>
      </c>
      <c r="F188" s="190">
        <f t="shared" si="42"/>
        <v>700</v>
      </c>
      <c r="G188" s="190">
        <f t="shared" si="42"/>
        <v>700</v>
      </c>
      <c r="H188" s="190">
        <f t="shared" si="42"/>
        <v>700</v>
      </c>
      <c r="I188" s="190">
        <f t="shared" si="42"/>
        <v>700</v>
      </c>
      <c r="J188" s="190">
        <f t="shared" si="42"/>
        <v>700</v>
      </c>
      <c r="K188" s="190">
        <f t="shared" si="42"/>
        <v>700</v>
      </c>
      <c r="L188" s="190">
        <f t="shared" si="42"/>
        <v>700</v>
      </c>
      <c r="M188" s="190">
        <f t="shared" si="42"/>
        <v>700</v>
      </c>
      <c r="N188" s="190">
        <f t="shared" si="42"/>
        <v>700</v>
      </c>
      <c r="O188" s="190">
        <f t="shared" si="42"/>
        <v>700</v>
      </c>
      <c r="P188" s="190">
        <f t="shared" si="42"/>
        <v>700</v>
      </c>
      <c r="Q188" s="173"/>
    </row>
    <row r="189" spans="1:17" s="186" customFormat="1" ht="26" customHeight="1" collapsed="1" x14ac:dyDescent="0.35">
      <c r="A189" s="188" t="s">
        <v>0</v>
      </c>
      <c r="B189" s="189">
        <f>B80*$B$202</f>
        <v>4560385.888065788</v>
      </c>
      <c r="C189" s="190">
        <f t="shared" si="34"/>
        <v>0</v>
      </c>
      <c r="D189" s="190">
        <f>D80*$B$202</f>
        <v>322085.45119736833</v>
      </c>
      <c r="E189" s="190">
        <f t="shared" ref="E189:P189" si="43">E80*$B$202</f>
        <v>322085.45119736833</v>
      </c>
      <c r="F189" s="190">
        <f t="shared" si="43"/>
        <v>322085.45119736833</v>
      </c>
      <c r="G189" s="190">
        <f t="shared" si="43"/>
        <v>322085.45119736833</v>
      </c>
      <c r="H189" s="190">
        <f t="shared" si="43"/>
        <v>428735.45762593986</v>
      </c>
      <c r="I189" s="190">
        <f t="shared" si="43"/>
        <v>322085.45119736833</v>
      </c>
      <c r="J189" s="190">
        <f t="shared" si="43"/>
        <v>322085.45119736833</v>
      </c>
      <c r="K189" s="190">
        <f t="shared" si="43"/>
        <v>322085.45119736833</v>
      </c>
      <c r="L189" s="190">
        <f t="shared" si="43"/>
        <v>322085.45119736833</v>
      </c>
      <c r="M189" s="190">
        <f t="shared" si="43"/>
        <v>322085.45119736833</v>
      </c>
      <c r="N189" s="190">
        <f t="shared" si="43"/>
        <v>322085.45119736833</v>
      </c>
      <c r="O189" s="190">
        <f t="shared" si="43"/>
        <v>588710.46726879687</v>
      </c>
      <c r="P189" s="190">
        <f t="shared" si="43"/>
        <v>322085.45119736833</v>
      </c>
      <c r="Q189" s="173"/>
    </row>
    <row r="190" spans="1:17" s="186" customFormat="1" ht="26" customHeight="1" collapsed="1" x14ac:dyDescent="0.35">
      <c r="A190" s="188" t="s">
        <v>89</v>
      </c>
      <c r="B190" s="189">
        <f>B84*$B$202</f>
        <v>19500</v>
      </c>
      <c r="C190" s="190">
        <f t="shared" si="34"/>
        <v>0</v>
      </c>
      <c r="D190" s="190">
        <f>D84*$B$202</f>
        <v>1500</v>
      </c>
      <c r="E190" s="190">
        <f t="shared" ref="E190:P190" si="44">E84*$B$202</f>
        <v>1500</v>
      </c>
      <c r="F190" s="190">
        <f t="shared" si="44"/>
        <v>1500</v>
      </c>
      <c r="G190" s="190">
        <f t="shared" si="44"/>
        <v>1500</v>
      </c>
      <c r="H190" s="190">
        <f t="shared" si="44"/>
        <v>1500</v>
      </c>
      <c r="I190" s="190">
        <f t="shared" si="44"/>
        <v>1500</v>
      </c>
      <c r="J190" s="190">
        <f t="shared" si="44"/>
        <v>1500</v>
      </c>
      <c r="K190" s="190">
        <f t="shared" si="44"/>
        <v>1500</v>
      </c>
      <c r="L190" s="190">
        <f t="shared" si="44"/>
        <v>1500</v>
      </c>
      <c r="M190" s="190">
        <f t="shared" si="44"/>
        <v>1500</v>
      </c>
      <c r="N190" s="190">
        <f t="shared" si="44"/>
        <v>1500</v>
      </c>
      <c r="O190" s="190">
        <f t="shared" si="44"/>
        <v>1500</v>
      </c>
      <c r="P190" s="190">
        <f t="shared" si="44"/>
        <v>1500</v>
      </c>
      <c r="Q190" s="173"/>
    </row>
    <row r="191" spans="1:17" s="186" customFormat="1" ht="26" customHeight="1" collapsed="1" x14ac:dyDescent="0.35">
      <c r="A191" s="188" t="s">
        <v>4</v>
      </c>
      <c r="B191" s="189">
        <f>B148*$B$202</f>
        <v>18418750</v>
      </c>
      <c r="C191" s="190">
        <f t="shared" si="34"/>
        <v>0</v>
      </c>
      <c r="D191" s="190">
        <f>D148*$B$202</f>
        <v>1410750</v>
      </c>
      <c r="E191" s="190">
        <f t="shared" ref="E191:P191" si="45">E148*$B$202</f>
        <v>1416750</v>
      </c>
      <c r="F191" s="190">
        <f t="shared" si="45"/>
        <v>1407750</v>
      </c>
      <c r="G191" s="190">
        <f t="shared" si="45"/>
        <v>1407750</v>
      </c>
      <c r="H191" s="190">
        <f t="shared" si="45"/>
        <v>1407750</v>
      </c>
      <c r="I191" s="190">
        <f t="shared" si="45"/>
        <v>1410750</v>
      </c>
      <c r="J191" s="190">
        <f t="shared" si="45"/>
        <v>1407750</v>
      </c>
      <c r="K191" s="190">
        <f t="shared" si="45"/>
        <v>1407750</v>
      </c>
      <c r="L191" s="190">
        <f t="shared" si="45"/>
        <v>1407750</v>
      </c>
      <c r="M191" s="190">
        <f t="shared" si="45"/>
        <v>1407750</v>
      </c>
      <c r="N191" s="190">
        <f t="shared" si="45"/>
        <v>1407750</v>
      </c>
      <c r="O191" s="190">
        <f t="shared" si="45"/>
        <v>1410750</v>
      </c>
      <c r="P191" s="190">
        <f t="shared" si="45"/>
        <v>1507750</v>
      </c>
      <c r="Q191" s="173"/>
    </row>
    <row r="192" spans="1:17" s="186" customFormat="1" ht="26" customHeight="1" collapsed="1" x14ac:dyDescent="0.35">
      <c r="A192" s="188" t="s">
        <v>90</v>
      </c>
      <c r="B192" s="189">
        <f>B150*$B$202</f>
        <v>65000</v>
      </c>
      <c r="C192" s="190">
        <f t="shared" si="34"/>
        <v>0</v>
      </c>
      <c r="D192" s="190">
        <f>D150*$B$202</f>
        <v>5000</v>
      </c>
      <c r="E192" s="190">
        <f t="shared" ref="E192:P192" si="46">E150*$B$202</f>
        <v>5000</v>
      </c>
      <c r="F192" s="190">
        <f t="shared" si="46"/>
        <v>5000</v>
      </c>
      <c r="G192" s="190">
        <f t="shared" si="46"/>
        <v>5000</v>
      </c>
      <c r="H192" s="190">
        <f t="shared" si="46"/>
        <v>5000</v>
      </c>
      <c r="I192" s="190">
        <f t="shared" si="46"/>
        <v>5000</v>
      </c>
      <c r="J192" s="190">
        <f t="shared" si="46"/>
        <v>5000</v>
      </c>
      <c r="K192" s="190">
        <f t="shared" si="46"/>
        <v>5000</v>
      </c>
      <c r="L192" s="190">
        <f t="shared" si="46"/>
        <v>5000</v>
      </c>
      <c r="M192" s="190">
        <f t="shared" si="46"/>
        <v>5000</v>
      </c>
      <c r="N192" s="190">
        <f t="shared" si="46"/>
        <v>5000</v>
      </c>
      <c r="O192" s="190">
        <f t="shared" si="46"/>
        <v>5000</v>
      </c>
      <c r="P192" s="190">
        <f t="shared" si="46"/>
        <v>5000</v>
      </c>
      <c r="Q192" s="173"/>
    </row>
    <row r="193" spans="1:17" s="186" customFormat="1" ht="26" customHeight="1" collapsed="1" x14ac:dyDescent="0.35">
      <c r="A193" s="188" t="s">
        <v>91</v>
      </c>
      <c r="B193" s="189">
        <f>B152*$B$202</f>
        <v>29388.84</v>
      </c>
      <c r="C193" s="190">
        <f t="shared" si="34"/>
        <v>0</v>
      </c>
      <c r="D193" s="190">
        <f>D152*$B$202</f>
        <v>2260.6799999999998</v>
      </c>
      <c r="E193" s="190">
        <f t="shared" ref="E193:P193" si="47">E152*$B$202</f>
        <v>2260.6799999999998</v>
      </c>
      <c r="F193" s="190">
        <f t="shared" si="47"/>
        <v>2260.6799999999998</v>
      </c>
      <c r="G193" s="190">
        <f t="shared" si="47"/>
        <v>2260.6799999999998</v>
      </c>
      <c r="H193" s="190">
        <f t="shared" si="47"/>
        <v>2260.6799999999998</v>
      </c>
      <c r="I193" s="190">
        <f t="shared" si="47"/>
        <v>2260.6799999999998</v>
      </c>
      <c r="J193" s="190">
        <f t="shared" si="47"/>
        <v>2260.6799999999998</v>
      </c>
      <c r="K193" s="190">
        <f t="shared" si="47"/>
        <v>2260.6799999999998</v>
      </c>
      <c r="L193" s="190">
        <f t="shared" si="47"/>
        <v>2260.6799999999998</v>
      </c>
      <c r="M193" s="190">
        <f t="shared" si="47"/>
        <v>2260.6799999999998</v>
      </c>
      <c r="N193" s="190">
        <f t="shared" si="47"/>
        <v>2260.6799999999998</v>
      </c>
      <c r="O193" s="190">
        <f t="shared" si="47"/>
        <v>2260.6799999999998</v>
      </c>
      <c r="P193" s="190">
        <f t="shared" si="47"/>
        <v>2260.6799999999998</v>
      </c>
      <c r="Q193" s="173"/>
    </row>
    <row r="194" spans="1:17" s="186" customFormat="1" ht="26" customHeight="1" collapsed="1" x14ac:dyDescent="0.35">
      <c r="A194" s="188" t="s">
        <v>92</v>
      </c>
      <c r="B194" s="189">
        <f>B154*$B$202</f>
        <v>37440</v>
      </c>
      <c r="C194" s="190">
        <f t="shared" si="34"/>
        <v>0</v>
      </c>
      <c r="D194" s="190">
        <f>D154*$B$202</f>
        <v>2880</v>
      </c>
      <c r="E194" s="190">
        <f t="shared" ref="E194:P194" si="48">E154*$B$202</f>
        <v>2880</v>
      </c>
      <c r="F194" s="190">
        <f t="shared" si="48"/>
        <v>2880</v>
      </c>
      <c r="G194" s="190">
        <f t="shared" si="48"/>
        <v>2880</v>
      </c>
      <c r="H194" s="190">
        <f t="shared" si="48"/>
        <v>2880</v>
      </c>
      <c r="I194" s="190">
        <f t="shared" si="48"/>
        <v>2880</v>
      </c>
      <c r="J194" s="190">
        <f t="shared" si="48"/>
        <v>2880</v>
      </c>
      <c r="K194" s="190">
        <f t="shared" si="48"/>
        <v>2880</v>
      </c>
      <c r="L194" s="190">
        <f t="shared" si="48"/>
        <v>2880</v>
      </c>
      <c r="M194" s="190">
        <f t="shared" si="48"/>
        <v>2880</v>
      </c>
      <c r="N194" s="190">
        <f t="shared" si="48"/>
        <v>2880</v>
      </c>
      <c r="O194" s="190">
        <f t="shared" si="48"/>
        <v>2880</v>
      </c>
      <c r="P194" s="190">
        <f t="shared" si="48"/>
        <v>2880</v>
      </c>
      <c r="Q194" s="173"/>
    </row>
    <row r="195" spans="1:17" s="186" customFormat="1" ht="26" customHeight="1" collapsed="1" x14ac:dyDescent="0.35">
      <c r="A195" s="188" t="s">
        <v>5</v>
      </c>
      <c r="B195" s="189">
        <f>B157*$B$202</f>
        <v>360360</v>
      </c>
      <c r="C195" s="190">
        <f t="shared" si="34"/>
        <v>0</v>
      </c>
      <c r="D195" s="190">
        <f>D157*$B$202</f>
        <v>27720</v>
      </c>
      <c r="E195" s="190">
        <f t="shared" ref="E195:P195" si="49">E157*$B$202</f>
        <v>27720</v>
      </c>
      <c r="F195" s="190">
        <f t="shared" si="49"/>
        <v>27720</v>
      </c>
      <c r="G195" s="190">
        <f t="shared" si="49"/>
        <v>27720</v>
      </c>
      <c r="H195" s="190">
        <f t="shared" si="49"/>
        <v>27720</v>
      </c>
      <c r="I195" s="190">
        <f t="shared" si="49"/>
        <v>27720</v>
      </c>
      <c r="J195" s="190">
        <f t="shared" si="49"/>
        <v>27720</v>
      </c>
      <c r="K195" s="190">
        <f t="shared" si="49"/>
        <v>27720</v>
      </c>
      <c r="L195" s="190">
        <f t="shared" si="49"/>
        <v>27720</v>
      </c>
      <c r="M195" s="190">
        <f t="shared" si="49"/>
        <v>27720</v>
      </c>
      <c r="N195" s="190">
        <f t="shared" si="49"/>
        <v>27720</v>
      </c>
      <c r="O195" s="190">
        <f t="shared" si="49"/>
        <v>27720</v>
      </c>
      <c r="P195" s="190">
        <f t="shared" si="49"/>
        <v>27720</v>
      </c>
      <c r="Q195" s="173"/>
    </row>
    <row r="196" spans="1:17" s="186" customFormat="1" ht="26" customHeight="1" collapsed="1" x14ac:dyDescent="0.35">
      <c r="A196" s="188" t="s">
        <v>6</v>
      </c>
      <c r="B196" s="189">
        <f>B165*$B$202</f>
        <v>117000</v>
      </c>
      <c r="C196" s="190">
        <f t="shared" si="34"/>
        <v>0</v>
      </c>
      <c r="D196" s="190">
        <f>D165*$B$202</f>
        <v>9000</v>
      </c>
      <c r="E196" s="190">
        <f t="shared" ref="E196:P196" si="50">E165*$B$202</f>
        <v>9000</v>
      </c>
      <c r="F196" s="190">
        <f t="shared" si="50"/>
        <v>9000</v>
      </c>
      <c r="G196" s="190">
        <f t="shared" si="50"/>
        <v>9000</v>
      </c>
      <c r="H196" s="190">
        <f t="shared" si="50"/>
        <v>9000</v>
      </c>
      <c r="I196" s="190">
        <f t="shared" si="50"/>
        <v>9000</v>
      </c>
      <c r="J196" s="190">
        <f t="shared" si="50"/>
        <v>9000</v>
      </c>
      <c r="K196" s="190">
        <f t="shared" si="50"/>
        <v>9000</v>
      </c>
      <c r="L196" s="190">
        <f t="shared" si="50"/>
        <v>9000</v>
      </c>
      <c r="M196" s="190">
        <f t="shared" si="50"/>
        <v>9000</v>
      </c>
      <c r="N196" s="190">
        <f t="shared" si="50"/>
        <v>9000</v>
      </c>
      <c r="O196" s="190">
        <f t="shared" si="50"/>
        <v>9000</v>
      </c>
      <c r="P196" s="190">
        <f t="shared" si="50"/>
        <v>9000</v>
      </c>
      <c r="Q196" s="173"/>
    </row>
    <row r="197" spans="1:17" ht="26" customHeight="1" x14ac:dyDescent="0.35">
      <c r="A197" s="175" t="s">
        <v>54</v>
      </c>
      <c r="B197" s="193">
        <f>B166*$B$202</f>
        <v>25396939.718065787</v>
      </c>
      <c r="C197" s="193">
        <f>C166*$B$202</f>
        <v>0</v>
      </c>
      <c r="D197" s="193">
        <f t="shared" ref="D197:P197" si="51">D166*$B$202</f>
        <v>1889200.3611973682</v>
      </c>
      <c r="E197" s="193">
        <f t="shared" si="51"/>
        <v>2501200.3611973682</v>
      </c>
      <c r="F197" s="193">
        <f t="shared" si="51"/>
        <v>1856200.3611973682</v>
      </c>
      <c r="G197" s="193">
        <f t="shared" si="51"/>
        <v>1901200.3611973682</v>
      </c>
      <c r="H197" s="193">
        <f t="shared" si="51"/>
        <v>1962850.3676259399</v>
      </c>
      <c r="I197" s="193">
        <f t="shared" si="51"/>
        <v>1893260.3611973682</v>
      </c>
      <c r="J197" s="193">
        <f t="shared" si="51"/>
        <v>1856200.3611973682</v>
      </c>
      <c r="K197" s="193">
        <f t="shared" si="51"/>
        <v>1856200.3611973682</v>
      </c>
      <c r="L197" s="193">
        <f t="shared" si="51"/>
        <v>1856200.3611973682</v>
      </c>
      <c r="M197" s="193">
        <f t="shared" si="51"/>
        <v>1856200.3611973682</v>
      </c>
      <c r="N197" s="193">
        <f t="shared" si="51"/>
        <v>1856200.3611973682</v>
      </c>
      <c r="O197" s="193">
        <f t="shared" si="51"/>
        <v>2155825.3772687968</v>
      </c>
      <c r="P197" s="193">
        <f t="shared" si="51"/>
        <v>1956200.3611973682</v>
      </c>
    </row>
    <row r="198" spans="1:17" s="186" customFormat="1" ht="26" customHeight="1" x14ac:dyDescent="0.35">
      <c r="A198" s="194" t="s">
        <v>232</v>
      </c>
      <c r="B198" s="195">
        <f>B175-B197</f>
        <v>27265357.881934207</v>
      </c>
      <c r="C198" s="195">
        <f>C197</f>
        <v>0</v>
      </c>
      <c r="D198" s="195">
        <f t="shared" ref="D198:P198" si="52">C198+D197</f>
        <v>1889200.3611973682</v>
      </c>
      <c r="E198" s="195">
        <f t="shared" si="52"/>
        <v>4390400.7223947365</v>
      </c>
      <c r="F198" s="195">
        <f t="shared" si="52"/>
        <v>6246601.0835921047</v>
      </c>
      <c r="G198" s="195">
        <f t="shared" si="52"/>
        <v>8147801.444789473</v>
      </c>
      <c r="H198" s="195">
        <f t="shared" si="52"/>
        <v>10110651.812415414</v>
      </c>
      <c r="I198" s="195">
        <f t="shared" si="52"/>
        <v>12003912.173612781</v>
      </c>
      <c r="J198" s="195">
        <f t="shared" si="52"/>
        <v>13860112.534810148</v>
      </c>
      <c r="K198" s="195">
        <f t="shared" si="52"/>
        <v>15716312.896007515</v>
      </c>
      <c r="L198" s="195">
        <f t="shared" si="52"/>
        <v>17572513.257204883</v>
      </c>
      <c r="M198" s="195">
        <f t="shared" si="52"/>
        <v>19428713.61840225</v>
      </c>
      <c r="N198" s="195">
        <f t="shared" si="52"/>
        <v>21284913.979599617</v>
      </c>
      <c r="O198" s="195">
        <f t="shared" si="52"/>
        <v>23440739.356868416</v>
      </c>
      <c r="P198" s="195">
        <f t="shared" si="52"/>
        <v>25396939.718065783</v>
      </c>
      <c r="Q198" s="173"/>
    </row>
    <row r="199" spans="1:17" ht="26" customHeight="1" x14ac:dyDescent="0.35">
      <c r="B199" s="196">
        <f>1-(B197/B175)</f>
        <v>0.51773961875021213</v>
      </c>
    </row>
    <row r="201" spans="1:17" ht="26" customHeight="1" x14ac:dyDescent="0.35">
      <c r="A201" s="300" t="s">
        <v>386</v>
      </c>
      <c r="B201" s="301"/>
    </row>
    <row r="202" spans="1:17" ht="26" customHeight="1" x14ac:dyDescent="0.35">
      <c r="A202" s="212" t="s">
        <v>387</v>
      </c>
      <c r="B202" s="198">
        <f>PREMISAS!I23</f>
        <v>20</v>
      </c>
    </row>
    <row r="203" spans="1:17" ht="26" customHeight="1" x14ac:dyDescent="0.35">
      <c r="A203" s="213" t="s">
        <v>388</v>
      </c>
      <c r="B203" s="199">
        <f>PREMISAS!I24</f>
        <v>30.4</v>
      </c>
    </row>
    <row r="204" spans="1:17" ht="26" customHeight="1" x14ac:dyDescent="0.35">
      <c r="A204" s="214" t="s">
        <v>389</v>
      </c>
      <c r="B204" s="200">
        <f>PREMISAS!I25</f>
        <v>45</v>
      </c>
    </row>
    <row r="205" spans="1:17" ht="26" customHeight="1" x14ac:dyDescent="0.35">
      <c r="A205" s="215" t="s">
        <v>390</v>
      </c>
      <c r="B205" s="201">
        <f>PREMISAS!I26</f>
        <v>10.5</v>
      </c>
    </row>
    <row r="206" spans="1:17" ht="26" customHeight="1" x14ac:dyDescent="0.35">
      <c r="A206" s="216" t="s">
        <v>391</v>
      </c>
      <c r="B206" s="202">
        <f>PREMISAS!I27</f>
        <v>22</v>
      </c>
    </row>
    <row r="207" spans="1:17" ht="26" customHeight="1" x14ac:dyDescent="0.35">
      <c r="A207" s="217" t="s">
        <v>392</v>
      </c>
      <c r="B207" s="198">
        <f>PREMISAS!I28</f>
        <v>23</v>
      </c>
    </row>
  </sheetData>
  <mergeCells count="2">
    <mergeCell ref="A1:B1"/>
    <mergeCell ref="A201:B201"/>
  </mergeCells>
  <phoneticPr fontId="33" type="noConversion"/>
  <conditionalFormatting sqref="Q8:Q165 Q167:Q16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T65"/>
  <sheetViews>
    <sheetView topLeftCell="A10" zoomScale="40" zoomScaleNormal="40" zoomScalePageLayoutView="50" workbookViewId="0">
      <selection activeCell="X121" sqref="X121"/>
    </sheetView>
  </sheetViews>
  <sheetFormatPr baseColWidth="10" defaultColWidth="10.5" defaultRowHeight="14.5" x14ac:dyDescent="0.35"/>
  <sheetData>
    <row r="65" spans="46:46" x14ac:dyDescent="0.35">
      <c r="AT65" s="8"/>
    </row>
  </sheetData>
  <pageMargins left="0.75" right="0.75" top="1" bottom="1" header="0.5" footer="0.5"/>
  <pageSetup orientation="portrait" horizontalDpi="4294967292" verticalDpi="42949672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2:R58"/>
  <sheetViews>
    <sheetView topLeftCell="A3" zoomScale="76" zoomScaleNormal="70" zoomScalePageLayoutView="60" workbookViewId="0">
      <selection activeCell="N62" sqref="N62"/>
    </sheetView>
  </sheetViews>
  <sheetFormatPr baseColWidth="10" defaultRowHeight="14.5" x14ac:dyDescent="0.35"/>
  <cols>
    <col min="2" max="2" width="31.33203125" bestFit="1" customWidth="1"/>
    <col min="3" max="7" width="11.5" bestFit="1" customWidth="1"/>
    <col min="8" max="8" width="11.33203125" bestFit="1" customWidth="1"/>
    <col min="9" max="13" width="11.5" bestFit="1" customWidth="1"/>
    <col min="14" max="14" width="11.33203125" bestFit="1" customWidth="1"/>
    <col min="15" max="15" width="14.33203125" customWidth="1"/>
    <col min="17" max="17" width="14.33203125" customWidth="1"/>
    <col min="18" max="18" width="16.83203125" customWidth="1"/>
  </cols>
  <sheetData>
    <row r="32" spans="2:18" s="93" customFormat="1" x14ac:dyDescent="0.35">
      <c r="B32" s="94" t="s">
        <v>27</v>
      </c>
      <c r="C32" s="93" t="s">
        <v>315</v>
      </c>
      <c r="D32" s="93" t="s">
        <v>74</v>
      </c>
      <c r="E32" s="93" t="s">
        <v>58</v>
      </c>
      <c r="F32" s="93" t="s">
        <v>59</v>
      </c>
      <c r="G32" s="93" t="s">
        <v>60</v>
      </c>
      <c r="H32" s="93" t="s">
        <v>61</v>
      </c>
      <c r="I32" s="93" t="s">
        <v>62</v>
      </c>
      <c r="J32" s="93" t="s">
        <v>63</v>
      </c>
      <c r="K32" s="93" t="s">
        <v>64</v>
      </c>
      <c r="L32" s="93" t="s">
        <v>65</v>
      </c>
      <c r="M32" s="93" t="s">
        <v>66</v>
      </c>
      <c r="N32" s="93" t="s">
        <v>67</v>
      </c>
      <c r="O32" s="93" t="s">
        <v>68</v>
      </c>
      <c r="P32" s="93" t="s">
        <v>313</v>
      </c>
      <c r="Q32" s="93" t="s">
        <v>314</v>
      </c>
      <c r="R32" s="94" t="s">
        <v>312</v>
      </c>
    </row>
    <row r="33" spans="1:18" x14ac:dyDescent="0.35">
      <c r="A33" s="93">
        <v>1</v>
      </c>
      <c r="B33" s="93" t="str">
        <f>SERVICIO!A23</f>
        <v>ARRENDA DE INMUEBLES Y SERV</v>
      </c>
      <c r="C33" s="91">
        <f>SERVICIO!C23</f>
        <v>0</v>
      </c>
      <c r="D33" s="91">
        <f>SERVICIO!D23</f>
        <v>2020</v>
      </c>
      <c r="E33" s="91">
        <f>SERVICIO!E23</f>
        <v>2020</v>
      </c>
      <c r="F33" s="91">
        <f>SERVICIO!F23</f>
        <v>2020</v>
      </c>
      <c r="G33" s="91">
        <f>SERVICIO!G23</f>
        <v>2020</v>
      </c>
      <c r="H33" s="91">
        <f>SERVICIO!H23</f>
        <v>2020</v>
      </c>
      <c r="I33" s="91">
        <f>SERVICIO!I23</f>
        <v>2020</v>
      </c>
      <c r="J33" s="91">
        <f>SERVICIO!J23</f>
        <v>2020</v>
      </c>
      <c r="K33" s="91">
        <f>SERVICIO!K23</f>
        <v>2020</v>
      </c>
      <c r="L33" s="91">
        <f>SERVICIO!L23</f>
        <v>2020</v>
      </c>
      <c r="M33" s="91">
        <f>SERVICIO!M23</f>
        <v>2020</v>
      </c>
      <c r="N33" s="91">
        <f>SERVICIO!N23</f>
        <v>2020</v>
      </c>
      <c r="O33" s="91">
        <f>SERVICIO!O23</f>
        <v>2020</v>
      </c>
      <c r="P33" s="91">
        <f>SERVICIO!P23</f>
        <v>2020</v>
      </c>
      <c r="Q33" s="91" t="e">
        <f>SERVICIO!#REF!</f>
        <v>#REF!</v>
      </c>
      <c r="R33" s="91">
        <f>SERVICIO!B23</f>
        <v>26260</v>
      </c>
    </row>
    <row r="34" spans="1:18" x14ac:dyDescent="0.35">
      <c r="A34" s="93">
        <v>2</v>
      </c>
      <c r="B34" s="93" t="str">
        <f>SERVICIO!A25</f>
        <v>ARTICULOS DE SEGURIDAD</v>
      </c>
      <c r="C34" s="91">
        <f>SERVICIO!C25</f>
        <v>0</v>
      </c>
      <c r="D34" s="91">
        <f>SERVICIO!D25</f>
        <v>405</v>
      </c>
      <c r="E34" s="91">
        <f>SERVICIO!E25</f>
        <v>405</v>
      </c>
      <c r="F34" s="91">
        <f>SERVICIO!F25</f>
        <v>405</v>
      </c>
      <c r="G34" s="91">
        <f>SERVICIO!G25</f>
        <v>405</v>
      </c>
      <c r="H34" s="91">
        <f>SERVICIO!H25</f>
        <v>405</v>
      </c>
      <c r="I34" s="91">
        <f>SERVICIO!I25</f>
        <v>405</v>
      </c>
      <c r="J34" s="91">
        <f>SERVICIO!J25</f>
        <v>405</v>
      </c>
      <c r="K34" s="91">
        <f>SERVICIO!K25</f>
        <v>405</v>
      </c>
      <c r="L34" s="91">
        <f>SERVICIO!L25</f>
        <v>405</v>
      </c>
      <c r="M34" s="91">
        <f>SERVICIO!M25</f>
        <v>405</v>
      </c>
      <c r="N34" s="91">
        <f>SERVICIO!N25</f>
        <v>405</v>
      </c>
      <c r="O34" s="91">
        <f>SERVICIO!O25</f>
        <v>405</v>
      </c>
      <c r="P34" s="91">
        <f>SERVICIO!P25</f>
        <v>405</v>
      </c>
      <c r="Q34" s="91" t="e">
        <f>SERVICIO!#REF!</f>
        <v>#REF!</v>
      </c>
      <c r="R34" s="91">
        <f>SERVICIO!B25</f>
        <v>5265</v>
      </c>
    </row>
    <row r="35" spans="1:18" x14ac:dyDescent="0.35">
      <c r="A35" s="93">
        <v>3</v>
      </c>
      <c r="B35" s="93" t="str">
        <f>SERVICIO!A28</f>
        <v>EQUIPO DE COMPUTO</v>
      </c>
      <c r="C35" s="92">
        <f>SERVICIO!C28</f>
        <v>0</v>
      </c>
      <c r="D35" s="92">
        <f>SERVICIO!D28</f>
        <v>0</v>
      </c>
      <c r="E35" s="92">
        <f>SERVICIO!E28</f>
        <v>0</v>
      </c>
      <c r="F35" s="92">
        <f>SERVICIO!F28</f>
        <v>0</v>
      </c>
      <c r="G35" s="92">
        <f>SERVICIO!G28</f>
        <v>0</v>
      </c>
      <c r="H35" s="92">
        <f>SERVICIO!H28</f>
        <v>0</v>
      </c>
      <c r="I35" s="92">
        <f>SERVICIO!I28</f>
        <v>0</v>
      </c>
      <c r="J35" s="92">
        <f>SERVICIO!J28</f>
        <v>0</v>
      </c>
      <c r="K35" s="92">
        <f>SERVICIO!K28</f>
        <v>0</v>
      </c>
      <c r="L35" s="92">
        <f>SERVICIO!L28</f>
        <v>0</v>
      </c>
      <c r="M35" s="92">
        <f>SERVICIO!M28</f>
        <v>0</v>
      </c>
      <c r="N35" s="92">
        <f>SERVICIO!N28</f>
        <v>0</v>
      </c>
      <c r="O35" s="92">
        <f>SERVICIO!O28</f>
        <v>0</v>
      </c>
      <c r="P35" s="92">
        <f>SERVICIO!P28</f>
        <v>0</v>
      </c>
      <c r="Q35" s="92" t="e">
        <f>SERVICIO!#REF!</f>
        <v>#REF!</v>
      </c>
      <c r="R35" s="92">
        <f>SERVICIO!B28</f>
        <v>0</v>
      </c>
    </row>
    <row r="36" spans="1:18" x14ac:dyDescent="0.35">
      <c r="A36" s="93">
        <v>4</v>
      </c>
      <c r="B36" s="93" t="str">
        <f>SERVICIO!A30</f>
        <v>EQUIPOS Y ENSERES</v>
      </c>
      <c r="C36" s="92">
        <f>SERVICIO!C30</f>
        <v>0</v>
      </c>
      <c r="D36" s="92">
        <f>SERVICIO!D30</f>
        <v>82.5</v>
      </c>
      <c r="E36" s="92">
        <f>SERVICIO!E30</f>
        <v>82.5</v>
      </c>
      <c r="F36" s="92">
        <f>SERVICIO!F30</f>
        <v>82.5</v>
      </c>
      <c r="G36" s="92">
        <f>SERVICIO!G30</f>
        <v>82.5</v>
      </c>
      <c r="H36" s="92">
        <f>SERVICIO!H30</f>
        <v>82.5</v>
      </c>
      <c r="I36" s="92">
        <f>SERVICIO!I30</f>
        <v>82.5</v>
      </c>
      <c r="J36" s="92">
        <f>SERVICIO!J30</f>
        <v>82.5</v>
      </c>
      <c r="K36" s="92">
        <f>SERVICIO!K30</f>
        <v>82.5</v>
      </c>
      <c r="L36" s="92">
        <f>SERVICIO!L30</f>
        <v>82.5</v>
      </c>
      <c r="M36" s="92">
        <f>SERVICIO!M30</f>
        <v>82.5</v>
      </c>
      <c r="N36" s="92">
        <f>SERVICIO!N30</f>
        <v>82.5</v>
      </c>
      <c r="O36" s="92">
        <f>SERVICIO!O30</f>
        <v>82.5</v>
      </c>
      <c r="P36" s="92">
        <f>SERVICIO!P30</f>
        <v>82.5</v>
      </c>
      <c r="Q36" s="92" t="e">
        <f>SERVICIO!#REF!</f>
        <v>#REF!</v>
      </c>
      <c r="R36" s="92">
        <f>SERVICIO!B30</f>
        <v>1072.5</v>
      </c>
    </row>
    <row r="37" spans="1:18" x14ac:dyDescent="0.35">
      <c r="A37" s="93">
        <v>5</v>
      </c>
      <c r="B37" s="93" t="str">
        <f>SERVICIO!A32</f>
        <v>INSUMOS AGRICOLAS</v>
      </c>
      <c r="C37" s="92">
        <f>SERVICIO!C32</f>
        <v>0</v>
      </c>
      <c r="D37" s="92">
        <f>SERVICIO!D32</f>
        <v>57.711500000000001</v>
      </c>
      <c r="E37" s="92">
        <f>SERVICIO!E32</f>
        <v>57.711500000000001</v>
      </c>
      <c r="F37" s="92">
        <f>SERVICIO!F32</f>
        <v>57.711500000000001</v>
      </c>
      <c r="G37" s="92">
        <f>SERVICIO!G32</f>
        <v>57.711500000000001</v>
      </c>
      <c r="H37" s="92">
        <f>SERVICIO!H32</f>
        <v>57.711500000000001</v>
      </c>
      <c r="I37" s="92">
        <f>SERVICIO!I32</f>
        <v>57.711500000000001</v>
      </c>
      <c r="J37" s="92">
        <f>SERVICIO!J32</f>
        <v>57.711500000000001</v>
      </c>
      <c r="K37" s="92">
        <f>SERVICIO!K32</f>
        <v>57.711500000000001</v>
      </c>
      <c r="L37" s="92">
        <f>SERVICIO!L32</f>
        <v>57.711500000000001</v>
      </c>
      <c r="M37" s="92">
        <f>SERVICIO!M32</f>
        <v>57.711500000000001</v>
      </c>
      <c r="N37" s="92">
        <f>SERVICIO!N32</f>
        <v>57.711500000000001</v>
      </c>
      <c r="O37" s="92">
        <f>SERVICIO!O32</f>
        <v>57.711500000000001</v>
      </c>
      <c r="P37" s="92">
        <f>SERVICIO!P32</f>
        <v>57.711500000000001</v>
      </c>
      <c r="Q37" s="92" t="e">
        <f>SERVICIO!#REF!</f>
        <v>#REF!</v>
      </c>
      <c r="R37" s="92">
        <f>SERVICIO!B32</f>
        <v>750.24950000000001</v>
      </c>
    </row>
    <row r="38" spans="1:18" x14ac:dyDescent="0.35">
      <c r="A38" s="93">
        <v>6</v>
      </c>
      <c r="B38" s="93" t="str">
        <f>SERVICIO!A37</f>
        <v>INSUMOS DE OFICINA</v>
      </c>
      <c r="C38" s="92">
        <f>SERVICIO!C37</f>
        <v>0</v>
      </c>
      <c r="D38" s="92">
        <f>SERVICIO!D37</f>
        <v>40</v>
      </c>
      <c r="E38" s="92">
        <f>SERVICIO!E37</f>
        <v>40</v>
      </c>
      <c r="F38" s="92">
        <f>SERVICIO!F37</f>
        <v>40</v>
      </c>
      <c r="G38" s="92">
        <f>SERVICIO!G37</f>
        <v>40</v>
      </c>
      <c r="H38" s="92">
        <f>SERVICIO!H37</f>
        <v>40</v>
      </c>
      <c r="I38" s="92">
        <f>SERVICIO!I37</f>
        <v>40</v>
      </c>
      <c r="J38" s="92">
        <f>SERVICIO!J37</f>
        <v>40</v>
      </c>
      <c r="K38" s="92">
        <f>SERVICIO!K37</f>
        <v>40</v>
      </c>
      <c r="L38" s="92">
        <f>SERVICIO!L37</f>
        <v>40</v>
      </c>
      <c r="M38" s="92">
        <f>SERVICIO!M37</f>
        <v>40</v>
      </c>
      <c r="N38" s="92">
        <f>SERVICIO!N37</f>
        <v>40</v>
      </c>
      <c r="O38" s="92">
        <f>SERVICIO!O37</f>
        <v>40</v>
      </c>
      <c r="P38" s="92">
        <f>SERVICIO!P37</f>
        <v>40</v>
      </c>
      <c r="Q38" s="92" t="e">
        <f>SERVICIO!#REF!</f>
        <v>#REF!</v>
      </c>
      <c r="R38" s="92">
        <f>SERVICIO!B37</f>
        <v>520</v>
      </c>
    </row>
    <row r="39" spans="1:18" x14ac:dyDescent="0.35">
      <c r="A39" s="93">
        <v>7</v>
      </c>
      <c r="B39" s="93" t="str">
        <f>SERVICIO!A40</f>
        <v>MARKETING</v>
      </c>
      <c r="C39" s="92">
        <f>SERVICIO!C40</f>
        <v>0</v>
      </c>
      <c r="D39" s="92">
        <f>SERVICIO!D40</f>
        <v>0</v>
      </c>
      <c r="E39" s="92">
        <f>SERVICIO!E40</f>
        <v>0</v>
      </c>
      <c r="F39" s="92">
        <f>SERVICIO!F40</f>
        <v>0</v>
      </c>
      <c r="G39" s="92">
        <f>SERVICIO!G40</f>
        <v>0</v>
      </c>
      <c r="H39" s="92">
        <f>SERVICIO!H40</f>
        <v>0</v>
      </c>
      <c r="I39" s="92">
        <f>SERVICIO!I40</f>
        <v>0</v>
      </c>
      <c r="J39" s="92">
        <f>SERVICIO!J40</f>
        <v>0</v>
      </c>
      <c r="K39" s="92">
        <f>SERVICIO!K40</f>
        <v>0</v>
      </c>
      <c r="L39" s="92">
        <f>SERVICIO!L40</f>
        <v>0</v>
      </c>
      <c r="M39" s="92">
        <f>SERVICIO!M40</f>
        <v>0</v>
      </c>
      <c r="N39" s="92">
        <f>SERVICIO!N40</f>
        <v>0</v>
      </c>
      <c r="O39" s="92">
        <f>SERVICIO!O40</f>
        <v>0</v>
      </c>
      <c r="P39" s="92">
        <f>SERVICIO!P40</f>
        <v>0</v>
      </c>
      <c r="Q39" s="92" t="e">
        <f>SERVICIO!#REF!</f>
        <v>#REF!</v>
      </c>
      <c r="R39" s="92">
        <f>SERVICIO!B40</f>
        <v>0</v>
      </c>
    </row>
    <row r="40" spans="1:18" x14ac:dyDescent="0.35">
      <c r="A40" s="93">
        <v>8</v>
      </c>
      <c r="B40" s="93" t="str">
        <f>SERVICIO!A76</f>
        <v>MATERIALES</v>
      </c>
      <c r="C40" s="92">
        <f>SERVICIO!C76</f>
        <v>0</v>
      </c>
      <c r="D40" s="92">
        <f>SERVICIO!D76</f>
        <v>2760</v>
      </c>
      <c r="E40" s="92">
        <f>SERVICIO!E76</f>
        <v>1260</v>
      </c>
      <c r="F40" s="92">
        <f>SERVICIO!F76</f>
        <v>1260</v>
      </c>
      <c r="G40" s="92">
        <f>SERVICIO!G76</f>
        <v>3510</v>
      </c>
      <c r="H40" s="92">
        <f>SERVICIO!H76</f>
        <v>1260</v>
      </c>
      <c r="I40" s="92">
        <f>SERVICIO!I76</f>
        <v>2963</v>
      </c>
      <c r="J40" s="92">
        <f>SERVICIO!J76</f>
        <v>1260</v>
      </c>
      <c r="K40" s="92">
        <f>SERVICIO!K76</f>
        <v>1260</v>
      </c>
      <c r="L40" s="92">
        <f>SERVICIO!L76</f>
        <v>1260</v>
      </c>
      <c r="M40" s="92">
        <f>SERVICIO!M76</f>
        <v>1260</v>
      </c>
      <c r="N40" s="92">
        <f>SERVICIO!N76</f>
        <v>1260</v>
      </c>
      <c r="O40" s="92">
        <f>SERVICIO!O76</f>
        <v>2760</v>
      </c>
      <c r="P40" s="92">
        <f>SERVICIO!P76</f>
        <v>1260</v>
      </c>
      <c r="Q40" s="92" t="e">
        <f>SERVICIO!#REF!</f>
        <v>#REF!</v>
      </c>
      <c r="R40" s="92">
        <f>SERVICIO!B76</f>
        <v>23333</v>
      </c>
    </row>
    <row r="41" spans="1:18" x14ac:dyDescent="0.35">
      <c r="A41" s="93">
        <v>9</v>
      </c>
      <c r="B41" s="93" t="str">
        <f>SERVICIO!A78</f>
        <v>MATERIALES DE SALUD</v>
      </c>
      <c r="C41" s="92">
        <f>SERVICIO!C78</f>
        <v>0</v>
      </c>
      <c r="D41" s="92">
        <f>SERVICIO!D78</f>
        <v>35</v>
      </c>
      <c r="E41" s="92">
        <f>SERVICIO!E78</f>
        <v>35</v>
      </c>
      <c r="F41" s="92">
        <f>SERVICIO!F78</f>
        <v>35</v>
      </c>
      <c r="G41" s="92">
        <f>SERVICIO!G78</f>
        <v>35</v>
      </c>
      <c r="H41" s="92">
        <f>SERVICIO!H78</f>
        <v>35</v>
      </c>
      <c r="I41" s="92">
        <f>SERVICIO!I78</f>
        <v>35</v>
      </c>
      <c r="J41" s="92">
        <f>SERVICIO!J78</f>
        <v>35</v>
      </c>
      <c r="K41" s="92">
        <f>SERVICIO!K78</f>
        <v>35</v>
      </c>
      <c r="L41" s="92">
        <f>SERVICIO!L78</f>
        <v>35</v>
      </c>
      <c r="M41" s="92">
        <f>SERVICIO!M78</f>
        <v>35</v>
      </c>
      <c r="N41" s="92">
        <f>SERVICIO!N78</f>
        <v>35</v>
      </c>
      <c r="O41" s="92">
        <f>SERVICIO!O78</f>
        <v>35</v>
      </c>
      <c r="P41" s="92">
        <f>SERVICIO!P78</f>
        <v>35</v>
      </c>
      <c r="Q41" s="92" t="e">
        <f>SERVICIO!#REF!</f>
        <v>#REF!</v>
      </c>
      <c r="R41" s="92">
        <f>SERVICIO!B78</f>
        <v>455</v>
      </c>
    </row>
    <row r="42" spans="1:18" x14ac:dyDescent="0.35">
      <c r="A42" s="93">
        <v>10</v>
      </c>
      <c r="B42" s="93" t="str">
        <f>SERVICIO!A80</f>
        <v>NOMINA Y ADICIONALES</v>
      </c>
      <c r="C42" s="92">
        <f>SERVICIO!C80</f>
        <v>0</v>
      </c>
      <c r="D42" s="92">
        <f>SERVICIO!D80</f>
        <v>16104.272559868417</v>
      </c>
      <c r="E42" s="92">
        <f>SERVICIO!E80</f>
        <v>16104.272559868417</v>
      </c>
      <c r="F42" s="92">
        <f>SERVICIO!F80</f>
        <v>16104.272559868417</v>
      </c>
      <c r="G42" s="92">
        <f>SERVICIO!G80</f>
        <v>16104.272559868417</v>
      </c>
      <c r="H42" s="92">
        <f>SERVICIO!H80</f>
        <v>21436.772881296994</v>
      </c>
      <c r="I42" s="92">
        <f>SERVICIO!I80</f>
        <v>16104.272559868417</v>
      </c>
      <c r="J42" s="92">
        <f>SERVICIO!J80</f>
        <v>16104.272559868417</v>
      </c>
      <c r="K42" s="92">
        <f>SERVICIO!K80</f>
        <v>16104.272559868417</v>
      </c>
      <c r="L42" s="92">
        <f>SERVICIO!L80</f>
        <v>16104.272559868417</v>
      </c>
      <c r="M42" s="92">
        <f>SERVICIO!M80</f>
        <v>16104.272559868417</v>
      </c>
      <c r="N42" s="92">
        <f>SERVICIO!N80</f>
        <v>16104.272559868417</v>
      </c>
      <c r="O42" s="92">
        <f>SERVICIO!O80</f>
        <v>29435.523363439846</v>
      </c>
      <c r="P42" s="92">
        <f>SERVICIO!P80</f>
        <v>16104.272559868417</v>
      </c>
      <c r="Q42" s="92" t="e">
        <f>SERVICIO!#REF!</f>
        <v>#REF!</v>
      </c>
      <c r="R42" s="92">
        <f>SERVICIO!B80</f>
        <v>228019.29440328939</v>
      </c>
    </row>
    <row r="43" spans="1:18" x14ac:dyDescent="0.35">
      <c r="A43" s="93">
        <v>11</v>
      </c>
      <c r="B43" s="93" t="str">
        <f>SERVICIO!A84</f>
        <v>SERV TELEFONIA CELULAR Y RADIO</v>
      </c>
      <c r="C43" s="92">
        <f>SERVICIO!C84</f>
        <v>0</v>
      </c>
      <c r="D43" s="92">
        <f>SERVICIO!D84</f>
        <v>75</v>
      </c>
      <c r="E43" s="92">
        <f>SERVICIO!E84</f>
        <v>75</v>
      </c>
      <c r="F43" s="92">
        <f>SERVICIO!F84</f>
        <v>75</v>
      </c>
      <c r="G43" s="92">
        <f>SERVICIO!G84</f>
        <v>75</v>
      </c>
      <c r="H43" s="92">
        <f>SERVICIO!H84</f>
        <v>75</v>
      </c>
      <c r="I43" s="92">
        <f>SERVICIO!I84</f>
        <v>75</v>
      </c>
      <c r="J43" s="92">
        <f>SERVICIO!J84</f>
        <v>75</v>
      </c>
      <c r="K43" s="92">
        <f>SERVICIO!K84</f>
        <v>75</v>
      </c>
      <c r="L43" s="92">
        <f>SERVICIO!L84</f>
        <v>75</v>
      </c>
      <c r="M43" s="92">
        <f>SERVICIO!M84</f>
        <v>75</v>
      </c>
      <c r="N43" s="92">
        <f>SERVICIO!N84</f>
        <v>75</v>
      </c>
      <c r="O43" s="92">
        <f>SERVICIO!O84</f>
        <v>75</v>
      </c>
      <c r="P43" s="92">
        <f>SERVICIO!P84</f>
        <v>75</v>
      </c>
      <c r="Q43" s="92" t="e">
        <f>SERVICIO!#REF!</f>
        <v>#REF!</v>
      </c>
      <c r="R43" s="92">
        <f>SERVICIO!B84</f>
        <v>975</v>
      </c>
    </row>
    <row r="44" spans="1:18" x14ac:dyDescent="0.35">
      <c r="A44" s="93">
        <v>12</v>
      </c>
      <c r="B44" s="93" t="str">
        <f>SERVICIO!A148</f>
        <v>SERVICIOS</v>
      </c>
      <c r="C44" s="92">
        <f>SERVICIO!C148</f>
        <v>0</v>
      </c>
      <c r="D44" s="92">
        <f>SERVICIO!D148</f>
        <v>70537.5</v>
      </c>
      <c r="E44" s="92">
        <f>SERVICIO!E148</f>
        <v>70837.5</v>
      </c>
      <c r="F44" s="92">
        <f>SERVICIO!F148</f>
        <v>70387.5</v>
      </c>
      <c r="G44" s="92">
        <f>SERVICIO!G148</f>
        <v>70387.5</v>
      </c>
      <c r="H44" s="92">
        <f>SERVICIO!H148</f>
        <v>70387.5</v>
      </c>
      <c r="I44" s="92">
        <f>SERVICIO!I148</f>
        <v>70537.5</v>
      </c>
      <c r="J44" s="92">
        <f>SERVICIO!J148</f>
        <v>70387.5</v>
      </c>
      <c r="K44" s="92">
        <f>SERVICIO!K148</f>
        <v>70387.5</v>
      </c>
      <c r="L44" s="92">
        <f>SERVICIO!L148</f>
        <v>70387.5</v>
      </c>
      <c r="M44" s="92">
        <f>SERVICIO!M148</f>
        <v>70387.5</v>
      </c>
      <c r="N44" s="92">
        <f>SERVICIO!N148</f>
        <v>70387.5</v>
      </c>
      <c r="O44" s="92">
        <f>SERVICIO!O148</f>
        <v>70537.5</v>
      </c>
      <c r="P44" s="92">
        <f>SERVICIO!P148</f>
        <v>75387.5</v>
      </c>
      <c r="Q44" s="92" t="e">
        <f>SERVICIO!#REF!</f>
        <v>#REF!</v>
      </c>
      <c r="R44" s="92">
        <f>SERVICIO!B148</f>
        <v>920937.5</v>
      </c>
    </row>
    <row r="45" spans="1:18" x14ac:dyDescent="0.35">
      <c r="A45" s="93">
        <v>13</v>
      </c>
      <c r="B45" s="93" t="str">
        <f>SERVICIO!A150</f>
        <v>SERVICIOS DE CAPACITACION</v>
      </c>
      <c r="C45" s="92">
        <f>SERVICIO!C150</f>
        <v>0</v>
      </c>
      <c r="D45" s="92">
        <f>SERVICIO!D150</f>
        <v>250</v>
      </c>
      <c r="E45" s="92">
        <f>SERVICIO!E150</f>
        <v>250</v>
      </c>
      <c r="F45" s="92">
        <f>SERVICIO!F150</f>
        <v>250</v>
      </c>
      <c r="G45" s="92">
        <f>SERVICIO!G150</f>
        <v>250</v>
      </c>
      <c r="H45" s="92">
        <f>SERVICIO!H150</f>
        <v>250</v>
      </c>
      <c r="I45" s="92">
        <f>SERVICIO!I150</f>
        <v>250</v>
      </c>
      <c r="J45" s="92">
        <f>SERVICIO!J150</f>
        <v>250</v>
      </c>
      <c r="K45" s="92">
        <f>SERVICIO!K150</f>
        <v>250</v>
      </c>
      <c r="L45" s="92">
        <f>SERVICIO!L150</f>
        <v>250</v>
      </c>
      <c r="M45" s="92">
        <f>SERVICIO!M150</f>
        <v>250</v>
      </c>
      <c r="N45" s="92">
        <f>SERVICIO!N150</f>
        <v>250</v>
      </c>
      <c r="O45" s="92">
        <f>SERVICIO!O150</f>
        <v>250</v>
      </c>
      <c r="P45" s="92">
        <f>SERVICIO!P150</f>
        <v>250</v>
      </c>
      <c r="Q45" s="92" t="e">
        <f>SERVICIO!#REF!</f>
        <v>#REF!</v>
      </c>
      <c r="R45" s="92">
        <f>SERVICIO!B150</f>
        <v>3250</v>
      </c>
    </row>
    <row r="46" spans="1:18" x14ac:dyDescent="0.35">
      <c r="A46" s="93">
        <v>14</v>
      </c>
      <c r="B46" s="93" t="str">
        <f>SERVICIO!A152</f>
        <v>SERVICIOS DE SALUD</v>
      </c>
      <c r="C46" s="92">
        <f>SERVICIO!C152</f>
        <v>0</v>
      </c>
      <c r="D46" s="92">
        <f>SERVICIO!D152</f>
        <v>113.03399999999999</v>
      </c>
      <c r="E46" s="92">
        <f>SERVICIO!E152</f>
        <v>113.03399999999999</v>
      </c>
      <c r="F46" s="92">
        <f>SERVICIO!F152</f>
        <v>113.03399999999999</v>
      </c>
      <c r="G46" s="92">
        <f>SERVICIO!G152</f>
        <v>113.03399999999999</v>
      </c>
      <c r="H46" s="92">
        <f>SERVICIO!H152</f>
        <v>113.03399999999999</v>
      </c>
      <c r="I46" s="92">
        <f>SERVICIO!I152</f>
        <v>113.03399999999999</v>
      </c>
      <c r="J46" s="92">
        <f>SERVICIO!J152</f>
        <v>113.03399999999999</v>
      </c>
      <c r="K46" s="92">
        <f>SERVICIO!K152</f>
        <v>113.03399999999999</v>
      </c>
      <c r="L46" s="92">
        <f>SERVICIO!L152</f>
        <v>113.03399999999999</v>
      </c>
      <c r="M46" s="92">
        <f>SERVICIO!M152</f>
        <v>113.03399999999999</v>
      </c>
      <c r="N46" s="92">
        <f>SERVICIO!N152</f>
        <v>113.03399999999999</v>
      </c>
      <c r="O46" s="92">
        <f>SERVICIO!O152</f>
        <v>113.03399999999999</v>
      </c>
      <c r="P46" s="92">
        <f>SERVICIO!P152</f>
        <v>113.03399999999999</v>
      </c>
      <c r="Q46" s="92" t="e">
        <f>SERVICIO!#REF!</f>
        <v>#REF!</v>
      </c>
      <c r="R46" s="92">
        <f>SERVICIO!B152</f>
        <v>1469.442</v>
      </c>
    </row>
    <row r="47" spans="1:18" x14ac:dyDescent="0.35">
      <c r="A47" s="93">
        <v>15</v>
      </c>
      <c r="B47" s="93" t="str">
        <f>SERVICIO!A154</f>
        <v>UNIFORMES</v>
      </c>
      <c r="C47" s="92">
        <f>SERVICIO!C154</f>
        <v>0</v>
      </c>
      <c r="D47" s="92">
        <f>SERVICIO!D154</f>
        <v>144</v>
      </c>
      <c r="E47" s="92">
        <f>SERVICIO!E154</f>
        <v>144</v>
      </c>
      <c r="F47" s="92">
        <f>SERVICIO!F154</f>
        <v>144</v>
      </c>
      <c r="G47" s="92">
        <f>SERVICIO!G154</f>
        <v>144</v>
      </c>
      <c r="H47" s="92">
        <f>SERVICIO!H154</f>
        <v>144</v>
      </c>
      <c r="I47" s="92">
        <f>SERVICIO!I154</f>
        <v>144</v>
      </c>
      <c r="J47" s="92">
        <f>SERVICIO!J154</f>
        <v>144</v>
      </c>
      <c r="K47" s="92">
        <f>SERVICIO!K154</f>
        <v>144</v>
      </c>
      <c r="L47" s="92">
        <f>SERVICIO!L154</f>
        <v>144</v>
      </c>
      <c r="M47" s="92">
        <f>SERVICIO!M154</f>
        <v>144</v>
      </c>
      <c r="N47" s="92">
        <f>SERVICIO!N154</f>
        <v>144</v>
      </c>
      <c r="O47" s="92">
        <f>SERVICIO!O154</f>
        <v>144</v>
      </c>
      <c r="P47" s="92">
        <f>SERVICIO!P154</f>
        <v>144</v>
      </c>
      <c r="Q47" s="92" t="e">
        <f>SERVICIO!#REF!</f>
        <v>#REF!</v>
      </c>
      <c r="R47" s="92">
        <f>SERVICIO!B154</f>
        <v>1872</v>
      </c>
    </row>
    <row r="48" spans="1:18" x14ac:dyDescent="0.35">
      <c r="A48" s="93">
        <v>16</v>
      </c>
      <c r="B48" s="93" t="str">
        <f>SERVICIO!A157</f>
        <v>VEHICULOS Y COMBUSTIBLE</v>
      </c>
      <c r="C48" s="92">
        <f>SERVICIO!C157</f>
        <v>0</v>
      </c>
      <c r="D48" s="92">
        <f>SERVICIO!D157</f>
        <v>1386</v>
      </c>
      <c r="E48" s="92">
        <f>SERVICIO!E157</f>
        <v>1386</v>
      </c>
      <c r="F48" s="92">
        <f>SERVICIO!F157</f>
        <v>1386</v>
      </c>
      <c r="G48" s="92">
        <f>SERVICIO!G157</f>
        <v>1386</v>
      </c>
      <c r="H48" s="92">
        <f>SERVICIO!H157</f>
        <v>1386</v>
      </c>
      <c r="I48" s="92">
        <f>SERVICIO!I157</f>
        <v>1386</v>
      </c>
      <c r="J48" s="92">
        <f>SERVICIO!J157</f>
        <v>1386</v>
      </c>
      <c r="K48" s="92">
        <f>SERVICIO!K157</f>
        <v>1386</v>
      </c>
      <c r="L48" s="92">
        <f>SERVICIO!L157</f>
        <v>1386</v>
      </c>
      <c r="M48" s="92">
        <f>SERVICIO!M157</f>
        <v>1386</v>
      </c>
      <c r="N48" s="92">
        <f>SERVICIO!N157</f>
        <v>1386</v>
      </c>
      <c r="O48" s="92">
        <f>SERVICIO!O157</f>
        <v>1386</v>
      </c>
      <c r="P48" s="92">
        <f>SERVICIO!P157</f>
        <v>1386</v>
      </c>
      <c r="Q48" s="92" t="e">
        <f>SERVICIO!#REF!</f>
        <v>#REF!</v>
      </c>
      <c r="R48" s="92">
        <f>SERVICIO!B157</f>
        <v>18018</v>
      </c>
    </row>
    <row r="49" spans="1:18" x14ac:dyDescent="0.35">
      <c r="A49" s="93">
        <v>17</v>
      </c>
      <c r="B49" s="93" t="str">
        <f>SERVICIO!A165</f>
        <v>VIATICOS</v>
      </c>
      <c r="C49" s="92">
        <f>SERVICIO!C165</f>
        <v>0</v>
      </c>
      <c r="D49" s="92">
        <f>SERVICIO!D165</f>
        <v>450</v>
      </c>
      <c r="E49" s="92">
        <f>SERVICIO!E165</f>
        <v>450</v>
      </c>
      <c r="F49" s="92">
        <f>SERVICIO!F165</f>
        <v>450</v>
      </c>
      <c r="G49" s="92">
        <f>SERVICIO!G165</f>
        <v>450</v>
      </c>
      <c r="H49" s="92">
        <f>SERVICIO!H165</f>
        <v>450</v>
      </c>
      <c r="I49" s="92">
        <f>SERVICIO!I165</f>
        <v>450</v>
      </c>
      <c r="J49" s="92">
        <f>SERVICIO!J165</f>
        <v>450</v>
      </c>
      <c r="K49" s="92">
        <f>SERVICIO!K165</f>
        <v>450</v>
      </c>
      <c r="L49" s="92">
        <f>SERVICIO!L165</f>
        <v>450</v>
      </c>
      <c r="M49" s="92">
        <f>SERVICIO!M165</f>
        <v>450</v>
      </c>
      <c r="N49" s="92">
        <f>SERVICIO!N165</f>
        <v>450</v>
      </c>
      <c r="O49" s="92">
        <f>SERVICIO!O165</f>
        <v>450</v>
      </c>
      <c r="P49" s="92">
        <f>SERVICIO!P165</f>
        <v>450</v>
      </c>
      <c r="Q49" s="92" t="e">
        <f>SERVICIO!#REF!</f>
        <v>#REF!</v>
      </c>
      <c r="R49" s="92">
        <f>SERVICIO!B165</f>
        <v>5850</v>
      </c>
    </row>
    <row r="50" spans="1:18" x14ac:dyDescent="0.35">
      <c r="A50" s="93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R50" s="92">
        <f>SUM(R33:R49)</f>
        <v>1238046.9859032894</v>
      </c>
    </row>
    <row r="51" spans="1:18" x14ac:dyDescent="0.35">
      <c r="A51" s="93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</row>
    <row r="52" spans="1:18" x14ac:dyDescent="0.35">
      <c r="A52" s="93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</row>
    <row r="53" spans="1:18" x14ac:dyDescent="0.35">
      <c r="A53" s="93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</row>
    <row r="54" spans="1:18" x14ac:dyDescent="0.35"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</row>
    <row r="55" spans="1:18" x14ac:dyDescent="0.35"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</row>
    <row r="56" spans="1:18" x14ac:dyDescent="0.35"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</row>
    <row r="57" spans="1:18" x14ac:dyDescent="0.35"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</row>
    <row r="58" spans="1:18" x14ac:dyDescent="0.35"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</row>
  </sheetData>
  <phoneticPr fontId="3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3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9" sqref="A9"/>
      <selection pane="bottomRight"/>
    </sheetView>
  </sheetViews>
  <sheetFormatPr baseColWidth="10" defaultColWidth="10.5" defaultRowHeight="18" customHeight="1" x14ac:dyDescent="0.35"/>
  <cols>
    <col min="1" max="1" width="49" style="102" customWidth="1"/>
    <col min="2" max="2" width="3.83203125" style="102" customWidth="1"/>
    <col min="3" max="3" width="16" style="102" bestFit="1" customWidth="1"/>
    <col min="4" max="16" width="16.1640625" style="102" customWidth="1"/>
    <col min="17" max="17" width="3.1640625" style="102" customWidth="1"/>
    <col min="18" max="18" width="21.1640625" style="102" customWidth="1"/>
    <col min="19" max="19" width="4.5" style="102" customWidth="1"/>
    <col min="20" max="20" width="20.33203125" style="102" customWidth="1"/>
    <col min="21" max="21" width="4.5" style="102" customWidth="1"/>
    <col min="22" max="22" width="22.1640625" style="102" customWidth="1"/>
    <col min="23" max="23" width="4.5" style="102" customWidth="1"/>
    <col min="24" max="24" width="22.1640625" style="102" customWidth="1"/>
    <col min="25" max="16384" width="10.5" style="102"/>
  </cols>
  <sheetData>
    <row r="1" spans="1:24" ht="18" customHeight="1" x14ac:dyDescent="0.35">
      <c r="A1" s="113"/>
      <c r="C1" s="113"/>
      <c r="D1" s="140">
        <v>0</v>
      </c>
      <c r="E1" s="140">
        <v>1</v>
      </c>
      <c r="F1" s="140">
        <v>2</v>
      </c>
      <c r="G1" s="140">
        <v>3</v>
      </c>
      <c r="H1" s="140">
        <v>4</v>
      </c>
      <c r="I1" s="140">
        <v>5</v>
      </c>
      <c r="J1" s="140">
        <v>6</v>
      </c>
      <c r="K1" s="140">
        <v>7</v>
      </c>
      <c r="L1" s="140">
        <v>8</v>
      </c>
      <c r="M1" s="140">
        <v>9</v>
      </c>
      <c r="N1" s="140">
        <v>10</v>
      </c>
      <c r="O1" s="140">
        <v>11</v>
      </c>
      <c r="P1" s="140">
        <v>12</v>
      </c>
      <c r="Q1" s="113"/>
    </row>
    <row r="2" spans="1:24" ht="18" customHeight="1" x14ac:dyDescent="0.35"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3"/>
    </row>
    <row r="3" spans="1:24" ht="18" customHeight="1" x14ac:dyDescent="0.35">
      <c r="C3" s="98" t="s">
        <v>74</v>
      </c>
      <c r="D3" s="98" t="s">
        <v>74</v>
      </c>
      <c r="E3" s="99" t="s">
        <v>57</v>
      </c>
      <c r="F3" s="98" t="s">
        <v>58</v>
      </c>
      <c r="G3" s="98" t="s">
        <v>59</v>
      </c>
      <c r="H3" s="98" t="s">
        <v>60</v>
      </c>
      <c r="I3" s="98" t="s">
        <v>61</v>
      </c>
      <c r="J3" s="98" t="s">
        <v>62</v>
      </c>
      <c r="K3" s="98" t="s">
        <v>63</v>
      </c>
      <c r="L3" s="98" t="s">
        <v>64</v>
      </c>
      <c r="M3" s="98" t="s">
        <v>65</v>
      </c>
      <c r="N3" s="98" t="s">
        <v>66</v>
      </c>
      <c r="O3" s="98" t="s">
        <v>67</v>
      </c>
      <c r="P3" s="98" t="s">
        <v>68</v>
      </c>
      <c r="Q3" s="113"/>
      <c r="R3" s="152">
        <f>SUM(R6:R9)</f>
        <v>0</v>
      </c>
      <c r="S3" s="116"/>
      <c r="T3" s="152">
        <f>R3*1.16</f>
        <v>0</v>
      </c>
      <c r="U3" s="116"/>
      <c r="V3" s="152">
        <f>+R3/$E$37</f>
        <v>0</v>
      </c>
      <c r="W3" s="116"/>
      <c r="X3" s="152">
        <f>V3*1.16</f>
        <v>0</v>
      </c>
    </row>
    <row r="4" spans="1:24" ht="18" customHeight="1" x14ac:dyDescent="0.35">
      <c r="C4" s="165" t="s">
        <v>332</v>
      </c>
      <c r="D4" s="165" t="s">
        <v>333</v>
      </c>
      <c r="E4" s="100" t="s">
        <v>334</v>
      </c>
      <c r="F4" s="100" t="s">
        <v>335</v>
      </c>
      <c r="G4" s="100" t="s">
        <v>336</v>
      </c>
      <c r="H4" s="100" t="s">
        <v>337</v>
      </c>
      <c r="I4" s="100" t="s">
        <v>338</v>
      </c>
      <c r="J4" s="100" t="s">
        <v>339</v>
      </c>
      <c r="K4" s="100" t="s">
        <v>340</v>
      </c>
      <c r="L4" s="100" t="s">
        <v>341</v>
      </c>
      <c r="M4" s="100" t="s">
        <v>330</v>
      </c>
      <c r="N4" s="100" t="s">
        <v>331</v>
      </c>
      <c r="O4" s="100" t="s">
        <v>332</v>
      </c>
      <c r="P4" s="100" t="s">
        <v>333</v>
      </c>
      <c r="Q4" s="113"/>
      <c r="R4" s="303" t="s">
        <v>301</v>
      </c>
      <c r="T4" s="303" t="s">
        <v>302</v>
      </c>
      <c r="V4" s="303" t="s">
        <v>31</v>
      </c>
      <c r="X4" s="303" t="s">
        <v>309</v>
      </c>
    </row>
    <row r="5" spans="1:24" ht="18" customHeight="1" x14ac:dyDescent="0.35">
      <c r="A5" s="142" t="s">
        <v>308</v>
      </c>
      <c r="C5" s="101">
        <v>31</v>
      </c>
      <c r="D5" s="101">
        <v>30</v>
      </c>
      <c r="E5" s="101">
        <v>31</v>
      </c>
      <c r="F5" s="101">
        <v>30</v>
      </c>
      <c r="G5" s="101">
        <v>31</v>
      </c>
      <c r="H5" s="101">
        <v>30</v>
      </c>
      <c r="I5" s="101">
        <v>31</v>
      </c>
      <c r="J5" s="101">
        <v>31</v>
      </c>
      <c r="K5" s="101">
        <v>28</v>
      </c>
      <c r="L5" s="101">
        <v>31</v>
      </c>
      <c r="M5" s="101">
        <v>30</v>
      </c>
      <c r="N5" s="101">
        <v>31</v>
      </c>
      <c r="O5" s="101">
        <v>30</v>
      </c>
      <c r="P5" s="101">
        <v>31</v>
      </c>
      <c r="Q5" s="113"/>
      <c r="R5" s="303"/>
      <c r="T5" s="303"/>
      <c r="V5" s="303"/>
      <c r="X5" s="303"/>
    </row>
    <row r="6" spans="1:24" ht="51" customHeight="1" x14ac:dyDescent="0.35">
      <c r="A6" s="141" t="str">
        <f>PREMISAS!C9</f>
        <v>Patín con bomba electrocentrifuga horizontal con gasto de 10,000-20,000 BPD incluye la operación continua.</v>
      </c>
      <c r="C6" s="115">
        <f>'F08 INGRESOS'!M7</f>
        <v>0</v>
      </c>
      <c r="D6" s="115">
        <f>'F08 INGRESOS'!N7</f>
        <v>0</v>
      </c>
      <c r="E6" s="115">
        <f>'F08 INGRESOS'!O7</f>
        <v>0</v>
      </c>
      <c r="F6" s="115">
        <f>'F08 INGRESOS'!P7</f>
        <v>0</v>
      </c>
      <c r="G6" s="115">
        <f>'F08 INGRESOS'!Q7</f>
        <v>0</v>
      </c>
      <c r="H6" s="115">
        <f>'F08 INGRESOS'!R7</f>
        <v>0</v>
      </c>
      <c r="I6" s="115">
        <f>'F08 INGRESOS'!S7</f>
        <v>0</v>
      </c>
      <c r="J6" s="115">
        <f>'F08 INGRESOS'!T7</f>
        <v>0</v>
      </c>
      <c r="K6" s="115">
        <f>'F08 INGRESOS'!U7</f>
        <v>0</v>
      </c>
      <c r="L6" s="115">
        <f>'F08 INGRESOS'!V7</f>
        <v>0</v>
      </c>
      <c r="M6" s="115">
        <f>'F08 INGRESOS'!W7</f>
        <v>0</v>
      </c>
      <c r="N6" s="115">
        <f>'F08 INGRESOS'!X7</f>
        <v>0</v>
      </c>
      <c r="O6" s="115">
        <f>'F08 INGRESOS'!Y7</f>
        <v>0</v>
      </c>
      <c r="P6" s="115">
        <f>'F08 INGRESOS'!Z7</f>
        <v>0</v>
      </c>
      <c r="Q6" s="113"/>
      <c r="R6" s="116">
        <f>SUM(C6:P6)</f>
        <v>0</v>
      </c>
      <c r="S6" s="116"/>
      <c r="T6" s="116">
        <f>R6*1.16</f>
        <v>0</v>
      </c>
      <c r="U6" s="116"/>
      <c r="V6" s="116">
        <f>+R6/$E$37</f>
        <v>0</v>
      </c>
      <c r="W6" s="116"/>
      <c r="X6" s="116">
        <f>V6*1.16</f>
        <v>0</v>
      </c>
    </row>
    <row r="7" spans="1:24" ht="51" customHeight="1" x14ac:dyDescent="0.35">
      <c r="A7" s="141" t="str">
        <f>PREMISAS!C10</f>
        <v>Patín con bomba electrocentrifuga horizontal con gasto de 20,000-30,000 BPD incluye la operación continua.</v>
      </c>
      <c r="C7" s="115">
        <f>'F08 INGRESOS'!M8</f>
        <v>0</v>
      </c>
      <c r="D7" s="115">
        <f>'F08 INGRESOS'!N8</f>
        <v>0</v>
      </c>
      <c r="E7" s="115">
        <f>'F08 INGRESOS'!O8</f>
        <v>0</v>
      </c>
      <c r="F7" s="115">
        <f>'F08 INGRESOS'!P8</f>
        <v>0</v>
      </c>
      <c r="G7" s="115">
        <f>'F08 INGRESOS'!Q8</f>
        <v>0</v>
      </c>
      <c r="H7" s="115">
        <f>'F08 INGRESOS'!R8</f>
        <v>0</v>
      </c>
      <c r="I7" s="115">
        <f>'F08 INGRESOS'!S8</f>
        <v>0</v>
      </c>
      <c r="J7" s="115">
        <f>'F08 INGRESOS'!T8</f>
        <v>0</v>
      </c>
      <c r="K7" s="115">
        <f>'F08 INGRESOS'!U8</f>
        <v>0</v>
      </c>
      <c r="L7" s="115">
        <f>'F08 INGRESOS'!V8</f>
        <v>0</v>
      </c>
      <c r="M7" s="115">
        <f>'F08 INGRESOS'!W8</f>
        <v>0</v>
      </c>
      <c r="N7" s="115">
        <f>'F08 INGRESOS'!X8</f>
        <v>0</v>
      </c>
      <c r="O7" s="115">
        <f>'F08 INGRESOS'!Y8</f>
        <v>0</v>
      </c>
      <c r="P7" s="115">
        <f>'F08 INGRESOS'!Z8</f>
        <v>0</v>
      </c>
      <c r="Q7" s="113"/>
      <c r="R7" s="116">
        <f>SUM(C7:P7)</f>
        <v>0</v>
      </c>
      <c r="S7" s="116"/>
      <c r="T7" s="116">
        <f>R7*1.16</f>
        <v>0</v>
      </c>
      <c r="U7" s="116"/>
      <c r="V7" s="116">
        <f>+R7/$E$37</f>
        <v>0</v>
      </c>
      <c r="W7" s="116"/>
      <c r="X7" s="116">
        <f>V7*1.16</f>
        <v>0</v>
      </c>
    </row>
    <row r="8" spans="1:24" ht="51" customHeight="1" x14ac:dyDescent="0.35">
      <c r="A8" s="141" t="str">
        <f>PREMISAS!C11</f>
        <v>Generador de energía a gas de 300 KW/375 KVA.</v>
      </c>
      <c r="C8" s="115">
        <f>'F08 INGRESOS'!M12</f>
        <v>0</v>
      </c>
      <c r="D8" s="115">
        <f>'F08 INGRESOS'!N12</f>
        <v>0</v>
      </c>
      <c r="E8" s="115">
        <f>'F08 INGRESOS'!O12</f>
        <v>0</v>
      </c>
      <c r="F8" s="115">
        <f>'F08 INGRESOS'!P12</f>
        <v>0</v>
      </c>
      <c r="G8" s="115">
        <f>'F08 INGRESOS'!Q12</f>
        <v>0</v>
      </c>
      <c r="H8" s="115">
        <f>'F08 INGRESOS'!R12</f>
        <v>0</v>
      </c>
      <c r="I8" s="115">
        <f>'F08 INGRESOS'!S12</f>
        <v>0</v>
      </c>
      <c r="J8" s="115">
        <f>'F08 INGRESOS'!T12</f>
        <v>0</v>
      </c>
      <c r="K8" s="115">
        <f>'F08 INGRESOS'!U12</f>
        <v>0</v>
      </c>
      <c r="L8" s="115">
        <f>'F08 INGRESOS'!V12</f>
        <v>0</v>
      </c>
      <c r="M8" s="115">
        <f>'F08 INGRESOS'!W12</f>
        <v>0</v>
      </c>
      <c r="N8" s="115">
        <f>'F08 INGRESOS'!X12</f>
        <v>0</v>
      </c>
      <c r="O8" s="115">
        <f>'F08 INGRESOS'!Y12</f>
        <v>0</v>
      </c>
      <c r="P8" s="115">
        <f>'F08 INGRESOS'!Z12</f>
        <v>0</v>
      </c>
      <c r="Q8" s="113"/>
      <c r="R8" s="116">
        <f>SUM(C8:P8)</f>
        <v>0</v>
      </c>
      <c r="S8" s="116"/>
      <c r="T8" s="116">
        <f>R8*1.16</f>
        <v>0</v>
      </c>
      <c r="U8" s="116"/>
      <c r="V8" s="116">
        <f>+R8/$E$37</f>
        <v>0</v>
      </c>
      <c r="W8" s="116"/>
      <c r="X8" s="116">
        <f>V8*1.16</f>
        <v>0</v>
      </c>
    </row>
    <row r="9" spans="1:24" ht="51" customHeight="1" x14ac:dyDescent="0.35">
      <c r="A9" s="141">
        <f>PREMISAS!C15</f>
        <v>0</v>
      </c>
      <c r="C9" s="115">
        <f>'F08 INGRESOS'!M13</f>
        <v>0</v>
      </c>
      <c r="D9" s="115">
        <f>'F08 INGRESOS'!N13</f>
        <v>0</v>
      </c>
      <c r="E9" s="115">
        <f>'F08 INGRESOS'!O13</f>
        <v>0</v>
      </c>
      <c r="F9" s="115">
        <f>'F08 INGRESOS'!P13</f>
        <v>0</v>
      </c>
      <c r="G9" s="115">
        <f>'F08 INGRESOS'!Q13</f>
        <v>0</v>
      </c>
      <c r="H9" s="115">
        <f>'F08 INGRESOS'!R13</f>
        <v>0</v>
      </c>
      <c r="I9" s="115">
        <f>'F08 INGRESOS'!S13</f>
        <v>0</v>
      </c>
      <c r="J9" s="115">
        <f>'F08 INGRESOS'!T13</f>
        <v>0</v>
      </c>
      <c r="K9" s="115">
        <f>'F08 INGRESOS'!U13</f>
        <v>0</v>
      </c>
      <c r="L9" s="115">
        <f>'F08 INGRESOS'!V13</f>
        <v>0</v>
      </c>
      <c r="M9" s="115">
        <f>'F08 INGRESOS'!W13</f>
        <v>0</v>
      </c>
      <c r="N9" s="115">
        <f>'F08 INGRESOS'!X13</f>
        <v>0</v>
      </c>
      <c r="O9" s="115">
        <f>'F08 INGRESOS'!Y13</f>
        <v>0</v>
      </c>
      <c r="P9" s="115">
        <f>'F08 INGRESOS'!Z13</f>
        <v>0</v>
      </c>
      <c r="Q9" s="113"/>
      <c r="R9" s="116">
        <f>SUM(C9:P9)</f>
        <v>0</v>
      </c>
      <c r="S9" s="116"/>
      <c r="T9" s="116">
        <f>R9*1.16</f>
        <v>0</v>
      </c>
      <c r="U9" s="116"/>
      <c r="V9" s="116">
        <f>+R9/$E$37</f>
        <v>0</v>
      </c>
      <c r="W9" s="116"/>
      <c r="X9" s="116">
        <f>V9*1.16</f>
        <v>0</v>
      </c>
    </row>
    <row r="10" spans="1:24" ht="23" customHeight="1" thickBot="1" x14ac:dyDescent="0.4">
      <c r="A10" s="119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13"/>
      <c r="R10" s="116"/>
      <c r="S10" s="116"/>
      <c r="T10" s="116"/>
      <c r="U10" s="116"/>
      <c r="V10" s="116"/>
      <c r="W10" s="116"/>
      <c r="X10" s="116"/>
    </row>
    <row r="11" spans="1:24" s="95" customFormat="1" ht="23" customHeight="1" thickBot="1" x14ac:dyDescent="0.4">
      <c r="A11" s="143" t="s">
        <v>300</v>
      </c>
      <c r="B11" s="102"/>
      <c r="C11" s="156">
        <f t="shared" ref="C11:P11" si="0">SUM(C6:C10)</f>
        <v>0</v>
      </c>
      <c r="D11" s="157">
        <f t="shared" si="0"/>
        <v>0</v>
      </c>
      <c r="E11" s="157">
        <f t="shared" si="0"/>
        <v>0</v>
      </c>
      <c r="F11" s="157">
        <f t="shared" si="0"/>
        <v>0</v>
      </c>
      <c r="G11" s="157">
        <f t="shared" si="0"/>
        <v>0</v>
      </c>
      <c r="H11" s="157">
        <f t="shared" si="0"/>
        <v>0</v>
      </c>
      <c r="I11" s="157">
        <f t="shared" si="0"/>
        <v>0</v>
      </c>
      <c r="J11" s="157">
        <f t="shared" si="0"/>
        <v>0</v>
      </c>
      <c r="K11" s="157">
        <f t="shared" si="0"/>
        <v>0</v>
      </c>
      <c r="L11" s="157">
        <f t="shared" si="0"/>
        <v>0</v>
      </c>
      <c r="M11" s="157">
        <f t="shared" si="0"/>
        <v>0</v>
      </c>
      <c r="N11" s="157">
        <f t="shared" si="0"/>
        <v>0</v>
      </c>
      <c r="O11" s="157">
        <f t="shared" si="0"/>
        <v>0</v>
      </c>
      <c r="P11" s="158">
        <f t="shared" si="0"/>
        <v>0</v>
      </c>
      <c r="Q11" s="113"/>
      <c r="R11" s="118">
        <f>SUM(C11:P11)</f>
        <v>0</v>
      </c>
    </row>
    <row r="12" spans="1:24" s="95" customFormat="1" ht="23" customHeight="1" thickBot="1" x14ac:dyDescent="0.4">
      <c r="A12" s="121"/>
      <c r="B12" s="102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3"/>
    </row>
    <row r="13" spans="1:24" s="95" customFormat="1" ht="23" customHeight="1" thickBot="1" x14ac:dyDescent="0.4">
      <c r="A13" s="144" t="s">
        <v>303</v>
      </c>
      <c r="B13" s="102"/>
      <c r="C13" s="156">
        <f t="shared" ref="C13:D13" si="1">+C11*1.16</f>
        <v>0</v>
      </c>
      <c r="D13" s="157">
        <f t="shared" si="1"/>
        <v>0</v>
      </c>
      <c r="E13" s="157">
        <f>+E11*1.16</f>
        <v>0</v>
      </c>
      <c r="F13" s="157">
        <f t="shared" ref="F13:P13" si="2">+F11*1.16</f>
        <v>0</v>
      </c>
      <c r="G13" s="157">
        <f t="shared" si="2"/>
        <v>0</v>
      </c>
      <c r="H13" s="157">
        <f t="shared" si="2"/>
        <v>0</v>
      </c>
      <c r="I13" s="157">
        <f t="shared" si="2"/>
        <v>0</v>
      </c>
      <c r="J13" s="157">
        <f t="shared" si="2"/>
        <v>0</v>
      </c>
      <c r="K13" s="157">
        <f t="shared" si="2"/>
        <v>0</v>
      </c>
      <c r="L13" s="157">
        <f t="shared" si="2"/>
        <v>0</v>
      </c>
      <c r="M13" s="157">
        <f t="shared" si="2"/>
        <v>0</v>
      </c>
      <c r="N13" s="157">
        <f t="shared" si="2"/>
        <v>0</v>
      </c>
      <c r="O13" s="157">
        <f t="shared" si="2"/>
        <v>0</v>
      </c>
      <c r="P13" s="158">
        <f t="shared" si="2"/>
        <v>0</v>
      </c>
      <c r="Q13" s="113"/>
      <c r="R13" s="118">
        <f>SUM(C13:P13)</f>
        <v>0</v>
      </c>
    </row>
    <row r="14" spans="1:24" ht="23" customHeight="1" x14ac:dyDescent="0.35">
      <c r="A14" s="122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13"/>
      <c r="R14" s="116"/>
      <c r="S14" s="116"/>
      <c r="T14" s="116"/>
      <c r="U14" s="116"/>
      <c r="V14" s="116"/>
      <c r="W14" s="116"/>
      <c r="X14" s="116"/>
    </row>
    <row r="15" spans="1:24" ht="23" customHeight="1" x14ac:dyDescent="0.35">
      <c r="A15" s="124" t="s">
        <v>325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13"/>
      <c r="R15" s="116"/>
      <c r="S15" s="116"/>
      <c r="T15" s="116"/>
      <c r="U15" s="116"/>
      <c r="V15" s="116"/>
      <c r="W15" s="116"/>
      <c r="X15" s="116"/>
    </row>
    <row r="16" spans="1:24" ht="23" customHeight="1" x14ac:dyDescent="0.35">
      <c r="A16" s="125" t="s">
        <v>27</v>
      </c>
      <c r="C16" s="123">
        <f>EGRESOS!D37</f>
        <v>0</v>
      </c>
      <c r="D16" s="123">
        <f>EGRESOS!E37</f>
        <v>94460.018059868424</v>
      </c>
      <c r="E16" s="123">
        <f>EGRESOS!F37</f>
        <v>93260.018059868424</v>
      </c>
      <c r="F16" s="123">
        <f>EGRESOS!G37</f>
        <v>92810.018059868424</v>
      </c>
      <c r="G16" s="123">
        <f>EGRESOS!H37</f>
        <v>95060.018059868424</v>
      </c>
      <c r="H16" s="123">
        <f>EGRESOS!I37</f>
        <v>98142.518381296992</v>
      </c>
      <c r="I16" s="123">
        <f>EGRESOS!J37</f>
        <v>94663.018059868424</v>
      </c>
      <c r="J16" s="123">
        <f>EGRESOS!K37</f>
        <v>92810.018059868424</v>
      </c>
      <c r="K16" s="123">
        <f>EGRESOS!L37</f>
        <v>92810.018059868424</v>
      </c>
      <c r="L16" s="123">
        <f>EGRESOS!M37</f>
        <v>92810.018059868424</v>
      </c>
      <c r="M16" s="123">
        <f>EGRESOS!N37</f>
        <v>92810.018059868424</v>
      </c>
      <c r="N16" s="123">
        <f>EGRESOS!O37</f>
        <v>92810.018059868424</v>
      </c>
      <c r="O16" s="123">
        <f>EGRESOS!P37</f>
        <v>107791.26886343985</v>
      </c>
      <c r="P16" s="123">
        <f>EGRESOS!Q37</f>
        <v>97810.018059868424</v>
      </c>
      <c r="Q16" s="113"/>
      <c r="R16" s="116">
        <f>SUM(C16:P16)</f>
        <v>1238046.9859032892</v>
      </c>
      <c r="S16" s="116"/>
      <c r="T16" s="116"/>
      <c r="U16" s="116"/>
      <c r="V16" s="116">
        <f>+R16/$E$37</f>
        <v>61902.349295164458</v>
      </c>
      <c r="W16" s="116"/>
      <c r="X16" s="116">
        <f>+V16*1.16</f>
        <v>71806.725182390772</v>
      </c>
    </row>
    <row r="17" spans="1:24" ht="23" customHeight="1" x14ac:dyDescent="0.35">
      <c r="A17" s="125" t="s">
        <v>69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13"/>
      <c r="R17" s="116"/>
      <c r="S17" s="116"/>
      <c r="T17" s="116"/>
      <c r="U17" s="116"/>
      <c r="V17" s="116"/>
      <c r="W17" s="116"/>
      <c r="X17" s="116"/>
    </row>
    <row r="18" spans="1:24" ht="23" customHeight="1" x14ac:dyDescent="0.35">
      <c r="A18" s="125" t="s">
        <v>28</v>
      </c>
      <c r="C18" s="123">
        <f>EGRESOS!D35</f>
        <v>0</v>
      </c>
      <c r="D18" s="123">
        <f>EGRESOS!E35</f>
        <v>0</v>
      </c>
      <c r="E18" s="123">
        <f>EGRESOS!F35</f>
        <v>31800</v>
      </c>
      <c r="F18" s="123">
        <f>EGRESOS!G35</f>
        <v>0</v>
      </c>
      <c r="G18" s="123">
        <f>EGRESOS!H35</f>
        <v>0</v>
      </c>
      <c r="H18" s="123">
        <f>EGRESOS!I35</f>
        <v>0</v>
      </c>
      <c r="I18" s="123">
        <f>EGRESOS!J35</f>
        <v>0</v>
      </c>
      <c r="J18" s="123">
        <f>EGRESOS!K35</f>
        <v>0</v>
      </c>
      <c r="K18" s="123">
        <f>EGRESOS!L35</f>
        <v>0</v>
      </c>
      <c r="L18" s="123">
        <f>EGRESOS!M35</f>
        <v>0</v>
      </c>
      <c r="M18" s="123">
        <f>EGRESOS!N35</f>
        <v>0</v>
      </c>
      <c r="N18" s="123">
        <f>EGRESOS!O35</f>
        <v>0</v>
      </c>
      <c r="O18" s="123">
        <f>EGRESOS!P35</f>
        <v>0</v>
      </c>
      <c r="P18" s="123">
        <f>EGRESOS!Q35</f>
        <v>0</v>
      </c>
      <c r="Q18" s="113"/>
      <c r="R18" s="116">
        <f>SUM(C18:P18)</f>
        <v>31800</v>
      </c>
      <c r="S18" s="116"/>
      <c r="T18" s="116"/>
      <c r="U18" s="116"/>
      <c r="V18" s="116">
        <f>+R18/$E$37</f>
        <v>1590</v>
      </c>
      <c r="W18" s="116"/>
      <c r="X18" s="116">
        <f>+V18*1.16</f>
        <v>1844.3999999999999</v>
      </c>
    </row>
    <row r="19" spans="1:24" ht="23" customHeight="1" thickBot="1" x14ac:dyDescent="0.4">
      <c r="A19" s="126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13"/>
      <c r="R19" s="116"/>
      <c r="S19" s="116"/>
      <c r="T19" s="116"/>
      <c r="U19" s="116"/>
      <c r="V19" s="116"/>
      <c r="W19" s="116"/>
      <c r="X19" s="116"/>
    </row>
    <row r="20" spans="1:24" ht="23" customHeight="1" thickBot="1" x14ac:dyDescent="0.4">
      <c r="A20" s="127" t="s">
        <v>307</v>
      </c>
      <c r="C20" s="128">
        <f>SUM(C16:C19)</f>
        <v>0</v>
      </c>
      <c r="D20" s="129">
        <f t="shared" ref="D20:P20" si="3">SUM(D16:D19)</f>
        <v>94460.018059868424</v>
      </c>
      <c r="E20" s="129">
        <f t="shared" si="3"/>
        <v>125060.01805986842</v>
      </c>
      <c r="F20" s="129">
        <f t="shared" si="3"/>
        <v>92810.018059868424</v>
      </c>
      <c r="G20" s="129">
        <f t="shared" si="3"/>
        <v>95060.018059868424</v>
      </c>
      <c r="H20" s="129">
        <f t="shared" si="3"/>
        <v>98142.518381296992</v>
      </c>
      <c r="I20" s="129">
        <f t="shared" si="3"/>
        <v>94663.018059868424</v>
      </c>
      <c r="J20" s="129">
        <f t="shared" si="3"/>
        <v>92810.018059868424</v>
      </c>
      <c r="K20" s="129">
        <f t="shared" si="3"/>
        <v>92810.018059868424</v>
      </c>
      <c r="L20" s="129">
        <f t="shared" si="3"/>
        <v>92810.018059868424</v>
      </c>
      <c r="M20" s="129">
        <f t="shared" si="3"/>
        <v>92810.018059868424</v>
      </c>
      <c r="N20" s="129">
        <f t="shared" si="3"/>
        <v>92810.018059868424</v>
      </c>
      <c r="O20" s="129">
        <f t="shared" si="3"/>
        <v>107791.26886343985</v>
      </c>
      <c r="P20" s="129">
        <f t="shared" si="3"/>
        <v>97810.018059868424</v>
      </c>
      <c r="Q20" s="113"/>
      <c r="R20" s="116">
        <f>SUM(C20:P20)</f>
        <v>1269846.9859032892</v>
      </c>
      <c r="S20" s="116"/>
      <c r="T20" s="116">
        <f>+R20*1.16</f>
        <v>1473022.5036478154</v>
      </c>
      <c r="U20" s="116"/>
      <c r="V20" s="116">
        <f>+R20/$E$37</f>
        <v>63492.349295164458</v>
      </c>
      <c r="W20" s="116"/>
      <c r="X20" s="116">
        <f>+V20*1.16</f>
        <v>73651.125182390766</v>
      </c>
    </row>
    <row r="21" spans="1:24" ht="23" customHeight="1" thickBot="1" x14ac:dyDescent="0.4">
      <c r="A21" s="126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13"/>
      <c r="R21" s="116"/>
      <c r="S21" s="116"/>
      <c r="T21" s="116"/>
      <c r="U21" s="116"/>
      <c r="V21" s="116"/>
      <c r="W21" s="116"/>
      <c r="X21" s="116"/>
    </row>
    <row r="22" spans="1:24" ht="23" customHeight="1" thickBot="1" x14ac:dyDescent="0.4">
      <c r="A22" s="127" t="s">
        <v>306</v>
      </c>
      <c r="C22" s="130">
        <f>+C20*1.16</f>
        <v>0</v>
      </c>
      <c r="D22" s="131">
        <f t="shared" ref="D22:P22" si="4">+D20*1.16</f>
        <v>109573.62094944736</v>
      </c>
      <c r="E22" s="131">
        <f t="shared" si="4"/>
        <v>145069.62094944736</v>
      </c>
      <c r="F22" s="131">
        <f t="shared" si="4"/>
        <v>107659.62094944736</v>
      </c>
      <c r="G22" s="131">
        <f t="shared" si="4"/>
        <v>110269.62094944736</v>
      </c>
      <c r="H22" s="131">
        <f t="shared" si="4"/>
        <v>113845.3213223045</v>
      </c>
      <c r="I22" s="131">
        <f t="shared" si="4"/>
        <v>109809.10094944737</v>
      </c>
      <c r="J22" s="131">
        <f t="shared" si="4"/>
        <v>107659.62094944736</v>
      </c>
      <c r="K22" s="131">
        <f t="shared" si="4"/>
        <v>107659.62094944736</v>
      </c>
      <c r="L22" s="131">
        <f t="shared" si="4"/>
        <v>107659.62094944736</v>
      </c>
      <c r="M22" s="131">
        <f t="shared" si="4"/>
        <v>107659.62094944736</v>
      </c>
      <c r="N22" s="131">
        <f t="shared" si="4"/>
        <v>107659.62094944736</v>
      </c>
      <c r="O22" s="131">
        <f t="shared" si="4"/>
        <v>125037.87188159022</v>
      </c>
      <c r="P22" s="131">
        <f t="shared" si="4"/>
        <v>113459.62094944736</v>
      </c>
      <c r="Q22" s="113"/>
      <c r="R22" s="116">
        <f>SUM(C22:P22)</f>
        <v>1473022.5036478159</v>
      </c>
      <c r="S22" s="116"/>
      <c r="T22" s="116">
        <f>+R22*1.16</f>
        <v>1708706.1042314663</v>
      </c>
      <c r="U22" s="116"/>
      <c r="V22" s="116">
        <f>+R22/$E$37</f>
        <v>73651.125182390795</v>
      </c>
      <c r="W22" s="116"/>
      <c r="X22" s="116">
        <f>+V22*1.16</f>
        <v>85435.305211573315</v>
      </c>
    </row>
    <row r="23" spans="1:24" ht="23" customHeight="1" thickBot="1" x14ac:dyDescent="0.4">
      <c r="A23" s="122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13"/>
      <c r="R23" s="123"/>
      <c r="S23" s="123"/>
      <c r="T23" s="123"/>
      <c r="U23" s="123"/>
      <c r="V23" s="123"/>
      <c r="W23" s="123"/>
      <c r="X23" s="123"/>
    </row>
    <row r="24" spans="1:24" ht="23" customHeight="1" thickBot="1" x14ac:dyDescent="0.4">
      <c r="A24" s="132" t="s">
        <v>29</v>
      </c>
      <c r="C24" s="133">
        <f>C11-C20</f>
        <v>0</v>
      </c>
      <c r="D24" s="134">
        <f t="shared" ref="D24:P24" si="5">D11-D20</f>
        <v>-94460.018059868424</v>
      </c>
      <c r="E24" s="134">
        <f t="shared" si="5"/>
        <v>-125060.01805986842</v>
      </c>
      <c r="F24" s="134">
        <f t="shared" si="5"/>
        <v>-92810.018059868424</v>
      </c>
      <c r="G24" s="134">
        <f t="shared" si="5"/>
        <v>-95060.018059868424</v>
      </c>
      <c r="H24" s="134">
        <f t="shared" si="5"/>
        <v>-98142.518381296992</v>
      </c>
      <c r="I24" s="134">
        <f t="shared" si="5"/>
        <v>-94663.018059868424</v>
      </c>
      <c r="J24" s="134">
        <f t="shared" si="5"/>
        <v>-92810.018059868424</v>
      </c>
      <c r="K24" s="134">
        <f t="shared" si="5"/>
        <v>-92810.018059868424</v>
      </c>
      <c r="L24" s="134">
        <f t="shared" si="5"/>
        <v>-92810.018059868424</v>
      </c>
      <c r="M24" s="134">
        <f t="shared" si="5"/>
        <v>-92810.018059868424</v>
      </c>
      <c r="N24" s="134">
        <f t="shared" si="5"/>
        <v>-92810.018059868424</v>
      </c>
      <c r="O24" s="134">
        <f t="shared" si="5"/>
        <v>-107791.26886343985</v>
      </c>
      <c r="P24" s="134">
        <f t="shared" si="5"/>
        <v>-97810.018059868424</v>
      </c>
      <c r="Q24" s="113"/>
      <c r="R24" s="123"/>
      <c r="S24" s="123"/>
      <c r="T24" s="123"/>
      <c r="U24" s="123"/>
      <c r="V24" s="123"/>
      <c r="W24" s="123"/>
      <c r="X24" s="123"/>
    </row>
    <row r="25" spans="1:24" ht="23" customHeight="1" thickBot="1" x14ac:dyDescent="0.4">
      <c r="A25" s="122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13"/>
      <c r="R25" s="123"/>
      <c r="S25" s="123"/>
      <c r="T25" s="123"/>
      <c r="U25" s="123"/>
      <c r="V25" s="123"/>
      <c r="W25" s="123"/>
      <c r="X25" s="123"/>
    </row>
    <row r="26" spans="1:24" ht="23" customHeight="1" thickBot="1" x14ac:dyDescent="0.4">
      <c r="A26" s="132" t="s">
        <v>52</v>
      </c>
      <c r="C26" s="133">
        <f>+C24*1.16</f>
        <v>0</v>
      </c>
      <c r="D26" s="134">
        <f t="shared" ref="D26:N26" si="6">+D24*1.16</f>
        <v>-109573.62094944736</v>
      </c>
      <c r="E26" s="134">
        <f t="shared" si="6"/>
        <v>-145069.62094944736</v>
      </c>
      <c r="F26" s="134">
        <f t="shared" si="6"/>
        <v>-107659.62094944736</v>
      </c>
      <c r="G26" s="134">
        <f t="shared" si="6"/>
        <v>-110269.62094944736</v>
      </c>
      <c r="H26" s="134">
        <f t="shared" si="6"/>
        <v>-113845.3213223045</v>
      </c>
      <c r="I26" s="134">
        <f t="shared" si="6"/>
        <v>-109809.10094944737</v>
      </c>
      <c r="J26" s="134">
        <f t="shared" si="6"/>
        <v>-107659.62094944736</v>
      </c>
      <c r="K26" s="134">
        <f t="shared" si="6"/>
        <v>-107659.62094944736</v>
      </c>
      <c r="L26" s="134">
        <f t="shared" si="6"/>
        <v>-107659.62094944736</v>
      </c>
      <c r="M26" s="134">
        <f t="shared" si="6"/>
        <v>-107659.62094944736</v>
      </c>
      <c r="N26" s="134">
        <f t="shared" si="6"/>
        <v>-107659.62094944736</v>
      </c>
      <c r="O26" s="134">
        <f t="shared" ref="O26:P26" si="7">+O24*1.16</f>
        <v>-125037.87188159022</v>
      </c>
      <c r="P26" s="134">
        <f t="shared" si="7"/>
        <v>-113459.62094944736</v>
      </c>
      <c r="Q26" s="113"/>
      <c r="R26" s="123"/>
      <c r="S26" s="123"/>
      <c r="T26" s="123"/>
      <c r="U26" s="123"/>
      <c r="V26" s="123"/>
      <c r="W26" s="123"/>
      <c r="X26" s="123"/>
    </row>
    <row r="27" spans="1:24" ht="23" customHeight="1" x14ac:dyDescent="0.35">
      <c r="A27" s="122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13"/>
      <c r="R27" s="123"/>
      <c r="S27" s="123"/>
      <c r="T27" s="123"/>
      <c r="U27" s="123"/>
      <c r="V27" s="123"/>
      <c r="W27" s="123"/>
      <c r="X27" s="123"/>
    </row>
    <row r="28" spans="1:24" ht="23" customHeight="1" x14ac:dyDescent="0.35">
      <c r="A28" s="113" t="s">
        <v>30</v>
      </c>
      <c r="C28" s="135">
        <f>+C24</f>
        <v>0</v>
      </c>
      <c r="D28" s="135">
        <f>+D24+C28</f>
        <v>-94460.018059868424</v>
      </c>
      <c r="E28" s="135">
        <f t="shared" ref="E28:P28" si="8">+E24+D28</f>
        <v>-219520.03611973685</v>
      </c>
      <c r="F28" s="135">
        <f t="shared" si="8"/>
        <v>-312330.05417960527</v>
      </c>
      <c r="G28" s="135">
        <f t="shared" si="8"/>
        <v>-407390.07223947369</v>
      </c>
      <c r="H28" s="135">
        <f t="shared" si="8"/>
        <v>-505532.5906207707</v>
      </c>
      <c r="I28" s="135">
        <f t="shared" si="8"/>
        <v>-600195.60868063918</v>
      </c>
      <c r="J28" s="135">
        <f t="shared" si="8"/>
        <v>-693005.62674050755</v>
      </c>
      <c r="K28" s="135">
        <f t="shared" si="8"/>
        <v>-785815.64480037591</v>
      </c>
      <c r="L28" s="135">
        <f t="shared" si="8"/>
        <v>-878625.66286024428</v>
      </c>
      <c r="M28" s="135">
        <f t="shared" si="8"/>
        <v>-971435.68092011265</v>
      </c>
      <c r="N28" s="135">
        <f t="shared" si="8"/>
        <v>-1064245.698979981</v>
      </c>
      <c r="O28" s="135">
        <f t="shared" si="8"/>
        <v>-1172036.9678434208</v>
      </c>
      <c r="P28" s="135">
        <f t="shared" si="8"/>
        <v>-1269846.9859032892</v>
      </c>
      <c r="Q28" s="113"/>
      <c r="R28" s="123"/>
      <c r="S28" s="123"/>
      <c r="T28" s="123"/>
      <c r="U28" s="123"/>
      <c r="V28" s="123"/>
      <c r="W28" s="123"/>
      <c r="X28" s="123"/>
    </row>
    <row r="29" spans="1:24" ht="23" customHeight="1" x14ac:dyDescent="0.35">
      <c r="A29" s="122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13"/>
      <c r="R29" s="123"/>
      <c r="S29" s="123"/>
      <c r="T29" s="123"/>
      <c r="U29" s="123"/>
      <c r="V29" s="123"/>
      <c r="W29" s="123"/>
      <c r="X29" s="123"/>
    </row>
    <row r="30" spans="1:24" ht="23" customHeight="1" x14ac:dyDescent="0.35">
      <c r="A30" s="113" t="s">
        <v>53</v>
      </c>
      <c r="C30" s="135">
        <f>+C28*1.16</f>
        <v>0</v>
      </c>
      <c r="D30" s="135">
        <f t="shared" ref="D30:P30" si="9">+D28*1.16</f>
        <v>-109573.62094944736</v>
      </c>
      <c r="E30" s="135">
        <f t="shared" si="9"/>
        <v>-254643.24189889472</v>
      </c>
      <c r="F30" s="135">
        <f t="shared" si="9"/>
        <v>-362302.86284834211</v>
      </c>
      <c r="G30" s="135">
        <f t="shared" si="9"/>
        <v>-472572.48379778943</v>
      </c>
      <c r="H30" s="135">
        <f t="shared" si="9"/>
        <v>-586417.80512009398</v>
      </c>
      <c r="I30" s="135">
        <f t="shared" si="9"/>
        <v>-696226.90606954135</v>
      </c>
      <c r="J30" s="135">
        <f t="shared" si="9"/>
        <v>-803886.52701898874</v>
      </c>
      <c r="K30" s="135">
        <f t="shared" si="9"/>
        <v>-911546.14796843601</v>
      </c>
      <c r="L30" s="135">
        <f t="shared" si="9"/>
        <v>-1019205.7689178833</v>
      </c>
      <c r="M30" s="135">
        <f t="shared" si="9"/>
        <v>-1126865.3898673307</v>
      </c>
      <c r="N30" s="135">
        <f t="shared" si="9"/>
        <v>-1234525.0108167778</v>
      </c>
      <c r="O30" s="135">
        <f t="shared" si="9"/>
        <v>-1359562.882698368</v>
      </c>
      <c r="P30" s="135">
        <f t="shared" si="9"/>
        <v>-1473022.5036478154</v>
      </c>
      <c r="Q30" s="113"/>
      <c r="R30" s="123"/>
      <c r="S30" s="123"/>
      <c r="T30" s="123"/>
      <c r="U30" s="123"/>
      <c r="V30" s="123"/>
      <c r="W30" s="123"/>
      <c r="X30" s="123"/>
    </row>
    <row r="31" spans="1:24" ht="23" customHeight="1" thickBot="1" x14ac:dyDescent="0.4">
      <c r="Q31" s="113"/>
    </row>
    <row r="32" spans="1:24" ht="23" customHeight="1" x14ac:dyDescent="0.35">
      <c r="C32" s="159" t="s">
        <v>342</v>
      </c>
      <c r="D32" s="160">
        <f>AVERAGE(C16:P16)</f>
        <v>88431.927564520651</v>
      </c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13"/>
      <c r="R32" s="136"/>
    </row>
    <row r="33" spans="3:17" ht="23" customHeight="1" x14ac:dyDescent="0.35">
      <c r="C33" s="161" t="s">
        <v>28</v>
      </c>
      <c r="D33" s="162">
        <f>SUM(C18:G18)</f>
        <v>31800</v>
      </c>
      <c r="Q33" s="113"/>
    </row>
    <row r="34" spans="3:17" ht="23" customHeight="1" thickBot="1" x14ac:dyDescent="0.4">
      <c r="C34" s="163" t="s">
        <v>343</v>
      </c>
      <c r="D34" s="164">
        <f>SUM(C16:P16)</f>
        <v>1238046.9859032892</v>
      </c>
      <c r="K34" s="137"/>
      <c r="L34" s="117"/>
      <c r="Q34" s="113"/>
    </row>
    <row r="35" spans="3:17" ht="23" customHeight="1" x14ac:dyDescent="0.35">
      <c r="Q35" s="113"/>
    </row>
    <row r="36" spans="3:17" ht="23" customHeight="1" x14ac:dyDescent="0.35">
      <c r="C36" s="304" t="s">
        <v>33</v>
      </c>
      <c r="D36" s="304"/>
      <c r="E36" s="304"/>
      <c r="G36" s="137" t="s">
        <v>329</v>
      </c>
      <c r="H36" s="137"/>
      <c r="I36" s="137"/>
      <c r="J36" s="137"/>
    </row>
    <row r="37" spans="3:17" ht="23" customHeight="1" x14ac:dyDescent="0.35">
      <c r="C37" s="302" t="s">
        <v>34</v>
      </c>
      <c r="D37" s="302"/>
      <c r="E37" s="146">
        <f>PREMISAS!I23</f>
        <v>20</v>
      </c>
      <c r="F37" s="137"/>
      <c r="G37" s="137"/>
      <c r="H37" s="146"/>
      <c r="I37" s="145" t="s">
        <v>35</v>
      </c>
      <c r="J37" s="146">
        <f>SUM(R11)/1000000</f>
        <v>0</v>
      </c>
    </row>
    <row r="38" spans="3:17" ht="23" customHeight="1" x14ac:dyDescent="0.35">
      <c r="C38" s="302"/>
      <c r="D38" s="302"/>
      <c r="E38" s="146"/>
      <c r="F38" s="137" t="s">
        <v>56</v>
      </c>
      <c r="G38" s="147"/>
      <c r="H38" s="147"/>
      <c r="I38" s="145" t="s">
        <v>36</v>
      </c>
      <c r="J38" s="146">
        <f>SUM(R20)/1000000</f>
        <v>1.2698469859032893</v>
      </c>
    </row>
    <row r="39" spans="3:17" ht="18" customHeight="1" x14ac:dyDescent="0.35">
      <c r="C39" s="302"/>
      <c r="D39" s="302"/>
      <c r="E39" s="146"/>
      <c r="F39" s="137" t="s">
        <v>56</v>
      </c>
      <c r="G39" s="147"/>
      <c r="H39" s="147"/>
      <c r="I39" s="145"/>
      <c r="J39" s="146"/>
    </row>
    <row r="40" spans="3:17" ht="18" customHeight="1" x14ac:dyDescent="0.35">
      <c r="C40" s="302" t="s">
        <v>77</v>
      </c>
      <c r="D40" s="302"/>
      <c r="E40" s="146"/>
      <c r="F40" s="137" t="s">
        <v>56</v>
      </c>
      <c r="G40" s="147"/>
      <c r="H40" s="147"/>
      <c r="I40" s="145"/>
      <c r="J40" s="146"/>
    </row>
    <row r="41" spans="3:17" ht="18" customHeight="1" x14ac:dyDescent="0.35">
      <c r="C41" s="302" t="s">
        <v>74</v>
      </c>
      <c r="D41" s="302"/>
      <c r="E41" s="146"/>
      <c r="F41" s="137" t="s">
        <v>56</v>
      </c>
      <c r="G41" s="146"/>
      <c r="H41" s="147"/>
      <c r="I41" s="145"/>
      <c r="J41" s="146"/>
    </row>
    <row r="42" spans="3:17" ht="18" customHeight="1" x14ac:dyDescent="0.35">
      <c r="C42" s="302" t="s">
        <v>78</v>
      </c>
      <c r="D42" s="302"/>
      <c r="E42" s="146"/>
      <c r="F42" s="137" t="s">
        <v>79</v>
      </c>
      <c r="G42" s="146"/>
      <c r="H42" s="147"/>
      <c r="I42" s="145"/>
      <c r="J42" s="146"/>
    </row>
    <row r="43" spans="3:17" ht="18" customHeight="1" x14ac:dyDescent="0.35">
      <c r="C43" s="302" t="s">
        <v>76</v>
      </c>
      <c r="D43" s="302"/>
      <c r="E43" s="146"/>
      <c r="F43" s="137" t="s">
        <v>56</v>
      </c>
      <c r="G43" s="137"/>
      <c r="H43" s="147"/>
      <c r="I43" s="145"/>
      <c r="J43" s="146"/>
    </row>
    <row r="44" spans="3:17" ht="18" customHeight="1" x14ac:dyDescent="0.35">
      <c r="C44" s="302" t="s">
        <v>49</v>
      </c>
      <c r="D44" s="302"/>
      <c r="E44" s="146"/>
      <c r="F44" s="137" t="s">
        <v>56</v>
      </c>
      <c r="G44" s="137"/>
      <c r="H44" s="147"/>
      <c r="I44" s="145"/>
      <c r="J44" s="146"/>
    </row>
    <row r="45" spans="3:17" ht="18" customHeight="1" x14ac:dyDescent="0.35">
      <c r="C45" s="302"/>
      <c r="D45" s="302"/>
      <c r="E45" s="146"/>
      <c r="F45" s="137"/>
      <c r="G45" s="137"/>
      <c r="H45" s="137"/>
      <c r="I45" s="145"/>
      <c r="J45" s="148"/>
    </row>
    <row r="46" spans="3:17" ht="18" customHeight="1" x14ac:dyDescent="0.35">
      <c r="C46" s="302" t="s">
        <v>71</v>
      </c>
      <c r="D46" s="302"/>
      <c r="E46" s="146"/>
      <c r="F46" s="137" t="s">
        <v>56</v>
      </c>
      <c r="G46" s="137" t="s">
        <v>37</v>
      </c>
      <c r="H46" s="146">
        <f>(R11-R20)/1000000</f>
        <v>-1.2698469859032893</v>
      </c>
      <c r="I46" s="145" t="s">
        <v>38</v>
      </c>
      <c r="J46" s="146">
        <f>H46/E50</f>
        <v>-0.84656465726885954</v>
      </c>
    </row>
    <row r="47" spans="3:17" ht="18" customHeight="1" x14ac:dyDescent="0.35">
      <c r="C47" s="302" t="s">
        <v>55</v>
      </c>
      <c r="D47" s="302"/>
      <c r="E47" s="138">
        <f>MIN(C30:P30)</f>
        <v>-1473022.5036478154</v>
      </c>
      <c r="F47" s="137"/>
      <c r="G47" s="137" t="s">
        <v>39</v>
      </c>
      <c r="H47" s="146">
        <f>(NPV(E48/18,D24:P24))/1000000</f>
        <v>-1.2130658723906431</v>
      </c>
      <c r="I47" s="145" t="s">
        <v>40</v>
      </c>
      <c r="J47" s="146">
        <f>H47/E50</f>
        <v>-0.80871058159376208</v>
      </c>
    </row>
    <row r="48" spans="3:17" ht="18" customHeight="1" x14ac:dyDescent="0.35">
      <c r="C48" s="302" t="s">
        <v>41</v>
      </c>
      <c r="D48" s="302"/>
      <c r="E48" s="149">
        <v>0.12</v>
      </c>
      <c r="F48" s="137"/>
      <c r="G48" s="137" t="s">
        <v>42</v>
      </c>
      <c r="H48" s="146">
        <f>(NPV(E48/18,D18:P18))/1000000</f>
        <v>3.1380202622691991E-2</v>
      </c>
      <c r="I48" s="137"/>
      <c r="J48" s="137"/>
    </row>
    <row r="49" spans="3:10" ht="18" customHeight="1" x14ac:dyDescent="0.35">
      <c r="C49" s="302" t="s">
        <v>70</v>
      </c>
      <c r="D49" s="302"/>
      <c r="E49" s="145"/>
      <c r="F49" s="137"/>
      <c r="G49" s="137" t="s">
        <v>45</v>
      </c>
      <c r="H49" s="145"/>
      <c r="I49" s="137" t="s">
        <v>46</v>
      </c>
      <c r="J49" s="137"/>
    </row>
    <row r="50" spans="3:10" ht="18" customHeight="1" x14ac:dyDescent="0.35">
      <c r="C50" s="302" t="s">
        <v>47</v>
      </c>
      <c r="D50" s="302"/>
      <c r="E50" s="150">
        <v>1.5</v>
      </c>
      <c r="F50" s="137"/>
      <c r="G50" s="137" t="s">
        <v>43</v>
      </c>
      <c r="H50" s="139" t="e">
        <f>XIRR(D24:P24,D4:P4)</f>
        <v>#VALUE!</v>
      </c>
      <c r="I50" s="137" t="s">
        <v>326</v>
      </c>
      <c r="J50" s="137"/>
    </row>
    <row r="51" spans="3:10" ht="18" customHeight="1" x14ac:dyDescent="0.35">
      <c r="C51" s="302"/>
      <c r="D51" s="302"/>
      <c r="E51" s="145"/>
      <c r="F51" s="137"/>
      <c r="G51" s="137" t="s">
        <v>48</v>
      </c>
      <c r="H51" s="149" t="e">
        <f>+H46/J37</f>
        <v>#DIV/0!</v>
      </c>
      <c r="I51" s="137"/>
      <c r="J51" s="137"/>
    </row>
    <row r="52" spans="3:10" ht="18" customHeight="1" x14ac:dyDescent="0.35">
      <c r="C52" s="302" t="s">
        <v>327</v>
      </c>
      <c r="D52" s="302"/>
      <c r="E52" s="146">
        <f>((AVERAGE(C16:P16)/1000000))</f>
        <v>8.8431927564520646E-2</v>
      </c>
      <c r="F52" s="137"/>
      <c r="G52" s="137"/>
      <c r="H52" s="145"/>
      <c r="I52" s="137"/>
      <c r="J52" s="137"/>
    </row>
    <row r="53" spans="3:10" ht="18" customHeight="1" x14ac:dyDescent="0.35">
      <c r="C53" s="302" t="s">
        <v>328</v>
      </c>
      <c r="D53" s="302"/>
      <c r="E53" s="146">
        <f>R18/1000000</f>
        <v>3.1800000000000002E-2</v>
      </c>
      <c r="F53" s="137"/>
      <c r="G53" s="137" t="s">
        <v>44</v>
      </c>
      <c r="H53" s="151">
        <f>H47/H48</f>
        <v>-38.657043964191544</v>
      </c>
      <c r="I53" s="137"/>
      <c r="J53" s="137"/>
    </row>
  </sheetData>
  <mergeCells count="22">
    <mergeCell ref="X4:X5"/>
    <mergeCell ref="V4:V5"/>
    <mergeCell ref="C36:E36"/>
    <mergeCell ref="R4:R5"/>
    <mergeCell ref="T4:T5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52:D52"/>
    <mergeCell ref="C53:D53"/>
    <mergeCell ref="C47:D47"/>
    <mergeCell ref="C48:D48"/>
    <mergeCell ref="C49:D49"/>
    <mergeCell ref="C50:D50"/>
    <mergeCell ref="C51:D51"/>
  </mergeCells>
  <phoneticPr fontId="8" type="noConversion"/>
  <conditionalFormatting sqref="C24:P24">
    <cfRule type="cellIs" dxfId="3" priority="18" operator="greaterThan">
      <formula>0</formula>
    </cfRule>
    <cfRule type="cellIs" dxfId="2" priority="58" operator="lessThan">
      <formula>0</formula>
    </cfRule>
  </conditionalFormatting>
  <conditionalFormatting sqref="C26:P30">
    <cfRule type="cellIs" dxfId="1" priority="5" operator="greaterThan">
      <formula>0</formula>
    </cfRule>
    <cfRule type="cellIs" dxfId="0" priority="6" operator="lessThan">
      <formula>0</formula>
    </cfRule>
  </conditionalFormatting>
  <pageMargins left="0.75" right="0.75" top="1" bottom="1" header="0.5" footer="0.5"/>
  <pageSetup orientation="portrait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  <pageSetUpPr fitToPage="1"/>
  </sheetPr>
  <dimension ref="A2:Z67"/>
  <sheetViews>
    <sheetView zoomScale="80" zoomScaleNormal="80" zoomScaleSheetLayoutView="40" zoomScalePageLayoutView="50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I47" sqref="I47"/>
    </sheetView>
  </sheetViews>
  <sheetFormatPr baseColWidth="10" defaultColWidth="10.5" defaultRowHeight="23" customHeight="1" x14ac:dyDescent="0.45"/>
  <cols>
    <col min="1" max="1" width="3.5" style="20" customWidth="1"/>
    <col min="2" max="2" width="52.33203125" style="39" bestFit="1" customWidth="1"/>
    <col min="3" max="3" width="2.83203125" style="20" customWidth="1"/>
    <col min="4" max="4" width="27.1640625" style="20" bestFit="1" customWidth="1"/>
    <col min="5" max="5" width="18.33203125" style="20" customWidth="1"/>
    <col min="6" max="6" width="18.83203125" style="20" customWidth="1"/>
    <col min="7" max="10" width="18.5" style="20" customWidth="1"/>
    <col min="11" max="12" width="18" style="20" customWidth="1"/>
    <col min="13" max="16" width="18.33203125" style="20" customWidth="1"/>
    <col min="17" max="17" width="18" style="20" customWidth="1"/>
    <col min="18" max="18" width="28" style="20" bestFit="1" customWidth="1"/>
    <col min="19" max="19" width="2.1640625" style="20" customWidth="1"/>
    <col min="20" max="20" width="27.5" style="20" bestFit="1" customWidth="1"/>
    <col min="21" max="21" width="8.1640625" style="21" customWidth="1"/>
    <col min="22" max="25" width="18.33203125" style="268" customWidth="1"/>
    <col min="26" max="26" width="10.5" style="268"/>
    <col min="27" max="16384" width="10.5" style="21"/>
  </cols>
  <sheetData>
    <row r="2" spans="1:26" ht="23" customHeight="1" x14ac:dyDescent="0.45">
      <c r="A2" s="320" t="s">
        <v>16</v>
      </c>
      <c r="B2" s="320"/>
    </row>
    <row r="3" spans="1:26" ht="23" customHeight="1" x14ac:dyDescent="0.45">
      <c r="A3" s="320"/>
      <c r="B3" s="320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U3" s="22"/>
    </row>
    <row r="4" spans="1:26" s="23" customFormat="1" ht="23" customHeight="1" x14ac:dyDescent="0.45">
      <c r="A4" s="320"/>
      <c r="B4" s="320"/>
      <c r="C4" s="20"/>
      <c r="D4" s="98" t="s">
        <v>74</v>
      </c>
      <c r="E4" s="98" t="s">
        <v>74</v>
      </c>
      <c r="F4" s="99" t="s">
        <v>57</v>
      </c>
      <c r="G4" s="98" t="s">
        <v>58</v>
      </c>
      <c r="H4" s="98" t="s">
        <v>59</v>
      </c>
      <c r="I4" s="98" t="s">
        <v>60</v>
      </c>
      <c r="J4" s="98" t="s">
        <v>61</v>
      </c>
      <c r="K4" s="98" t="s">
        <v>62</v>
      </c>
      <c r="L4" s="98" t="s">
        <v>63</v>
      </c>
      <c r="M4" s="98" t="s">
        <v>64</v>
      </c>
      <c r="N4" s="98" t="s">
        <v>65</v>
      </c>
      <c r="O4" s="98" t="s">
        <v>66</v>
      </c>
      <c r="P4" s="98" t="s">
        <v>67</v>
      </c>
      <c r="Q4" s="98" t="s">
        <v>68</v>
      </c>
      <c r="U4" s="22"/>
      <c r="V4" s="269"/>
      <c r="W4" s="269"/>
      <c r="X4" s="269"/>
      <c r="Y4" s="269"/>
      <c r="Z4" s="269"/>
    </row>
    <row r="5" spans="1:26" s="24" customFormat="1" ht="23" customHeight="1" x14ac:dyDescent="0.45">
      <c r="A5" s="320"/>
      <c r="B5" s="320"/>
      <c r="C5" s="20"/>
      <c r="D5" s="165" t="s">
        <v>332</v>
      </c>
      <c r="E5" s="165" t="s">
        <v>333</v>
      </c>
      <c r="F5" s="100" t="s">
        <v>334</v>
      </c>
      <c r="G5" s="100" t="s">
        <v>335</v>
      </c>
      <c r="H5" s="100" t="s">
        <v>336</v>
      </c>
      <c r="I5" s="100" t="s">
        <v>337</v>
      </c>
      <c r="J5" s="100" t="s">
        <v>338</v>
      </c>
      <c r="K5" s="100" t="s">
        <v>339</v>
      </c>
      <c r="L5" s="100" t="s">
        <v>340</v>
      </c>
      <c r="M5" s="100" t="s">
        <v>341</v>
      </c>
      <c r="N5" s="100" t="s">
        <v>330</v>
      </c>
      <c r="O5" s="100" t="s">
        <v>331</v>
      </c>
      <c r="P5" s="100" t="s">
        <v>332</v>
      </c>
      <c r="Q5" s="100" t="s">
        <v>333</v>
      </c>
      <c r="R5" s="316" t="s">
        <v>26</v>
      </c>
      <c r="T5" s="316" t="s">
        <v>31</v>
      </c>
      <c r="U5" s="22"/>
      <c r="V5" s="270"/>
      <c r="W5" s="270"/>
      <c r="X5" s="270"/>
      <c r="Y5" s="270"/>
      <c r="Z5" s="270"/>
    </row>
    <row r="6" spans="1:26" s="9" customFormat="1" ht="23" customHeight="1" x14ac:dyDescent="0.45">
      <c r="A6" s="320"/>
      <c r="B6" s="320"/>
      <c r="C6" s="20"/>
      <c r="D6" s="101">
        <v>31</v>
      </c>
      <c r="E6" s="101">
        <v>30</v>
      </c>
      <c r="F6" s="101">
        <v>31</v>
      </c>
      <c r="G6" s="101">
        <v>30</v>
      </c>
      <c r="H6" s="101">
        <v>31</v>
      </c>
      <c r="I6" s="101">
        <v>30</v>
      </c>
      <c r="J6" s="101">
        <v>31</v>
      </c>
      <c r="K6" s="101">
        <v>31</v>
      </c>
      <c r="L6" s="101">
        <v>28</v>
      </c>
      <c r="M6" s="101">
        <v>31</v>
      </c>
      <c r="N6" s="101">
        <v>30</v>
      </c>
      <c r="O6" s="101">
        <v>31</v>
      </c>
      <c r="P6" s="101">
        <v>30</v>
      </c>
      <c r="Q6" s="101">
        <v>31</v>
      </c>
      <c r="R6" s="316"/>
      <c r="T6" s="316"/>
      <c r="U6" s="22"/>
      <c r="V6" s="268"/>
      <c r="W6" s="268"/>
      <c r="X6" s="268"/>
      <c r="Y6" s="268"/>
      <c r="Z6" s="268"/>
    </row>
    <row r="7" spans="1:26" ht="23" customHeight="1" x14ac:dyDescent="0.45">
      <c r="B7" s="25"/>
      <c r="R7" s="21"/>
      <c r="S7" s="21"/>
      <c r="T7" s="21"/>
      <c r="U7" s="22"/>
    </row>
    <row r="8" spans="1:26" s="26" customFormat="1" ht="23" customHeight="1" x14ac:dyDescent="0.45">
      <c r="A8" s="317" t="s">
        <v>316</v>
      </c>
      <c r="B8" s="317"/>
      <c r="C8" s="20"/>
      <c r="D8" s="27">
        <f>'F00 INVERSIÓN'!L40</f>
        <v>0</v>
      </c>
      <c r="E8" s="27">
        <f>'F00 INVERSIÓN'!M40</f>
        <v>0</v>
      </c>
      <c r="F8" s="27">
        <f>'F00 INVERSIÓN'!N40</f>
        <v>31800</v>
      </c>
      <c r="G8" s="27">
        <f>'F00 INVERSIÓN'!O40</f>
        <v>0</v>
      </c>
      <c r="H8" s="27">
        <f>'F00 INVERSIÓN'!P40</f>
        <v>0</v>
      </c>
      <c r="I8" s="27">
        <f>'F00 INVERSIÓN'!Q40</f>
        <v>0</v>
      </c>
      <c r="J8" s="27">
        <f>'F00 INVERSIÓN'!R40</f>
        <v>0</v>
      </c>
      <c r="K8" s="27">
        <f>'F00 INVERSIÓN'!S40</f>
        <v>0</v>
      </c>
      <c r="L8" s="27">
        <f>'F00 INVERSIÓN'!T40</f>
        <v>0</v>
      </c>
      <c r="M8" s="27">
        <f>'F00 INVERSIÓN'!U40</f>
        <v>0</v>
      </c>
      <c r="N8" s="27">
        <f>'F00 INVERSIÓN'!V40</f>
        <v>0</v>
      </c>
      <c r="O8" s="27">
        <f>'F00 INVERSIÓN'!W40</f>
        <v>0</v>
      </c>
      <c r="P8" s="27">
        <f>'F00 INVERSIÓN'!X40</f>
        <v>0</v>
      </c>
      <c r="Q8" s="27">
        <f>'F00 INVERSIÓN'!Y40</f>
        <v>0</v>
      </c>
      <c r="R8" s="28">
        <f>SUM(D8:Q8)</f>
        <v>31800</v>
      </c>
      <c r="S8" s="29"/>
      <c r="T8" s="28">
        <f>R8/$E$42</f>
        <v>1590</v>
      </c>
      <c r="U8" s="22"/>
      <c r="V8" s="271">
        <f>'F00 INVERSIÓN'!L42</f>
        <v>31800</v>
      </c>
      <c r="W8" s="272">
        <f>SERVICIO!B13</f>
        <v>31800</v>
      </c>
      <c r="X8" s="271">
        <f>V8-R8</f>
        <v>0</v>
      </c>
      <c r="Y8" s="271">
        <f>V8-W8</f>
        <v>0</v>
      </c>
      <c r="Z8" s="273"/>
    </row>
    <row r="9" spans="1:26" ht="23" customHeight="1" x14ac:dyDescent="0.45">
      <c r="B9" s="89" t="s">
        <v>81</v>
      </c>
      <c r="R9" s="21"/>
      <c r="S9" s="21"/>
      <c r="T9" s="21"/>
      <c r="U9" s="22"/>
    </row>
    <row r="10" spans="1:26" s="26" customFormat="1" ht="23" customHeight="1" x14ac:dyDescent="0.45">
      <c r="A10" s="317" t="s">
        <v>0</v>
      </c>
      <c r="B10" s="317"/>
      <c r="C10" s="20"/>
      <c r="D10" s="27">
        <f>NOMINA!V19+'F01 EPP'!M19+'F01 UNIFORMES'!M12</f>
        <v>0</v>
      </c>
      <c r="E10" s="27">
        <f>NOMINA!W19+'F01 EPP'!N19+'F01 UNIFORMES'!N12</f>
        <v>16653.272559868419</v>
      </c>
      <c r="F10" s="27">
        <f>NOMINA!X19+'F01 EPP'!O19+'F01 UNIFORMES'!O12</f>
        <v>16653.272559868419</v>
      </c>
      <c r="G10" s="27">
        <f>NOMINA!Y19+'F01 EPP'!P19+'F01 UNIFORMES'!P12</f>
        <v>16653.272559868419</v>
      </c>
      <c r="H10" s="27">
        <f>NOMINA!Z19+'F01 EPP'!Q19+'F01 UNIFORMES'!Q12</f>
        <v>16653.272559868419</v>
      </c>
      <c r="I10" s="27">
        <f>NOMINA!AA19+'F01 EPP'!R19+'F01 UNIFORMES'!R12</f>
        <v>21985.772881296994</v>
      </c>
      <c r="J10" s="27">
        <f>NOMINA!AB19+'F01 EPP'!S19+'F01 UNIFORMES'!S12</f>
        <v>16653.272559868419</v>
      </c>
      <c r="K10" s="27">
        <f>NOMINA!AC19+'F01 EPP'!T19+'F01 UNIFORMES'!T12</f>
        <v>16653.272559868419</v>
      </c>
      <c r="L10" s="27">
        <f>NOMINA!AD19+'F01 EPP'!U19+'F01 UNIFORMES'!U12</f>
        <v>16653.272559868419</v>
      </c>
      <c r="M10" s="27">
        <f>NOMINA!AE19+'F01 EPP'!V19+'F01 UNIFORMES'!V12</f>
        <v>16653.272559868419</v>
      </c>
      <c r="N10" s="27">
        <f>NOMINA!AF19+'F01 EPP'!W19+'F01 UNIFORMES'!W12</f>
        <v>16653.272559868419</v>
      </c>
      <c r="O10" s="27">
        <f>NOMINA!AG19+'F01 EPP'!X19+'F01 UNIFORMES'!X12</f>
        <v>16653.272559868419</v>
      </c>
      <c r="P10" s="27">
        <f>NOMINA!AH19+'F01 EPP'!Y19+'F01 UNIFORMES'!Y12</f>
        <v>29984.523363439846</v>
      </c>
      <c r="Q10" s="27">
        <f>NOMINA!AI19+'F01 EPP'!Z19+'F01 UNIFORMES'!Z12</f>
        <v>16653.272559868419</v>
      </c>
      <c r="R10" s="28">
        <f>SUM(D10:Q10)</f>
        <v>235156.29440328939</v>
      </c>
      <c r="S10" s="29"/>
      <c r="T10" s="28">
        <f>R10/$E$42</f>
        <v>11757.81472016447</v>
      </c>
      <c r="U10" s="22"/>
      <c r="V10" s="271">
        <f>+NOMINA!V21+'F01 EPP'!M21+'F01 UNIFORMES'!M14</f>
        <v>235156.29440328939</v>
      </c>
      <c r="W10" s="272">
        <f>SERVICIO!B80+SERVICIO!B25+SERVICIO!B154</f>
        <v>235156.29440328939</v>
      </c>
      <c r="X10" s="271">
        <f>V10-R10</f>
        <v>0</v>
      </c>
      <c r="Y10" s="271">
        <f>V10-W10</f>
        <v>0</v>
      </c>
      <c r="Z10" s="273"/>
    </row>
    <row r="11" spans="1:26" s="26" customFormat="1" ht="23" customHeight="1" x14ac:dyDescent="0.45">
      <c r="A11" s="31"/>
      <c r="B11" s="89" t="s">
        <v>317</v>
      </c>
      <c r="C11" s="20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33"/>
      <c r="T11" s="33"/>
      <c r="U11" s="22"/>
      <c r="V11" s="273"/>
      <c r="W11" s="273"/>
      <c r="X11" s="273"/>
      <c r="Y11" s="273"/>
      <c r="Z11" s="273"/>
    </row>
    <row r="12" spans="1:26" s="26" customFormat="1" ht="23" customHeight="1" x14ac:dyDescent="0.45">
      <c r="A12" s="317" t="s">
        <v>3</v>
      </c>
      <c r="B12" s="317"/>
      <c r="C12" s="20"/>
      <c r="D12" s="27">
        <f>'F02 INMUEBLES Y S'!M19</f>
        <v>0</v>
      </c>
      <c r="E12" s="27">
        <f>'F02 INMUEBLES Y S'!N19</f>
        <v>2020</v>
      </c>
      <c r="F12" s="27">
        <f>'F02 INMUEBLES Y S'!O19</f>
        <v>2020</v>
      </c>
      <c r="G12" s="27">
        <f>'F02 INMUEBLES Y S'!P19</f>
        <v>2020</v>
      </c>
      <c r="H12" s="27">
        <f>'F02 INMUEBLES Y S'!Q19</f>
        <v>2020</v>
      </c>
      <c r="I12" s="27">
        <f>'F02 INMUEBLES Y S'!R19</f>
        <v>2020</v>
      </c>
      <c r="J12" s="27">
        <f>'F02 INMUEBLES Y S'!S19</f>
        <v>2020</v>
      </c>
      <c r="K12" s="27">
        <f>'F02 INMUEBLES Y S'!T19</f>
        <v>2020</v>
      </c>
      <c r="L12" s="27">
        <f>'F02 INMUEBLES Y S'!U19</f>
        <v>2020</v>
      </c>
      <c r="M12" s="27">
        <f>'F02 INMUEBLES Y S'!V19</f>
        <v>2020</v>
      </c>
      <c r="N12" s="27">
        <f>'F02 INMUEBLES Y S'!W19</f>
        <v>2020</v>
      </c>
      <c r="O12" s="27">
        <f>'F02 INMUEBLES Y S'!X19</f>
        <v>2020</v>
      </c>
      <c r="P12" s="27">
        <f>'F02 INMUEBLES Y S'!Y19</f>
        <v>2020</v>
      </c>
      <c r="Q12" s="27">
        <f>'F02 INMUEBLES Y S'!Z19</f>
        <v>2020</v>
      </c>
      <c r="R12" s="28">
        <f>SUM(D12:Q12)</f>
        <v>26260</v>
      </c>
      <c r="S12" s="29"/>
      <c r="T12" s="28">
        <f>R12/$E$42</f>
        <v>1313</v>
      </c>
      <c r="U12" s="22"/>
      <c r="V12" s="271">
        <f>'F02 INMUEBLES Y S'!M21</f>
        <v>26260</v>
      </c>
      <c r="W12" s="272">
        <f>SERVICIO!B23</f>
        <v>26260</v>
      </c>
      <c r="X12" s="271">
        <f>V12-R12</f>
        <v>0</v>
      </c>
      <c r="Y12" s="271">
        <f>V12-W12</f>
        <v>0</v>
      </c>
      <c r="Z12" s="273"/>
    </row>
    <row r="13" spans="1:26" s="26" customFormat="1" ht="23" customHeight="1" x14ac:dyDescent="0.45">
      <c r="A13" s="31"/>
      <c r="B13" s="89" t="s">
        <v>318</v>
      </c>
      <c r="C13" s="20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U13" s="22"/>
      <c r="V13" s="273"/>
      <c r="W13" s="273"/>
      <c r="X13" s="273"/>
      <c r="Y13" s="273"/>
      <c r="Z13" s="273"/>
    </row>
    <row r="14" spans="1:26" s="26" customFormat="1" ht="23" customHeight="1" x14ac:dyDescent="0.45">
      <c r="A14" s="317" t="s">
        <v>255</v>
      </c>
      <c r="B14" s="317"/>
      <c r="C14" s="20"/>
      <c r="D14" s="27">
        <f>'F03 COM Y EQ COM'!L35</f>
        <v>0</v>
      </c>
      <c r="E14" s="27">
        <f>'F03 COM Y EQ COM'!M35</f>
        <v>75</v>
      </c>
      <c r="F14" s="27">
        <f>'F03 COM Y EQ COM'!N35</f>
        <v>75</v>
      </c>
      <c r="G14" s="27">
        <f>'F03 COM Y EQ COM'!O35</f>
        <v>75</v>
      </c>
      <c r="H14" s="27">
        <f>'F03 COM Y EQ COM'!P35</f>
        <v>75</v>
      </c>
      <c r="I14" s="27">
        <f>'F03 COM Y EQ COM'!Q35</f>
        <v>75</v>
      </c>
      <c r="J14" s="27">
        <f>'F03 COM Y EQ COM'!R35</f>
        <v>75</v>
      </c>
      <c r="K14" s="27">
        <f>'F03 COM Y EQ COM'!S35</f>
        <v>75</v>
      </c>
      <c r="L14" s="27">
        <f>'F03 COM Y EQ COM'!T35</f>
        <v>75</v>
      </c>
      <c r="M14" s="27">
        <f>'F03 COM Y EQ COM'!U35</f>
        <v>75</v>
      </c>
      <c r="N14" s="27">
        <f>'F03 COM Y EQ COM'!V35</f>
        <v>75</v>
      </c>
      <c r="O14" s="27">
        <f>'F03 COM Y EQ COM'!W35</f>
        <v>75</v>
      </c>
      <c r="P14" s="27">
        <f>'F03 COM Y EQ COM'!X35</f>
        <v>75</v>
      </c>
      <c r="Q14" s="27">
        <f>'F03 COM Y EQ COM'!Y35</f>
        <v>75</v>
      </c>
      <c r="R14" s="28">
        <f>SUM(D14:Q14)</f>
        <v>975</v>
      </c>
      <c r="S14" s="29"/>
      <c r="T14" s="28">
        <f>R14/$E$42</f>
        <v>48.75</v>
      </c>
      <c r="U14" s="22"/>
      <c r="V14" s="271">
        <f>'F03 COM Y EQ COM'!L37</f>
        <v>975</v>
      </c>
      <c r="W14" s="272">
        <f>SERVICIO!B84</f>
        <v>975</v>
      </c>
      <c r="X14" s="271">
        <f>V14-R14</f>
        <v>0</v>
      </c>
      <c r="Y14" s="271">
        <f>V14-W14</f>
        <v>0</v>
      </c>
      <c r="Z14" s="273"/>
    </row>
    <row r="15" spans="1:26" s="26" customFormat="1" ht="23" customHeight="1" x14ac:dyDescent="0.45">
      <c r="A15" s="31"/>
      <c r="B15" s="89" t="s">
        <v>319</v>
      </c>
      <c r="C15" s="20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U15" s="22"/>
      <c r="V15" s="273"/>
      <c r="W15" s="273"/>
      <c r="X15" s="273"/>
      <c r="Y15" s="273"/>
      <c r="Z15" s="273"/>
    </row>
    <row r="16" spans="1:26" s="26" customFormat="1" ht="23" customHeight="1" x14ac:dyDescent="0.45">
      <c r="A16" s="318" t="s">
        <v>5</v>
      </c>
      <c r="B16" s="319"/>
      <c r="C16" s="20"/>
      <c r="D16" s="27">
        <f>'F04 VEHÍCULOS Y COMB. '!R30</f>
        <v>0</v>
      </c>
      <c r="E16" s="27">
        <f>'F04 VEHÍCULOS Y COMB. '!S30</f>
        <v>1386</v>
      </c>
      <c r="F16" s="27">
        <f>'F04 VEHÍCULOS Y COMB. '!T30</f>
        <v>1386</v>
      </c>
      <c r="G16" s="27">
        <f>'F04 VEHÍCULOS Y COMB. '!U30</f>
        <v>1386</v>
      </c>
      <c r="H16" s="27">
        <f>'F04 VEHÍCULOS Y COMB. '!V30</f>
        <v>1386</v>
      </c>
      <c r="I16" s="27">
        <f>'F04 VEHÍCULOS Y COMB. '!W30</f>
        <v>1386</v>
      </c>
      <c r="J16" s="27">
        <f>'F04 VEHÍCULOS Y COMB. '!X30</f>
        <v>1386</v>
      </c>
      <c r="K16" s="27">
        <f>'F04 VEHÍCULOS Y COMB. '!Y30</f>
        <v>1386</v>
      </c>
      <c r="L16" s="27">
        <f>'F04 VEHÍCULOS Y COMB. '!Z30</f>
        <v>1386</v>
      </c>
      <c r="M16" s="27">
        <f>'F04 VEHÍCULOS Y COMB. '!AA30</f>
        <v>1386</v>
      </c>
      <c r="N16" s="27">
        <f>'F04 VEHÍCULOS Y COMB. '!AB30</f>
        <v>1386</v>
      </c>
      <c r="O16" s="27">
        <f>'F04 VEHÍCULOS Y COMB. '!AC30</f>
        <v>1386</v>
      </c>
      <c r="P16" s="27">
        <f>'F04 VEHÍCULOS Y COMB. '!AD30</f>
        <v>1386</v>
      </c>
      <c r="Q16" s="27">
        <f>'F04 VEHÍCULOS Y COMB. '!AE30</f>
        <v>1386</v>
      </c>
      <c r="R16" s="28">
        <f>SUM(D16:Q16)</f>
        <v>18018</v>
      </c>
      <c r="S16" s="29"/>
      <c r="T16" s="28">
        <f>R16/$E$42</f>
        <v>900.9</v>
      </c>
      <c r="U16" s="22"/>
      <c r="V16" s="271">
        <f>'F04 VEHÍCULOS Y COMB. '!R32</f>
        <v>18018</v>
      </c>
      <c r="W16" s="272">
        <f>SERVICIO!B157</f>
        <v>18018</v>
      </c>
      <c r="X16" s="271">
        <f>V16-R16</f>
        <v>0</v>
      </c>
      <c r="Y16" s="271">
        <f>V16-W16</f>
        <v>0</v>
      </c>
      <c r="Z16" s="273"/>
    </row>
    <row r="17" spans="1:26" s="26" customFormat="1" ht="23" customHeight="1" x14ac:dyDescent="0.45">
      <c r="A17" s="31"/>
      <c r="B17" s="89" t="s">
        <v>320</v>
      </c>
      <c r="C17" s="20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U17" s="22"/>
      <c r="V17" s="273"/>
      <c r="W17" s="273"/>
      <c r="X17" s="273"/>
      <c r="Y17" s="273"/>
      <c r="Z17" s="273"/>
    </row>
    <row r="18" spans="1:26" s="26" customFormat="1" ht="23" customHeight="1" x14ac:dyDescent="0.45">
      <c r="A18" s="317" t="s">
        <v>6</v>
      </c>
      <c r="B18" s="317"/>
      <c r="C18" s="20"/>
      <c r="D18" s="27">
        <f>'F05 VIÁTICOS'!K27</f>
        <v>0</v>
      </c>
      <c r="E18" s="27">
        <f>'F05 VIÁTICOS'!L27</f>
        <v>450</v>
      </c>
      <c r="F18" s="27">
        <f>'F05 VIÁTICOS'!M27</f>
        <v>450</v>
      </c>
      <c r="G18" s="27">
        <f>'F05 VIÁTICOS'!N27</f>
        <v>450</v>
      </c>
      <c r="H18" s="27">
        <f>'F05 VIÁTICOS'!O27</f>
        <v>450</v>
      </c>
      <c r="I18" s="27">
        <f>'F05 VIÁTICOS'!P27</f>
        <v>450</v>
      </c>
      <c r="J18" s="27">
        <f>'F05 VIÁTICOS'!Q27</f>
        <v>450</v>
      </c>
      <c r="K18" s="27">
        <f>'F05 VIÁTICOS'!R27</f>
        <v>450</v>
      </c>
      <c r="L18" s="27">
        <f>'F05 VIÁTICOS'!S27</f>
        <v>450</v>
      </c>
      <c r="M18" s="27">
        <f>'F05 VIÁTICOS'!T27</f>
        <v>450</v>
      </c>
      <c r="N18" s="27">
        <f>'F05 VIÁTICOS'!U27</f>
        <v>450</v>
      </c>
      <c r="O18" s="27">
        <f>'F05 VIÁTICOS'!V27</f>
        <v>450</v>
      </c>
      <c r="P18" s="27">
        <f>'F05 VIÁTICOS'!W27</f>
        <v>450</v>
      </c>
      <c r="Q18" s="27">
        <f>'F05 VIÁTICOS'!X27</f>
        <v>450</v>
      </c>
      <c r="R18" s="28">
        <f>SUM(D18:Q18)</f>
        <v>5850</v>
      </c>
      <c r="S18" s="29"/>
      <c r="T18" s="28">
        <f>R18/$E$42</f>
        <v>292.5</v>
      </c>
      <c r="U18" s="22"/>
      <c r="V18" s="271">
        <f>'F05 VIÁTICOS'!K29</f>
        <v>5850</v>
      </c>
      <c r="W18" s="272">
        <f>SERVICIO!B165</f>
        <v>5850</v>
      </c>
      <c r="X18" s="271">
        <f>V18-R18</f>
        <v>0</v>
      </c>
      <c r="Y18" s="271">
        <f>V18-W18</f>
        <v>0</v>
      </c>
      <c r="Z18" s="273"/>
    </row>
    <row r="19" spans="1:26" s="26" customFormat="1" ht="23" customHeight="1" x14ac:dyDescent="0.45">
      <c r="A19" s="31"/>
      <c r="B19" s="89" t="s">
        <v>321</v>
      </c>
      <c r="C19" s="20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U19" s="22"/>
      <c r="V19" s="273"/>
      <c r="W19" s="273"/>
      <c r="X19" s="273"/>
      <c r="Y19" s="273"/>
      <c r="Z19" s="273"/>
    </row>
    <row r="20" spans="1:26" s="26" customFormat="1" ht="23" customHeight="1" x14ac:dyDescent="0.45">
      <c r="A20" s="311" t="s">
        <v>304</v>
      </c>
      <c r="B20" s="311"/>
      <c r="C20" s="20"/>
      <c r="D20" s="27">
        <f>'F06 (MAT,SERV &amp; EQUIPO)'!L43</f>
        <v>0</v>
      </c>
      <c r="E20" s="27">
        <f>'F06 (MAT,SERV &amp; EQUIPO)'!M43</f>
        <v>2760</v>
      </c>
      <c r="F20" s="27">
        <f>'F06 (MAT,SERV &amp; EQUIPO)'!N43</f>
        <v>1260</v>
      </c>
      <c r="G20" s="27">
        <f>'F06 (MAT,SERV &amp; EQUIPO)'!O43</f>
        <v>1260</v>
      </c>
      <c r="H20" s="27">
        <f>'F06 (MAT,SERV &amp; EQUIPO)'!P43</f>
        <v>3510</v>
      </c>
      <c r="I20" s="27">
        <f>'F06 (MAT,SERV &amp; EQUIPO)'!Q43</f>
        <v>1260</v>
      </c>
      <c r="J20" s="27">
        <f>'F06 (MAT,SERV &amp; EQUIPO)'!R43</f>
        <v>2963</v>
      </c>
      <c r="K20" s="27">
        <f>'F06 (MAT,SERV &amp; EQUIPO)'!S43</f>
        <v>1260</v>
      </c>
      <c r="L20" s="27">
        <f>'F06 (MAT,SERV &amp; EQUIPO)'!T43</f>
        <v>1260</v>
      </c>
      <c r="M20" s="27">
        <f>'F06 (MAT,SERV &amp; EQUIPO)'!U43</f>
        <v>1260</v>
      </c>
      <c r="N20" s="27">
        <f>'F06 (MAT,SERV &amp; EQUIPO)'!V43</f>
        <v>1260</v>
      </c>
      <c r="O20" s="27">
        <f>'F06 (MAT,SERV &amp; EQUIPO)'!W43</f>
        <v>1260</v>
      </c>
      <c r="P20" s="27">
        <f>'F06 (MAT,SERV &amp; EQUIPO)'!X43</f>
        <v>2760</v>
      </c>
      <c r="Q20" s="27">
        <f>'F06 (MAT,SERV &amp; EQUIPO)'!Y43</f>
        <v>1260</v>
      </c>
      <c r="R20" s="28">
        <f>SUM(D20:Q20)</f>
        <v>23333</v>
      </c>
      <c r="S20" s="29"/>
      <c r="T20" s="28">
        <f>R20/$E$42</f>
        <v>1166.6500000000001</v>
      </c>
      <c r="U20" s="22"/>
      <c r="V20" s="271">
        <f>'F06 (MAT,SERV &amp; EQUIPO)'!L45</f>
        <v>23333</v>
      </c>
      <c r="W20" s="272">
        <f>SERVICIO!B76</f>
        <v>23333</v>
      </c>
      <c r="X20" s="271">
        <f>V20-R20</f>
        <v>0</v>
      </c>
      <c r="Y20" s="271">
        <f>V20-W20</f>
        <v>0</v>
      </c>
      <c r="Z20" s="273"/>
    </row>
    <row r="21" spans="1:26" s="26" customFormat="1" ht="23" customHeight="1" x14ac:dyDescent="0.45">
      <c r="A21" s="34"/>
      <c r="B21" s="89" t="s">
        <v>322</v>
      </c>
      <c r="C21" s="20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U21" s="22"/>
      <c r="V21" s="273"/>
      <c r="W21" s="273"/>
      <c r="X21" s="273"/>
      <c r="Y21" s="273"/>
      <c r="Z21" s="273"/>
    </row>
    <row r="22" spans="1:26" s="26" customFormat="1" ht="23" customHeight="1" x14ac:dyDescent="0.45">
      <c r="A22" s="317" t="s">
        <v>305</v>
      </c>
      <c r="B22" s="317"/>
      <c r="C22" s="20"/>
      <c r="D22" s="27">
        <f>'F07 OPERAC. (MAT,SERV &amp; EQUIPO)'!L116</f>
        <v>0</v>
      </c>
      <c r="E22" s="27">
        <f>'F07 OPERAC. (MAT,SERV &amp; EQUIPO)'!M116</f>
        <v>70537.5</v>
      </c>
      <c r="F22" s="27">
        <f>'F07 OPERAC. (MAT,SERV &amp; EQUIPO)'!N116</f>
        <v>70837.5</v>
      </c>
      <c r="G22" s="27">
        <f>'F07 OPERAC. (MAT,SERV &amp; EQUIPO)'!O116</f>
        <v>70387.5</v>
      </c>
      <c r="H22" s="27">
        <f>'F07 OPERAC. (MAT,SERV &amp; EQUIPO)'!P116</f>
        <v>70387.5</v>
      </c>
      <c r="I22" s="27">
        <f>'F07 OPERAC. (MAT,SERV &amp; EQUIPO)'!Q116</f>
        <v>70387.5</v>
      </c>
      <c r="J22" s="27">
        <f>'F07 OPERAC. (MAT,SERV &amp; EQUIPO)'!R116</f>
        <v>70537.5</v>
      </c>
      <c r="K22" s="27">
        <f>'F07 OPERAC. (MAT,SERV &amp; EQUIPO)'!S116</f>
        <v>70387.5</v>
      </c>
      <c r="L22" s="27">
        <f>'F07 OPERAC. (MAT,SERV &amp; EQUIPO)'!T116</f>
        <v>70387.5</v>
      </c>
      <c r="M22" s="27">
        <f>'F07 OPERAC. (MAT,SERV &amp; EQUIPO)'!U116</f>
        <v>70387.5</v>
      </c>
      <c r="N22" s="27">
        <f>'F07 OPERAC. (MAT,SERV &amp; EQUIPO)'!V116</f>
        <v>70387.5</v>
      </c>
      <c r="O22" s="27">
        <f>'F07 OPERAC. (MAT,SERV &amp; EQUIPO)'!W116</f>
        <v>70387.5</v>
      </c>
      <c r="P22" s="27">
        <f>'F07 OPERAC. (MAT,SERV &amp; EQUIPO)'!X116</f>
        <v>70537.5</v>
      </c>
      <c r="Q22" s="27">
        <f>'F07 OPERAC. (MAT,SERV &amp; EQUIPO)'!Y116</f>
        <v>75387.5</v>
      </c>
      <c r="R22" s="28">
        <f>SUM(D22:Q22)</f>
        <v>920937.5</v>
      </c>
      <c r="S22" s="35"/>
      <c r="T22" s="28">
        <f>R22/$E$42</f>
        <v>46046.875</v>
      </c>
      <c r="U22" s="22"/>
      <c r="V22" s="271">
        <f>'F07 OPERAC. (MAT,SERV &amp; EQUIPO)'!L118</f>
        <v>920937.5</v>
      </c>
      <c r="W22" s="272">
        <f>SERVICIO!B148</f>
        <v>920937.5</v>
      </c>
      <c r="X22" s="271">
        <f>V22-R22</f>
        <v>0</v>
      </c>
      <c r="Y22" s="271">
        <f>V22-W22</f>
        <v>0</v>
      </c>
      <c r="Z22" s="273"/>
    </row>
    <row r="23" spans="1:26" s="26" customFormat="1" ht="23" customHeight="1" x14ac:dyDescent="0.45">
      <c r="A23" s="34"/>
      <c r="B23" s="89" t="s">
        <v>409</v>
      </c>
      <c r="C23" s="20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U23" s="22"/>
      <c r="V23" s="273"/>
      <c r="W23" s="273"/>
      <c r="X23" s="273"/>
      <c r="Y23" s="273"/>
      <c r="Z23" s="273"/>
    </row>
    <row r="24" spans="1:26" s="26" customFormat="1" ht="23" customHeight="1" x14ac:dyDescent="0.45">
      <c r="A24" s="311" t="s">
        <v>15</v>
      </c>
      <c r="B24" s="311"/>
      <c r="C24" s="20"/>
      <c r="D24" s="27">
        <f>'F07 OPERAC. (MAT,SERV &amp; EQUIPO)'!L21</f>
        <v>0</v>
      </c>
      <c r="E24" s="27">
        <f>'F07 OPERAC. (MAT,SERV &amp; EQUIPO)'!M21</f>
        <v>82.5</v>
      </c>
      <c r="F24" s="27">
        <f>'F07 OPERAC. (MAT,SERV &amp; EQUIPO)'!N21</f>
        <v>82.5</v>
      </c>
      <c r="G24" s="27">
        <f>'F07 OPERAC. (MAT,SERV &amp; EQUIPO)'!O21</f>
        <v>82.5</v>
      </c>
      <c r="H24" s="27">
        <f>'F07 OPERAC. (MAT,SERV &amp; EQUIPO)'!P21</f>
        <v>82.5</v>
      </c>
      <c r="I24" s="27">
        <f>'F07 OPERAC. (MAT,SERV &amp; EQUIPO)'!Q21</f>
        <v>82.5</v>
      </c>
      <c r="J24" s="27">
        <f>'F07 OPERAC. (MAT,SERV &amp; EQUIPO)'!R21</f>
        <v>82.5</v>
      </c>
      <c r="K24" s="27">
        <f>'F07 OPERAC. (MAT,SERV &amp; EQUIPO)'!S21</f>
        <v>82.5</v>
      </c>
      <c r="L24" s="27">
        <f>'F07 OPERAC. (MAT,SERV &amp; EQUIPO)'!T21</f>
        <v>82.5</v>
      </c>
      <c r="M24" s="27">
        <f>'F07 OPERAC. (MAT,SERV &amp; EQUIPO)'!U21</f>
        <v>82.5</v>
      </c>
      <c r="N24" s="27">
        <f>'F07 OPERAC. (MAT,SERV &amp; EQUIPO)'!V21</f>
        <v>82.5</v>
      </c>
      <c r="O24" s="27">
        <f>'F07 OPERAC. (MAT,SERV &amp; EQUIPO)'!W21</f>
        <v>82.5</v>
      </c>
      <c r="P24" s="27">
        <f>'F07 OPERAC. (MAT,SERV &amp; EQUIPO)'!X21</f>
        <v>82.5</v>
      </c>
      <c r="Q24" s="27">
        <f>'F07 OPERAC. (MAT,SERV &amp; EQUIPO)'!Y21</f>
        <v>82.5</v>
      </c>
      <c r="R24" s="28">
        <f>SUM(D24:Q24)</f>
        <v>1072.5</v>
      </c>
      <c r="S24" s="35"/>
      <c r="T24" s="28">
        <f>R24/$E$42</f>
        <v>53.625</v>
      </c>
      <c r="U24" s="22"/>
      <c r="V24" s="271">
        <f>'F07 OPERAC. (MAT,SERV &amp; EQUIPO)'!L23</f>
        <v>1072.5</v>
      </c>
      <c r="W24" s="272">
        <f>SERVICIO!B30</f>
        <v>1072.5</v>
      </c>
      <c r="X24" s="271">
        <f>V24-R24</f>
        <v>0</v>
      </c>
      <c r="Y24" s="271">
        <f>V24-W24</f>
        <v>0</v>
      </c>
      <c r="Z24" s="273"/>
    </row>
    <row r="25" spans="1:26" s="26" customFormat="1" ht="23" customHeight="1" x14ac:dyDescent="0.45">
      <c r="A25" s="31"/>
      <c r="B25" s="89" t="s">
        <v>385</v>
      </c>
      <c r="C25" s="20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U25" s="22"/>
      <c r="V25" s="273"/>
      <c r="W25" s="273"/>
      <c r="X25" s="273"/>
      <c r="Y25" s="273"/>
      <c r="Z25" s="273"/>
    </row>
    <row r="26" spans="1:26" s="26" customFormat="1" ht="23" customHeight="1" x14ac:dyDescent="0.45">
      <c r="A26" s="312" t="s">
        <v>14</v>
      </c>
      <c r="B26" s="312"/>
      <c r="C26" s="20"/>
      <c r="D26" s="27">
        <f>'F07 OPERAC. (MAT,SERV &amp; EQUIPO)'!L43</f>
        <v>0</v>
      </c>
      <c r="E26" s="27">
        <f>'F07 OPERAC. (MAT,SERV &amp; EQUIPO)'!M43</f>
        <v>57.711500000000001</v>
      </c>
      <c r="F26" s="27">
        <f>'F07 OPERAC. (MAT,SERV &amp; EQUIPO)'!N43</f>
        <v>57.711500000000001</v>
      </c>
      <c r="G26" s="27">
        <f>'F07 OPERAC. (MAT,SERV &amp; EQUIPO)'!O43</f>
        <v>57.711500000000001</v>
      </c>
      <c r="H26" s="27">
        <f>'F07 OPERAC. (MAT,SERV &amp; EQUIPO)'!P43</f>
        <v>57.711500000000001</v>
      </c>
      <c r="I26" s="27">
        <f>'F07 OPERAC. (MAT,SERV &amp; EQUIPO)'!Q43</f>
        <v>57.711500000000001</v>
      </c>
      <c r="J26" s="27">
        <f>'F07 OPERAC. (MAT,SERV &amp; EQUIPO)'!R43</f>
        <v>57.711500000000001</v>
      </c>
      <c r="K26" s="27">
        <f>'F07 OPERAC. (MAT,SERV &amp; EQUIPO)'!S43</f>
        <v>57.711500000000001</v>
      </c>
      <c r="L26" s="27">
        <f>'F07 OPERAC. (MAT,SERV &amp; EQUIPO)'!T43</f>
        <v>57.711500000000001</v>
      </c>
      <c r="M26" s="27">
        <f>'F07 OPERAC. (MAT,SERV &amp; EQUIPO)'!U43</f>
        <v>57.711500000000001</v>
      </c>
      <c r="N26" s="27">
        <f>'F07 OPERAC. (MAT,SERV &amp; EQUIPO)'!V43</f>
        <v>57.711500000000001</v>
      </c>
      <c r="O26" s="27">
        <f>'F07 OPERAC. (MAT,SERV &amp; EQUIPO)'!W43</f>
        <v>57.711500000000001</v>
      </c>
      <c r="P26" s="27">
        <f>'F07 OPERAC. (MAT,SERV &amp; EQUIPO)'!X43</f>
        <v>57.711500000000001</v>
      </c>
      <c r="Q26" s="27">
        <f>'F07 OPERAC. (MAT,SERV &amp; EQUIPO)'!Y43</f>
        <v>57.711500000000001</v>
      </c>
      <c r="R26" s="28">
        <f>SUM(D26:Q26)</f>
        <v>750.24950000000001</v>
      </c>
      <c r="S26" s="29"/>
      <c r="T26" s="28">
        <f>R26/$E$42</f>
        <v>37.512475000000002</v>
      </c>
      <c r="U26" s="22"/>
      <c r="V26" s="271">
        <f>'F07 OPERAC. (MAT,SERV &amp; EQUIPO)'!L45</f>
        <v>750.24950000000001</v>
      </c>
      <c r="W26" s="272">
        <f>SERVICIO!B32</f>
        <v>750.24950000000001</v>
      </c>
      <c r="X26" s="271">
        <f>V26-R26</f>
        <v>0</v>
      </c>
      <c r="Y26" s="271">
        <f>V26-W26</f>
        <v>0</v>
      </c>
      <c r="Z26" s="273"/>
    </row>
    <row r="27" spans="1:26" ht="23" customHeight="1" x14ac:dyDescent="0.45">
      <c r="A27" s="24"/>
      <c r="B27" s="89" t="s">
        <v>85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21"/>
      <c r="S27" s="21"/>
      <c r="T27" s="21"/>
      <c r="U27" s="22"/>
    </row>
    <row r="28" spans="1:26" s="26" customFormat="1" ht="23" customHeight="1" x14ac:dyDescent="0.45">
      <c r="A28" s="313" t="s">
        <v>13</v>
      </c>
      <c r="B28" s="314"/>
      <c r="C28" s="20"/>
      <c r="D28" s="27">
        <f>'F07 OPERAC. (MAT,SERV &amp; EQUIPO)'!L193</f>
        <v>0</v>
      </c>
      <c r="E28" s="27">
        <f>'F07 OPERAC. (MAT,SERV &amp; EQUIPO)'!M193</f>
        <v>438.03399999999999</v>
      </c>
      <c r="F28" s="27">
        <f>'F07 OPERAC. (MAT,SERV &amp; EQUIPO)'!N193</f>
        <v>438.03399999999999</v>
      </c>
      <c r="G28" s="27">
        <f>'F07 OPERAC. (MAT,SERV &amp; EQUIPO)'!O193</f>
        <v>438.03399999999999</v>
      </c>
      <c r="H28" s="27">
        <f>'F07 OPERAC. (MAT,SERV &amp; EQUIPO)'!P193</f>
        <v>438.03399999999999</v>
      </c>
      <c r="I28" s="27">
        <f>'F07 OPERAC. (MAT,SERV &amp; EQUIPO)'!Q193</f>
        <v>438.03399999999999</v>
      </c>
      <c r="J28" s="27">
        <f>'F07 OPERAC. (MAT,SERV &amp; EQUIPO)'!R193</f>
        <v>438.03399999999999</v>
      </c>
      <c r="K28" s="27">
        <f>'F07 OPERAC. (MAT,SERV &amp; EQUIPO)'!S193</f>
        <v>438.03399999999999</v>
      </c>
      <c r="L28" s="27">
        <f>'F07 OPERAC. (MAT,SERV &amp; EQUIPO)'!T193</f>
        <v>438.03399999999999</v>
      </c>
      <c r="M28" s="27">
        <f>'F07 OPERAC. (MAT,SERV &amp; EQUIPO)'!U193</f>
        <v>438.03399999999999</v>
      </c>
      <c r="N28" s="27">
        <f>'F07 OPERAC. (MAT,SERV &amp; EQUIPO)'!V193</f>
        <v>438.03399999999999</v>
      </c>
      <c r="O28" s="27">
        <f>'F07 OPERAC. (MAT,SERV &amp; EQUIPO)'!W193</f>
        <v>438.03399999999999</v>
      </c>
      <c r="P28" s="27">
        <f>'F07 OPERAC. (MAT,SERV &amp; EQUIPO)'!X193</f>
        <v>438.03399999999999</v>
      </c>
      <c r="Q28" s="27">
        <f>'F07 OPERAC. (MAT,SERV &amp; EQUIPO)'!Y193</f>
        <v>438.03399999999999</v>
      </c>
      <c r="R28" s="28">
        <f>SUM(D28:Q28)</f>
        <v>5694.4419999999991</v>
      </c>
      <c r="S28" s="29"/>
      <c r="T28" s="28">
        <f>R28/$E$42</f>
        <v>284.72209999999995</v>
      </c>
      <c r="U28" s="22"/>
      <c r="V28" s="271">
        <f>'F07 OPERAC. (MAT,SERV &amp; EQUIPO)'!L195</f>
        <v>5694.4419999999991</v>
      </c>
      <c r="W28" s="272">
        <f>SERVICIO!B37+SERVICIO!B40+SERVICIO!B78+SERVICIO!B150+SERVICIO!B152</f>
        <v>5694.442</v>
      </c>
      <c r="X28" s="271">
        <f>V28-R28</f>
        <v>0</v>
      </c>
      <c r="Y28" s="271">
        <f>V28-W28</f>
        <v>0</v>
      </c>
      <c r="Z28" s="273"/>
    </row>
    <row r="29" spans="1:26" s="26" customFormat="1" ht="23" customHeight="1" x14ac:dyDescent="0.45">
      <c r="A29" s="31"/>
      <c r="B29" s="267" t="s">
        <v>411</v>
      </c>
      <c r="C29" s="20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U29" s="22"/>
      <c r="V29" s="273"/>
      <c r="W29" s="273"/>
      <c r="X29" s="273"/>
      <c r="Y29" s="273"/>
      <c r="Z29" s="273"/>
    </row>
    <row r="30" spans="1:26" s="26" customFormat="1" ht="23" customHeight="1" x14ac:dyDescent="0.45">
      <c r="A30" s="312" t="s">
        <v>254</v>
      </c>
      <c r="B30" s="312"/>
      <c r="C30" s="20"/>
      <c r="D30" s="27">
        <f>'F03 COM Y EQ COM'!L50</f>
        <v>0</v>
      </c>
      <c r="E30" s="27">
        <f>'F03 COM Y EQ COM'!M50</f>
        <v>0</v>
      </c>
      <c r="F30" s="27">
        <f>'F03 COM Y EQ COM'!N50</f>
        <v>0</v>
      </c>
      <c r="G30" s="27">
        <f>'F03 COM Y EQ COM'!O50</f>
        <v>0</v>
      </c>
      <c r="H30" s="27">
        <f>'F03 COM Y EQ COM'!P50</f>
        <v>0</v>
      </c>
      <c r="I30" s="27">
        <f>'F03 COM Y EQ COM'!Q50</f>
        <v>0</v>
      </c>
      <c r="J30" s="27">
        <f>'F03 COM Y EQ COM'!R50</f>
        <v>0</v>
      </c>
      <c r="K30" s="27">
        <f>'F03 COM Y EQ COM'!S50</f>
        <v>0</v>
      </c>
      <c r="L30" s="27">
        <f>'F03 COM Y EQ COM'!T50</f>
        <v>0</v>
      </c>
      <c r="M30" s="27">
        <f>'F03 COM Y EQ COM'!U50</f>
        <v>0</v>
      </c>
      <c r="N30" s="27">
        <f>'F03 COM Y EQ COM'!V50</f>
        <v>0</v>
      </c>
      <c r="O30" s="27">
        <f>'F03 COM Y EQ COM'!W50</f>
        <v>0</v>
      </c>
      <c r="P30" s="27">
        <f>'F03 COM Y EQ COM'!X50</f>
        <v>0</v>
      </c>
      <c r="Q30" s="27">
        <f>'F03 COM Y EQ COM'!Y50</f>
        <v>0</v>
      </c>
      <c r="R30" s="28">
        <f>SUM(D30:Q30)</f>
        <v>0</v>
      </c>
      <c r="S30" s="29"/>
      <c r="T30" s="28">
        <f>R30/$E$42</f>
        <v>0</v>
      </c>
      <c r="U30" s="22"/>
      <c r="V30" s="271">
        <f>'F03 COM Y EQ COM'!L52</f>
        <v>0</v>
      </c>
      <c r="W30" s="272">
        <f>SERVICIO!B28</f>
        <v>0</v>
      </c>
      <c r="X30" s="271">
        <f>V30-R30</f>
        <v>0</v>
      </c>
      <c r="Y30" s="271">
        <f>V30-W30</f>
        <v>0</v>
      </c>
      <c r="Z30" s="273"/>
    </row>
    <row r="31" spans="1:26" s="26" customFormat="1" ht="23" customHeight="1" x14ac:dyDescent="0.45">
      <c r="A31" s="31"/>
      <c r="B31" s="267" t="s">
        <v>323</v>
      </c>
      <c r="C31" s="20"/>
      <c r="R31" s="30"/>
      <c r="U31" s="22"/>
      <c r="V31" s="273"/>
      <c r="W31" s="273"/>
      <c r="X31" s="273"/>
      <c r="Y31" s="273"/>
      <c r="Z31" s="273"/>
    </row>
    <row r="32" spans="1:26" s="26" customFormat="1" ht="23" customHeight="1" x14ac:dyDescent="0.45">
      <c r="A32" s="23"/>
      <c r="B32" s="36"/>
      <c r="C32" s="20"/>
      <c r="S32" s="29"/>
      <c r="T32" s="29"/>
      <c r="U32" s="22"/>
      <c r="V32" s="273"/>
      <c r="W32" s="273"/>
      <c r="X32" s="273"/>
      <c r="Y32" s="273"/>
      <c r="Z32" s="273"/>
    </row>
    <row r="33" spans="1:26" s="26" customFormat="1" ht="23" customHeight="1" x14ac:dyDescent="0.45">
      <c r="A33" s="315" t="s">
        <v>32</v>
      </c>
      <c r="B33" s="315"/>
      <c r="C33" s="20"/>
      <c r="D33" s="28">
        <f>SUM(D8:D30)</f>
        <v>0</v>
      </c>
      <c r="E33" s="28">
        <f t="shared" ref="E33:O33" si="0">SUM(E8:E30)</f>
        <v>94460.018059868424</v>
      </c>
      <c r="F33" s="28">
        <f t="shared" si="0"/>
        <v>125060.01805986842</v>
      </c>
      <c r="G33" s="28">
        <f t="shared" si="0"/>
        <v>92810.018059868424</v>
      </c>
      <c r="H33" s="28">
        <f t="shared" si="0"/>
        <v>95060.018059868424</v>
      </c>
      <c r="I33" s="28">
        <f t="shared" si="0"/>
        <v>98142.518381296992</v>
      </c>
      <c r="J33" s="28">
        <f t="shared" si="0"/>
        <v>94663.018059868424</v>
      </c>
      <c r="K33" s="28">
        <f t="shared" si="0"/>
        <v>92810.018059868424</v>
      </c>
      <c r="L33" s="28">
        <f t="shared" si="0"/>
        <v>92810.018059868424</v>
      </c>
      <c r="M33" s="28">
        <f t="shared" si="0"/>
        <v>92810.018059868424</v>
      </c>
      <c r="N33" s="28">
        <f t="shared" si="0"/>
        <v>92810.018059868424</v>
      </c>
      <c r="O33" s="28">
        <f t="shared" si="0"/>
        <v>92810.018059868424</v>
      </c>
      <c r="P33" s="28">
        <f t="shared" ref="P33:Q33" si="1">SUM(P8:P30)</f>
        <v>107791.26886343985</v>
      </c>
      <c r="Q33" s="28">
        <f t="shared" si="1"/>
        <v>97810.018059868424</v>
      </c>
      <c r="R33" s="28">
        <f>SUM(D33:Q33)</f>
        <v>1269846.9859032892</v>
      </c>
      <c r="S33" s="38"/>
      <c r="T33" s="28">
        <f>R33/$E$42</f>
        <v>63492.349295164458</v>
      </c>
      <c r="U33" s="22"/>
      <c r="V33" s="274">
        <f>SERVICIO!B166</f>
        <v>1269846.9859032894</v>
      </c>
      <c r="W33" s="273"/>
      <c r="X33" s="275">
        <f>V33-R33</f>
        <v>0</v>
      </c>
      <c r="Y33" s="273"/>
      <c r="Z33" s="273"/>
    </row>
    <row r="34" spans="1:26" ht="23" customHeight="1" x14ac:dyDescent="0.45">
      <c r="B34" s="20"/>
      <c r="U34" s="22"/>
    </row>
    <row r="35" spans="1:26" s="26" customFormat="1" ht="23" customHeight="1" x14ac:dyDescent="0.45">
      <c r="A35" s="315" t="s">
        <v>50</v>
      </c>
      <c r="B35" s="315"/>
      <c r="C35" s="20"/>
      <c r="D35" s="28">
        <f>D8</f>
        <v>0</v>
      </c>
      <c r="E35" s="28">
        <f t="shared" ref="E35:O35" si="2">E8</f>
        <v>0</v>
      </c>
      <c r="F35" s="28">
        <f t="shared" si="2"/>
        <v>31800</v>
      </c>
      <c r="G35" s="28">
        <f t="shared" si="2"/>
        <v>0</v>
      </c>
      <c r="H35" s="28">
        <f t="shared" si="2"/>
        <v>0</v>
      </c>
      <c r="I35" s="28">
        <f t="shared" si="2"/>
        <v>0</v>
      </c>
      <c r="J35" s="28">
        <f t="shared" si="2"/>
        <v>0</v>
      </c>
      <c r="K35" s="28">
        <f t="shared" si="2"/>
        <v>0</v>
      </c>
      <c r="L35" s="28">
        <f t="shared" si="2"/>
        <v>0</v>
      </c>
      <c r="M35" s="28">
        <f t="shared" si="2"/>
        <v>0</v>
      </c>
      <c r="N35" s="28">
        <f t="shared" si="2"/>
        <v>0</v>
      </c>
      <c r="O35" s="28">
        <f t="shared" si="2"/>
        <v>0</v>
      </c>
      <c r="P35" s="28">
        <f t="shared" ref="P35:Q35" si="3">P8</f>
        <v>0</v>
      </c>
      <c r="Q35" s="28">
        <f t="shared" si="3"/>
        <v>0</v>
      </c>
      <c r="R35" s="28">
        <f>SUM(D35:Q35)</f>
        <v>31800</v>
      </c>
      <c r="S35" s="38"/>
      <c r="T35" s="28">
        <f>R35/$E$42</f>
        <v>1590</v>
      </c>
      <c r="U35" s="22"/>
      <c r="V35" s="273"/>
      <c r="W35" s="273"/>
      <c r="X35" s="273"/>
      <c r="Y35" s="273"/>
      <c r="Z35" s="273"/>
    </row>
    <row r="36" spans="1:26" ht="23" customHeight="1" x14ac:dyDescent="0.45">
      <c r="U36" s="22"/>
    </row>
    <row r="37" spans="1:26" s="26" customFormat="1" ht="23" customHeight="1" x14ac:dyDescent="0.45">
      <c r="A37" s="315" t="s">
        <v>51</v>
      </c>
      <c r="B37" s="315"/>
      <c r="C37" s="20"/>
      <c r="D37" s="28">
        <f>+D33-D35</f>
        <v>0</v>
      </c>
      <c r="E37" s="28">
        <f t="shared" ref="E37:O37" si="4">+E33-E35</f>
        <v>94460.018059868424</v>
      </c>
      <c r="F37" s="28">
        <f t="shared" si="4"/>
        <v>93260.018059868424</v>
      </c>
      <c r="G37" s="28">
        <f t="shared" si="4"/>
        <v>92810.018059868424</v>
      </c>
      <c r="H37" s="28">
        <f t="shared" si="4"/>
        <v>95060.018059868424</v>
      </c>
      <c r="I37" s="28">
        <f t="shared" si="4"/>
        <v>98142.518381296992</v>
      </c>
      <c r="J37" s="28">
        <f t="shared" si="4"/>
        <v>94663.018059868424</v>
      </c>
      <c r="K37" s="28">
        <f t="shared" si="4"/>
        <v>92810.018059868424</v>
      </c>
      <c r="L37" s="28">
        <f t="shared" si="4"/>
        <v>92810.018059868424</v>
      </c>
      <c r="M37" s="28">
        <f t="shared" si="4"/>
        <v>92810.018059868424</v>
      </c>
      <c r="N37" s="28">
        <f t="shared" si="4"/>
        <v>92810.018059868424</v>
      </c>
      <c r="O37" s="28">
        <f t="shared" si="4"/>
        <v>92810.018059868424</v>
      </c>
      <c r="P37" s="28">
        <f t="shared" ref="P37:Q37" si="5">+P33-P35</f>
        <v>107791.26886343985</v>
      </c>
      <c r="Q37" s="28">
        <f t="shared" si="5"/>
        <v>97810.018059868424</v>
      </c>
      <c r="R37" s="28">
        <f>SUM(D37:Q37)</f>
        <v>1238046.9859032892</v>
      </c>
      <c r="S37" s="38"/>
      <c r="T37" s="28">
        <f>R37/$E$42</f>
        <v>61902.349295164458</v>
      </c>
      <c r="U37" s="22"/>
      <c r="V37" s="273"/>
      <c r="W37" s="273"/>
      <c r="X37" s="273"/>
      <c r="Y37" s="273"/>
      <c r="Z37" s="273"/>
    </row>
    <row r="39" spans="1:26" s="26" customFormat="1" ht="23" customHeight="1" x14ac:dyDescent="0.35">
      <c r="A39" s="315" t="s">
        <v>75</v>
      </c>
      <c r="B39" s="315"/>
      <c r="C39" s="37"/>
      <c r="D39" s="40"/>
      <c r="E39" s="40"/>
      <c r="F39" s="40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28">
        <f>SUM(D39:Q39)</f>
        <v>0</v>
      </c>
      <c r="S39" s="38"/>
      <c r="T39" s="28">
        <f>+R39*PREMISAS!$I$23</f>
        <v>0</v>
      </c>
      <c r="U39" s="22"/>
      <c r="V39" s="273"/>
      <c r="W39" s="273"/>
      <c r="X39" s="273"/>
      <c r="Y39" s="273"/>
      <c r="Z39" s="273"/>
    </row>
    <row r="40" spans="1:26" ht="23" customHeight="1" thickBot="1" x14ac:dyDescent="0.5"/>
    <row r="41" spans="1:26" ht="23" customHeight="1" x14ac:dyDescent="0.45">
      <c r="D41" s="305" t="s">
        <v>386</v>
      </c>
      <c r="E41" s="306"/>
      <c r="G41" s="42"/>
    </row>
    <row r="42" spans="1:26" ht="23" customHeight="1" x14ac:dyDescent="0.45">
      <c r="D42" s="278" t="s">
        <v>387</v>
      </c>
      <c r="E42" s="279">
        <f>PREMISAS!I23</f>
        <v>20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</row>
    <row r="43" spans="1:26" ht="23" customHeight="1" x14ac:dyDescent="0.45">
      <c r="D43" s="280" t="s">
        <v>388</v>
      </c>
      <c r="E43" s="281">
        <f>PREMISAS!I24</f>
        <v>30.4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</row>
    <row r="44" spans="1:26" ht="23" customHeight="1" x14ac:dyDescent="0.45">
      <c r="D44" s="282" t="s">
        <v>393</v>
      </c>
      <c r="E44" s="283">
        <f>PREMISAS!I25</f>
        <v>45</v>
      </c>
      <c r="S44" s="9"/>
    </row>
    <row r="45" spans="1:26" ht="23" customHeight="1" x14ac:dyDescent="0.45">
      <c r="D45" s="284" t="s">
        <v>390</v>
      </c>
      <c r="E45" s="285">
        <f>PREMISAS!I26</f>
        <v>10.5</v>
      </c>
    </row>
    <row r="46" spans="1:26" ht="23" customHeight="1" x14ac:dyDescent="0.45">
      <c r="D46" s="286" t="s">
        <v>394</v>
      </c>
      <c r="E46" s="287">
        <f>PREMISAS!I27</f>
        <v>22</v>
      </c>
    </row>
    <row r="47" spans="1:26" ht="23" customHeight="1" x14ac:dyDescent="0.45">
      <c r="D47" s="288" t="s">
        <v>392</v>
      </c>
      <c r="E47" s="279">
        <f>PREMISAS!I28</f>
        <v>23</v>
      </c>
    </row>
    <row r="48" spans="1:26" ht="23" customHeight="1" x14ac:dyDescent="0.45">
      <c r="D48" s="307" t="s">
        <v>345</v>
      </c>
      <c r="E48" s="308"/>
    </row>
    <row r="49" spans="4:17" ht="23" customHeight="1" thickBot="1" x14ac:dyDescent="0.5">
      <c r="D49" s="309"/>
      <c r="E49" s="310"/>
    </row>
    <row r="50" spans="4:17" ht="23" customHeight="1" x14ac:dyDescent="0.45"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</row>
    <row r="52" spans="4:17" ht="23" customHeight="1" x14ac:dyDescent="0.45"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</row>
    <row r="54" spans="4:17" ht="23" customHeight="1" x14ac:dyDescent="0.45"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</row>
    <row r="58" spans="4:17" ht="23" customHeight="1" x14ac:dyDescent="0.45"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</row>
    <row r="59" spans="4:17" ht="23" customHeight="1" x14ac:dyDescent="0.45"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</row>
    <row r="61" spans="4:17" ht="23" customHeight="1" x14ac:dyDescent="0.45"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</row>
    <row r="67" spans="2:2" ht="23" customHeight="1" x14ac:dyDescent="0.45">
      <c r="B67" s="9"/>
    </row>
  </sheetData>
  <mergeCells count="21">
    <mergeCell ref="T5:T6"/>
    <mergeCell ref="A37:B37"/>
    <mergeCell ref="A35:B35"/>
    <mergeCell ref="R5:R6"/>
    <mergeCell ref="A33:B33"/>
    <mergeCell ref="A8:B8"/>
    <mergeCell ref="A16:B16"/>
    <mergeCell ref="A18:B18"/>
    <mergeCell ref="A20:B20"/>
    <mergeCell ref="A22:B22"/>
    <mergeCell ref="A10:B10"/>
    <mergeCell ref="A2:B6"/>
    <mergeCell ref="A12:B12"/>
    <mergeCell ref="A14:B14"/>
    <mergeCell ref="A30:B30"/>
    <mergeCell ref="D41:E41"/>
    <mergeCell ref="D48:E49"/>
    <mergeCell ref="A24:B24"/>
    <mergeCell ref="A26:B26"/>
    <mergeCell ref="A28:B28"/>
    <mergeCell ref="A39:B39"/>
  </mergeCells>
  <phoneticPr fontId="33" type="noConversion"/>
  <hyperlinks>
    <hyperlink ref="D48" r:id="rId1" xr:uid="{57015F4C-F8DA-134C-9876-FBFB2E7FFE8A}"/>
  </hyperlinks>
  <pageMargins left="0.25" right="0.25" top="0.75" bottom="0.75" header="0.3" footer="0.3"/>
  <pageSetup paperSize="3" scale="62" pageOrder="overThenDown" orientation="landscape" r:id="rId2"/>
  <headerFooter>
    <oddFooter xml:space="preserve">&amp;C&amp;"-,Negrita"&amp;16VERSION 1.0 2016 &amp;11
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5"/>
  <sheetViews>
    <sheetView showGridLines="0" zoomScale="90" zoomScaleNormal="90" workbookViewId="0">
      <pane xSplit="9" ySplit="6" topLeftCell="J7" activePane="bottomRight" state="frozen"/>
      <selection pane="topRight" activeCell="I1" sqref="I1"/>
      <selection pane="bottomLeft" activeCell="A6" sqref="A6"/>
      <selection pane="bottomRight" activeCell="E12" sqref="E12"/>
    </sheetView>
  </sheetViews>
  <sheetFormatPr baseColWidth="10" defaultColWidth="10.83203125" defaultRowHeight="20" customHeight="1" x14ac:dyDescent="0.35"/>
  <cols>
    <col min="1" max="1" width="5.5" style="102" customWidth="1"/>
    <col min="2" max="2" width="10.6640625" style="102" bestFit="1" customWidth="1"/>
    <col min="3" max="3" width="55.1640625" style="102" customWidth="1"/>
    <col min="4" max="5" width="16.1640625" style="102" customWidth="1"/>
    <col min="6" max="7" width="14.6640625" style="102" customWidth="1"/>
    <col min="8" max="9" width="19.1640625" style="102" customWidth="1"/>
    <col min="10" max="10" width="9" style="102" bestFit="1" customWidth="1"/>
    <col min="11" max="11" width="15" style="102" bestFit="1" customWidth="1"/>
    <col min="12" max="12" width="15.5" style="102" bestFit="1" customWidth="1"/>
    <col min="13" max="13" width="15.6640625" style="102" bestFit="1" customWidth="1"/>
    <col min="14" max="14" width="15.5" style="102" bestFit="1" customWidth="1"/>
    <col min="15" max="15" width="15.6640625" style="102" bestFit="1" customWidth="1"/>
    <col min="16" max="16" width="15.5" style="102" bestFit="1" customWidth="1"/>
    <col min="17" max="17" width="15.6640625" style="102" bestFit="1" customWidth="1"/>
    <col min="18" max="19" width="15.5" style="102" bestFit="1" customWidth="1"/>
    <col min="20" max="20" width="15.6640625" style="102" bestFit="1" customWidth="1"/>
    <col min="21" max="21" width="15.5" style="102" bestFit="1" customWidth="1"/>
    <col min="22" max="22" width="15.6640625" style="102" bestFit="1" customWidth="1"/>
    <col min="23" max="24" width="15.5" style="102" bestFit="1" customWidth="1"/>
    <col min="25" max="25" width="14.5" style="102" customWidth="1"/>
    <col min="26" max="16384" width="10.83203125" style="102"/>
  </cols>
  <sheetData>
    <row r="1" spans="1:24" ht="22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22" customHeight="1" x14ac:dyDescent="0.35">
      <c r="A2" s="13"/>
      <c r="B2" s="323" t="s">
        <v>386</v>
      </c>
      <c r="C2" s="32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s="95" customFormat="1" ht="22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s="95" customFormat="1" ht="20" customHeight="1" x14ac:dyDescent="0.35">
      <c r="A4" s="13"/>
      <c r="B4" s="324" t="s">
        <v>262</v>
      </c>
      <c r="C4" s="324" t="s">
        <v>24</v>
      </c>
      <c r="D4" s="324" t="s">
        <v>23</v>
      </c>
      <c r="E4" s="324" t="s">
        <v>2</v>
      </c>
      <c r="F4" s="324" t="s">
        <v>239</v>
      </c>
      <c r="G4" s="324" t="s">
        <v>344</v>
      </c>
      <c r="H4" s="324" t="s">
        <v>240</v>
      </c>
      <c r="I4" s="324" t="s">
        <v>256</v>
      </c>
      <c r="K4" s="169" t="s">
        <v>74</v>
      </c>
      <c r="L4" s="170" t="s">
        <v>356</v>
      </c>
      <c r="M4" s="170" t="s">
        <v>357</v>
      </c>
      <c r="N4" s="170" t="s">
        <v>358</v>
      </c>
      <c r="O4" s="170" t="s">
        <v>359</v>
      </c>
      <c r="P4" s="170" t="s">
        <v>360</v>
      </c>
      <c r="Q4" s="170" t="s">
        <v>361</v>
      </c>
      <c r="R4" s="170" t="s">
        <v>362</v>
      </c>
      <c r="S4" s="170" t="s">
        <v>363</v>
      </c>
      <c r="T4" s="170" t="s">
        <v>364</v>
      </c>
      <c r="U4" s="170" t="s">
        <v>365</v>
      </c>
      <c r="V4" s="170" t="s">
        <v>366</v>
      </c>
      <c r="W4" s="170" t="s">
        <v>367</v>
      </c>
      <c r="X4" s="170" t="s">
        <v>368</v>
      </c>
    </row>
    <row r="5" spans="1:24" s="96" customFormat="1" ht="20" customHeight="1" x14ac:dyDescent="0.35">
      <c r="A5" s="13"/>
      <c r="B5" s="324"/>
      <c r="C5" s="324"/>
      <c r="D5" s="324"/>
      <c r="E5" s="324"/>
      <c r="F5" s="324"/>
      <c r="G5" s="324"/>
      <c r="H5" s="324"/>
      <c r="I5" s="324"/>
      <c r="J5" s="95"/>
      <c r="K5" s="171" t="s">
        <v>251</v>
      </c>
      <c r="L5" s="172" t="s">
        <v>339</v>
      </c>
      <c r="M5" s="172" t="s">
        <v>340</v>
      </c>
      <c r="N5" s="172" t="s">
        <v>341</v>
      </c>
      <c r="O5" s="172" t="s">
        <v>330</v>
      </c>
      <c r="P5" s="172" t="s">
        <v>331</v>
      </c>
      <c r="Q5" s="172" t="s">
        <v>332</v>
      </c>
      <c r="R5" s="172" t="s">
        <v>333</v>
      </c>
      <c r="S5" s="172" t="s">
        <v>334</v>
      </c>
      <c r="T5" s="172" t="s">
        <v>335</v>
      </c>
      <c r="U5" s="172" t="s">
        <v>336</v>
      </c>
      <c r="V5" s="172" t="s">
        <v>337</v>
      </c>
      <c r="W5" s="172" t="s">
        <v>338</v>
      </c>
      <c r="X5" s="172" t="s">
        <v>339</v>
      </c>
    </row>
    <row r="6" spans="1:24" s="95" customFormat="1" ht="20" customHeight="1" x14ac:dyDescent="0.35">
      <c r="A6" s="13"/>
      <c r="B6" s="324"/>
      <c r="C6" s="324"/>
      <c r="D6" s="324"/>
      <c r="E6" s="324"/>
      <c r="F6" s="324"/>
      <c r="G6" s="324"/>
      <c r="H6" s="324"/>
      <c r="I6" s="324"/>
      <c r="K6" s="207" t="s">
        <v>251</v>
      </c>
      <c r="L6" s="208">
        <v>31</v>
      </c>
      <c r="M6" s="208">
        <v>28</v>
      </c>
      <c r="N6" s="208">
        <v>31</v>
      </c>
      <c r="O6" s="208">
        <v>30</v>
      </c>
      <c r="P6" s="208">
        <v>31</v>
      </c>
      <c r="Q6" s="208">
        <v>30</v>
      </c>
      <c r="R6" s="208">
        <v>31</v>
      </c>
      <c r="S6" s="208">
        <v>31</v>
      </c>
      <c r="T6" s="208">
        <v>30</v>
      </c>
      <c r="U6" s="208">
        <v>31</v>
      </c>
      <c r="V6" s="208">
        <v>30</v>
      </c>
      <c r="W6" s="208">
        <v>31</v>
      </c>
      <c r="X6" s="208">
        <v>31</v>
      </c>
    </row>
    <row r="7" spans="1:24" s="95" customFormat="1" ht="20" customHeight="1" x14ac:dyDescent="0.35">
      <c r="A7" s="13"/>
    </row>
    <row r="8" spans="1:24" ht="34" customHeight="1" x14ac:dyDescent="0.35">
      <c r="A8" s="13"/>
      <c r="B8" s="218" t="s">
        <v>251</v>
      </c>
      <c r="C8" s="224" t="s">
        <v>395</v>
      </c>
      <c r="D8" s="225" t="s">
        <v>396</v>
      </c>
    </row>
    <row r="9" spans="1:24" ht="31" x14ac:dyDescent="0.35">
      <c r="A9" s="13"/>
      <c r="B9" s="294">
        <v>1</v>
      </c>
      <c r="C9" s="168" t="s">
        <v>442</v>
      </c>
      <c r="D9" s="225" t="s">
        <v>413</v>
      </c>
      <c r="E9" s="111">
        <v>0</v>
      </c>
      <c r="F9" s="298">
        <v>602.49599999999998</v>
      </c>
      <c r="G9" s="236">
        <f>F9*E9</f>
        <v>0</v>
      </c>
      <c r="H9" s="112">
        <f>F9*$I$23</f>
        <v>12049.92</v>
      </c>
      <c r="I9" s="251">
        <f>E9*H9</f>
        <v>0</v>
      </c>
      <c r="J9" s="95"/>
      <c r="K9" s="209">
        <v>0</v>
      </c>
      <c r="L9" s="219">
        <f>$G$9*L6</f>
        <v>0</v>
      </c>
      <c r="M9" s="219">
        <f t="shared" ref="M9:X9" si="0">$G$9*M6</f>
        <v>0</v>
      </c>
      <c r="N9" s="219">
        <f t="shared" si="0"/>
        <v>0</v>
      </c>
      <c r="O9" s="219">
        <f t="shared" si="0"/>
        <v>0</v>
      </c>
      <c r="P9" s="219">
        <f t="shared" si="0"/>
        <v>0</v>
      </c>
      <c r="Q9" s="219">
        <f t="shared" si="0"/>
        <v>0</v>
      </c>
      <c r="R9" s="219">
        <f t="shared" si="0"/>
        <v>0</v>
      </c>
      <c r="S9" s="219">
        <f t="shared" si="0"/>
        <v>0</v>
      </c>
      <c r="T9" s="219">
        <f t="shared" si="0"/>
        <v>0</v>
      </c>
      <c r="U9" s="219">
        <f t="shared" si="0"/>
        <v>0</v>
      </c>
      <c r="V9" s="219">
        <f t="shared" si="0"/>
        <v>0</v>
      </c>
      <c r="W9" s="219">
        <f t="shared" si="0"/>
        <v>0</v>
      </c>
      <c r="X9" s="219">
        <f t="shared" si="0"/>
        <v>0</v>
      </c>
    </row>
    <row r="10" spans="1:24" ht="34" customHeight="1" x14ac:dyDescent="0.35">
      <c r="A10" s="13"/>
      <c r="B10" s="294">
        <v>2</v>
      </c>
      <c r="C10" s="168" t="s">
        <v>443</v>
      </c>
      <c r="D10" s="225" t="s">
        <v>413</v>
      </c>
      <c r="E10" s="111">
        <v>0</v>
      </c>
      <c r="F10" s="298">
        <v>470.01</v>
      </c>
      <c r="G10" s="236">
        <f t="shared" ref="G10:G14" si="1">F10*E10</f>
        <v>0</v>
      </c>
      <c r="H10" s="112">
        <f>F10*$I$23</f>
        <v>9400.2000000000007</v>
      </c>
      <c r="I10" s="251">
        <f t="shared" ref="I10:I14" si="2">E10*H10</f>
        <v>0</v>
      </c>
      <c r="J10" s="95"/>
      <c r="K10" s="209">
        <v>0</v>
      </c>
      <c r="L10" s="219">
        <f>$G$10*L6</f>
        <v>0</v>
      </c>
      <c r="M10" s="219">
        <f t="shared" ref="M10:X10" si="3">$G$10*M6</f>
        <v>0</v>
      </c>
      <c r="N10" s="219">
        <f t="shared" si="3"/>
        <v>0</v>
      </c>
      <c r="O10" s="219">
        <f t="shared" si="3"/>
        <v>0</v>
      </c>
      <c r="P10" s="219">
        <f t="shared" si="3"/>
        <v>0</v>
      </c>
      <c r="Q10" s="219">
        <f t="shared" si="3"/>
        <v>0</v>
      </c>
      <c r="R10" s="219">
        <f t="shared" si="3"/>
        <v>0</v>
      </c>
      <c r="S10" s="219">
        <f t="shared" si="3"/>
        <v>0</v>
      </c>
      <c r="T10" s="219">
        <f t="shared" si="3"/>
        <v>0</v>
      </c>
      <c r="U10" s="219">
        <f t="shared" si="3"/>
        <v>0</v>
      </c>
      <c r="V10" s="219">
        <f t="shared" si="3"/>
        <v>0</v>
      </c>
      <c r="W10" s="219">
        <f t="shared" si="3"/>
        <v>0</v>
      </c>
      <c r="X10" s="219">
        <f t="shared" si="3"/>
        <v>0</v>
      </c>
    </row>
    <row r="11" spans="1:24" ht="34" customHeight="1" x14ac:dyDescent="0.35">
      <c r="A11" s="13"/>
      <c r="B11" s="294">
        <v>3</v>
      </c>
      <c r="C11" s="168" t="s">
        <v>444</v>
      </c>
      <c r="D11" s="225" t="s">
        <v>413</v>
      </c>
      <c r="E11" s="111">
        <v>4</v>
      </c>
      <c r="F11" s="298">
        <v>1662.32</v>
      </c>
      <c r="G11" s="236">
        <f t="shared" si="1"/>
        <v>6649.28</v>
      </c>
      <c r="H11" s="112">
        <f>F11*$I$23</f>
        <v>33246.400000000001</v>
      </c>
      <c r="I11" s="251">
        <f t="shared" si="2"/>
        <v>132985.60000000001</v>
      </c>
      <c r="J11" s="95"/>
      <c r="K11" s="209">
        <v>0</v>
      </c>
      <c r="L11" s="219">
        <f>$G$11*L6</f>
        <v>206127.68</v>
      </c>
      <c r="M11" s="219">
        <f t="shared" ref="M11:X11" si="4">$G$11*M6</f>
        <v>186179.84</v>
      </c>
      <c r="N11" s="219">
        <f t="shared" si="4"/>
        <v>206127.68</v>
      </c>
      <c r="O11" s="219">
        <f t="shared" si="4"/>
        <v>199478.39999999999</v>
      </c>
      <c r="P11" s="219">
        <f t="shared" si="4"/>
        <v>206127.68</v>
      </c>
      <c r="Q11" s="219">
        <f t="shared" si="4"/>
        <v>199478.39999999999</v>
      </c>
      <c r="R11" s="219">
        <f t="shared" si="4"/>
        <v>206127.68</v>
      </c>
      <c r="S11" s="219">
        <f t="shared" si="4"/>
        <v>206127.68</v>
      </c>
      <c r="T11" s="219">
        <f t="shared" si="4"/>
        <v>199478.39999999999</v>
      </c>
      <c r="U11" s="219">
        <f t="shared" si="4"/>
        <v>206127.68</v>
      </c>
      <c r="V11" s="219">
        <f t="shared" si="4"/>
        <v>199478.39999999999</v>
      </c>
      <c r="W11" s="219">
        <f t="shared" si="4"/>
        <v>206127.68</v>
      </c>
      <c r="X11" s="219">
        <f t="shared" si="4"/>
        <v>206127.68</v>
      </c>
    </row>
    <row r="12" spans="1:24" ht="34" customHeight="1" x14ac:dyDescent="0.35">
      <c r="A12" s="13"/>
      <c r="B12" s="294">
        <v>4</v>
      </c>
      <c r="C12" s="168" t="s">
        <v>441</v>
      </c>
      <c r="D12" s="225" t="s">
        <v>413</v>
      </c>
      <c r="E12" s="111">
        <v>0</v>
      </c>
      <c r="F12" s="298">
        <v>1079.6400000000001</v>
      </c>
      <c r="G12" s="236">
        <f t="shared" si="1"/>
        <v>0</v>
      </c>
      <c r="H12" s="112">
        <f>F12*$I$23</f>
        <v>21592.800000000003</v>
      </c>
      <c r="I12" s="251">
        <f t="shared" si="2"/>
        <v>0</v>
      </c>
      <c r="J12" s="276"/>
      <c r="K12" s="209">
        <v>0</v>
      </c>
      <c r="L12" s="219">
        <f>$G$12*L6</f>
        <v>0</v>
      </c>
      <c r="M12" s="219">
        <f t="shared" ref="M12:X12" si="5">$G$12*M6</f>
        <v>0</v>
      </c>
      <c r="N12" s="219">
        <f t="shared" si="5"/>
        <v>0</v>
      </c>
      <c r="O12" s="219">
        <f t="shared" si="5"/>
        <v>0</v>
      </c>
      <c r="P12" s="219">
        <f t="shared" si="5"/>
        <v>0</v>
      </c>
      <c r="Q12" s="219">
        <f t="shared" si="5"/>
        <v>0</v>
      </c>
      <c r="R12" s="219">
        <f t="shared" si="5"/>
        <v>0</v>
      </c>
      <c r="S12" s="219">
        <f t="shared" si="5"/>
        <v>0</v>
      </c>
      <c r="T12" s="219">
        <f t="shared" si="5"/>
        <v>0</v>
      </c>
      <c r="U12" s="219">
        <f t="shared" si="5"/>
        <v>0</v>
      </c>
      <c r="V12" s="219">
        <f t="shared" si="5"/>
        <v>0</v>
      </c>
      <c r="W12" s="219">
        <f t="shared" si="5"/>
        <v>0</v>
      </c>
      <c r="X12" s="219">
        <f t="shared" si="5"/>
        <v>0</v>
      </c>
    </row>
    <row r="13" spans="1:24" ht="34" customHeight="1" x14ac:dyDescent="0.35">
      <c r="A13" s="13"/>
      <c r="B13" s="294">
        <v>5</v>
      </c>
      <c r="C13" s="168" t="s">
        <v>440</v>
      </c>
      <c r="D13" s="225" t="s">
        <v>413</v>
      </c>
      <c r="E13" s="111">
        <v>0</v>
      </c>
      <c r="F13" s="298">
        <v>227.38</v>
      </c>
      <c r="G13" s="236">
        <f t="shared" si="1"/>
        <v>0</v>
      </c>
      <c r="H13" s="112">
        <f>F13*$I$23</f>
        <v>4547.6000000000004</v>
      </c>
      <c r="I13" s="251">
        <f t="shared" si="2"/>
        <v>0</v>
      </c>
      <c r="J13" s="95"/>
      <c r="K13" s="209">
        <v>0</v>
      </c>
      <c r="L13" s="219">
        <f>$G$13*L6</f>
        <v>0</v>
      </c>
      <c r="M13" s="219">
        <f t="shared" ref="M13:X13" si="6">$G$13*M6</f>
        <v>0</v>
      </c>
      <c r="N13" s="219">
        <f t="shared" si="6"/>
        <v>0</v>
      </c>
      <c r="O13" s="219">
        <f t="shared" si="6"/>
        <v>0</v>
      </c>
      <c r="P13" s="219">
        <f t="shared" si="6"/>
        <v>0</v>
      </c>
      <c r="Q13" s="219">
        <f t="shared" si="6"/>
        <v>0</v>
      </c>
      <c r="R13" s="219">
        <f t="shared" si="6"/>
        <v>0</v>
      </c>
      <c r="S13" s="219">
        <f t="shared" si="6"/>
        <v>0</v>
      </c>
      <c r="T13" s="219">
        <f t="shared" si="6"/>
        <v>0</v>
      </c>
      <c r="U13" s="219">
        <f t="shared" si="6"/>
        <v>0</v>
      </c>
      <c r="V13" s="219">
        <f t="shared" si="6"/>
        <v>0</v>
      </c>
      <c r="W13" s="219">
        <f t="shared" si="6"/>
        <v>0</v>
      </c>
      <c r="X13" s="219">
        <f t="shared" si="6"/>
        <v>0</v>
      </c>
    </row>
    <row r="14" spans="1:24" ht="34" customHeight="1" x14ac:dyDescent="0.35">
      <c r="A14" s="13"/>
      <c r="B14" s="294">
        <v>6</v>
      </c>
      <c r="C14" s="293"/>
      <c r="D14" s="225"/>
      <c r="E14" s="111">
        <v>0</v>
      </c>
      <c r="F14" s="112">
        <v>0</v>
      </c>
      <c r="G14" s="236">
        <f t="shared" si="1"/>
        <v>0</v>
      </c>
      <c r="H14" s="112">
        <f t="shared" ref="H14" si="7">F14*$I$23</f>
        <v>0</v>
      </c>
      <c r="I14" s="251">
        <f t="shared" si="2"/>
        <v>0</v>
      </c>
      <c r="J14" s="95"/>
      <c r="K14" s="209">
        <v>0</v>
      </c>
      <c r="L14" s="209">
        <v>0</v>
      </c>
      <c r="M14" s="209">
        <v>0</v>
      </c>
      <c r="N14" s="209">
        <v>0</v>
      </c>
      <c r="O14" s="209">
        <v>0</v>
      </c>
      <c r="P14" s="209">
        <v>0</v>
      </c>
      <c r="Q14" s="209">
        <v>0</v>
      </c>
      <c r="R14" s="209">
        <v>0</v>
      </c>
      <c r="S14" s="209">
        <v>0</v>
      </c>
      <c r="T14" s="209">
        <v>0</v>
      </c>
      <c r="U14" s="209">
        <v>0</v>
      </c>
      <c r="V14" s="209">
        <v>0</v>
      </c>
      <c r="W14" s="209">
        <v>0</v>
      </c>
      <c r="X14" s="209">
        <v>0</v>
      </c>
    </row>
    <row r="15" spans="1:24" ht="34" customHeight="1" x14ac:dyDescent="0.35">
      <c r="A15" s="13"/>
      <c r="B15" s="295">
        <v>7</v>
      </c>
      <c r="C15" s="168"/>
      <c r="D15" s="225"/>
      <c r="E15" s="225"/>
      <c r="F15" s="225"/>
      <c r="G15" s="225"/>
      <c r="H15" s="225"/>
      <c r="I15" s="225"/>
      <c r="J15" s="95"/>
      <c r="K15" s="209">
        <v>0</v>
      </c>
      <c r="L15" s="219">
        <f t="shared" ref="L15:X15" si="8">$G$15*L6</f>
        <v>0</v>
      </c>
      <c r="M15" s="219">
        <f t="shared" si="8"/>
        <v>0</v>
      </c>
      <c r="N15" s="219">
        <f t="shared" si="8"/>
        <v>0</v>
      </c>
      <c r="O15" s="219">
        <f t="shared" si="8"/>
        <v>0</v>
      </c>
      <c r="P15" s="219">
        <f t="shared" si="8"/>
        <v>0</v>
      </c>
      <c r="Q15" s="219">
        <f t="shared" si="8"/>
        <v>0</v>
      </c>
      <c r="R15" s="219">
        <f t="shared" si="8"/>
        <v>0</v>
      </c>
      <c r="S15" s="219">
        <f t="shared" si="8"/>
        <v>0</v>
      </c>
      <c r="T15" s="219">
        <f t="shared" si="8"/>
        <v>0</v>
      </c>
      <c r="U15" s="219">
        <f t="shared" si="8"/>
        <v>0</v>
      </c>
      <c r="V15" s="219">
        <f t="shared" si="8"/>
        <v>0</v>
      </c>
      <c r="W15" s="219">
        <f t="shared" si="8"/>
        <v>0</v>
      </c>
      <c r="X15" s="219">
        <f t="shared" si="8"/>
        <v>0</v>
      </c>
    </row>
    <row r="16" spans="1:24" ht="22" customHeight="1" x14ac:dyDescent="0.35">
      <c r="B16" s="97"/>
      <c r="C16" s="103"/>
      <c r="D16" s="104"/>
      <c r="E16" s="105"/>
      <c r="F16" s="105"/>
      <c r="G16" s="105"/>
      <c r="H16" s="105"/>
      <c r="I16" s="105"/>
      <c r="J16" s="95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</row>
    <row r="17" spans="2:24" ht="20" customHeight="1" x14ac:dyDescent="0.35">
      <c r="B17"/>
      <c r="H17" s="325" t="s">
        <v>402</v>
      </c>
      <c r="I17" s="326"/>
      <c r="J17" s="95"/>
      <c r="K17" s="210">
        <f t="shared" ref="K17:X17" si="9">SUM(K9:K15)</f>
        <v>0</v>
      </c>
      <c r="L17" s="210">
        <f t="shared" si="9"/>
        <v>206127.68</v>
      </c>
      <c r="M17" s="210">
        <f t="shared" si="9"/>
        <v>186179.84</v>
      </c>
      <c r="N17" s="210">
        <f t="shared" si="9"/>
        <v>206127.68</v>
      </c>
      <c r="O17" s="210">
        <f t="shared" si="9"/>
        <v>199478.39999999999</v>
      </c>
      <c r="P17" s="210">
        <f t="shared" si="9"/>
        <v>206127.68</v>
      </c>
      <c r="Q17" s="210">
        <f t="shared" si="9"/>
        <v>199478.39999999999</v>
      </c>
      <c r="R17" s="210">
        <f t="shared" si="9"/>
        <v>206127.68</v>
      </c>
      <c r="S17" s="210">
        <f t="shared" si="9"/>
        <v>206127.68</v>
      </c>
      <c r="T17" s="210">
        <f t="shared" si="9"/>
        <v>199478.39999999999</v>
      </c>
      <c r="U17" s="210">
        <f t="shared" si="9"/>
        <v>206127.68</v>
      </c>
      <c r="V17" s="210">
        <f t="shared" si="9"/>
        <v>199478.39999999999</v>
      </c>
      <c r="W17" s="210">
        <f t="shared" si="9"/>
        <v>206127.68</v>
      </c>
      <c r="X17" s="210">
        <f t="shared" si="9"/>
        <v>206127.68</v>
      </c>
    </row>
    <row r="18" spans="2:24" ht="20" customHeight="1" x14ac:dyDescent="0.35">
      <c r="B18"/>
      <c r="F18" s="109"/>
      <c r="G18" s="109"/>
      <c r="H18" s="327" t="s">
        <v>397</v>
      </c>
      <c r="I18" s="328"/>
      <c r="J18" s="95"/>
      <c r="K18" s="211">
        <f>K17/$I$23</f>
        <v>0</v>
      </c>
      <c r="L18" s="211">
        <f>L17*$I$23</f>
        <v>4122553.5999999996</v>
      </c>
      <c r="M18" s="211">
        <f t="shared" ref="M18:X18" si="10">M17*$I$23</f>
        <v>3723596.8</v>
      </c>
      <c r="N18" s="211">
        <f t="shared" si="10"/>
        <v>4122553.5999999996</v>
      </c>
      <c r="O18" s="211">
        <f t="shared" si="10"/>
        <v>3989568</v>
      </c>
      <c r="P18" s="211">
        <f t="shared" si="10"/>
        <v>4122553.5999999996</v>
      </c>
      <c r="Q18" s="211">
        <f t="shared" si="10"/>
        <v>3989568</v>
      </c>
      <c r="R18" s="211">
        <f t="shared" si="10"/>
        <v>4122553.5999999996</v>
      </c>
      <c r="S18" s="211">
        <f t="shared" si="10"/>
        <v>4122553.5999999996</v>
      </c>
      <c r="T18" s="211">
        <f t="shared" si="10"/>
        <v>3989568</v>
      </c>
      <c r="U18" s="211">
        <f t="shared" si="10"/>
        <v>4122553.5999999996</v>
      </c>
      <c r="V18" s="211">
        <f t="shared" si="10"/>
        <v>3989568</v>
      </c>
      <c r="W18" s="211">
        <f t="shared" si="10"/>
        <v>4122553.5999999996</v>
      </c>
      <c r="X18" s="211">
        <f t="shared" si="10"/>
        <v>4122553.5999999996</v>
      </c>
    </row>
    <row r="19" spans="2:24" ht="20" customHeight="1" x14ac:dyDescent="0.35">
      <c r="H19" s="325" t="s">
        <v>403</v>
      </c>
      <c r="I19" s="326"/>
      <c r="J19" s="95"/>
      <c r="K19" s="210">
        <f>SUM(K17:X17)</f>
        <v>2633114.88</v>
      </c>
    </row>
    <row r="20" spans="2:24" ht="19" customHeight="1" x14ac:dyDescent="0.35">
      <c r="F20" s="109"/>
      <c r="G20" s="109"/>
      <c r="H20" s="327" t="s">
        <v>256</v>
      </c>
      <c r="I20" s="328"/>
      <c r="J20" s="95"/>
      <c r="K20" s="226">
        <f>SUM(K18:X18)</f>
        <v>52662297.600000009</v>
      </c>
    </row>
    <row r="21" spans="2:24" ht="19" customHeight="1" x14ac:dyDescent="0.35">
      <c r="F21" s="108"/>
      <c r="G21" s="108"/>
      <c r="H21" s="110"/>
      <c r="J21" s="95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95"/>
    </row>
    <row r="22" spans="2:24" ht="19" customHeight="1" x14ac:dyDescent="0.35">
      <c r="G22"/>
      <c r="H22" s="300" t="s">
        <v>386</v>
      </c>
      <c r="I22" s="301"/>
      <c r="J22" s="95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2:24" ht="19" customHeight="1" x14ac:dyDescent="0.35">
      <c r="H23" s="212" t="s">
        <v>387</v>
      </c>
      <c r="I23" s="198">
        <v>20</v>
      </c>
      <c r="J23" s="95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2:24" ht="19" customHeight="1" x14ac:dyDescent="0.35">
      <c r="H24" s="213" t="s">
        <v>388</v>
      </c>
      <c r="I24" s="199">
        <v>30.4</v>
      </c>
      <c r="J24" s="95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2:24" ht="19" customHeight="1" x14ac:dyDescent="0.35">
      <c r="H25" s="214" t="s">
        <v>393</v>
      </c>
      <c r="I25" s="200">
        <v>45</v>
      </c>
      <c r="J25" s="95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</row>
    <row r="26" spans="2:24" ht="19" customHeight="1" x14ac:dyDescent="0.35">
      <c r="H26" s="215" t="s">
        <v>390</v>
      </c>
      <c r="I26" s="201">
        <v>10.5</v>
      </c>
      <c r="J26" s="95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</row>
    <row r="27" spans="2:24" ht="20" customHeight="1" x14ac:dyDescent="0.35">
      <c r="H27" s="216" t="s">
        <v>394</v>
      </c>
      <c r="I27" s="202">
        <v>22</v>
      </c>
      <c r="J27" s="95"/>
    </row>
    <row r="28" spans="2:24" ht="20" customHeight="1" x14ac:dyDescent="0.35">
      <c r="H28" s="217" t="s">
        <v>392</v>
      </c>
      <c r="I28" s="198">
        <v>23</v>
      </c>
      <c r="J28" s="95"/>
      <c r="M28" s="109"/>
      <c r="N28" s="109"/>
      <c r="O28" s="109"/>
      <c r="P28" s="109"/>
      <c r="Q28" s="109"/>
    </row>
    <row r="29" spans="2:24" ht="20" customHeight="1" x14ac:dyDescent="0.35">
      <c r="H29" s="329" t="s">
        <v>345</v>
      </c>
      <c r="I29" s="330"/>
      <c r="J29" s="95"/>
      <c r="M29" s="109"/>
      <c r="N29" s="109"/>
      <c r="O29" s="109"/>
      <c r="P29" s="109"/>
      <c r="Q29" s="109"/>
    </row>
    <row r="30" spans="2:24" ht="20" customHeight="1" thickBot="1" x14ac:dyDescent="0.4">
      <c r="H30" s="331"/>
      <c r="I30" s="332"/>
      <c r="J30" s="95"/>
      <c r="M30" s="109"/>
      <c r="N30" s="109"/>
      <c r="O30" s="109"/>
      <c r="P30" s="109"/>
      <c r="Q30" s="109"/>
    </row>
    <row r="31" spans="2:24" ht="20" customHeight="1" x14ac:dyDescent="0.35">
      <c r="H31" s="321" t="s">
        <v>414</v>
      </c>
      <c r="I31" s="322"/>
      <c r="J31" s="95"/>
      <c r="M31" s="109"/>
      <c r="N31" s="109"/>
      <c r="O31" s="109"/>
      <c r="P31" s="109"/>
      <c r="Q31" s="109"/>
    </row>
    <row r="33" spans="5:17" ht="20" customHeight="1" x14ac:dyDescent="0.35">
      <c r="M33" s="109"/>
      <c r="N33" s="109"/>
      <c r="O33" s="109"/>
      <c r="P33" s="109"/>
      <c r="Q33" s="109"/>
    </row>
    <row r="34" spans="5:17" ht="20" customHeight="1" x14ac:dyDescent="0.35">
      <c r="J34" s="95"/>
      <c r="P34" s="109"/>
    </row>
    <row r="35" spans="5:17" ht="20" customHeight="1" x14ac:dyDescent="0.35">
      <c r="K35" s="109"/>
      <c r="L35" s="109"/>
      <c r="M35" s="109"/>
      <c r="N35" s="109"/>
      <c r="O35" s="109"/>
      <c r="P35" s="109"/>
    </row>
    <row r="36" spans="5:17" ht="20" customHeight="1" x14ac:dyDescent="0.35">
      <c r="E36" s="109"/>
    </row>
    <row r="37" spans="5:17" ht="20" customHeight="1" x14ac:dyDescent="0.35">
      <c r="E37" s="109"/>
      <c r="K37" s="109"/>
      <c r="L37" s="109"/>
      <c r="M37" s="109"/>
      <c r="N37" s="109"/>
      <c r="O37" s="109"/>
      <c r="P37" s="109"/>
    </row>
    <row r="38" spans="5:17" ht="20" customHeight="1" x14ac:dyDescent="0.35">
      <c r="E38" s="109"/>
      <c r="K38" s="109"/>
      <c r="L38" s="109"/>
      <c r="M38" s="109"/>
      <c r="N38" s="109"/>
      <c r="O38" s="109"/>
      <c r="P38" s="109"/>
    </row>
    <row r="39" spans="5:17" ht="20" customHeight="1" x14ac:dyDescent="0.35">
      <c r="E39" s="109"/>
    </row>
    <row r="40" spans="5:17" ht="20" customHeight="1" x14ac:dyDescent="0.35">
      <c r="E40" s="109"/>
    </row>
    <row r="41" spans="5:17" ht="20" customHeight="1" x14ac:dyDescent="0.35">
      <c r="E41" s="109"/>
    </row>
    <row r="42" spans="5:17" ht="20" customHeight="1" x14ac:dyDescent="0.35">
      <c r="E42" s="109"/>
    </row>
    <row r="43" spans="5:17" ht="20" customHeight="1" x14ac:dyDescent="0.35">
      <c r="E43" s="109"/>
    </row>
    <row r="44" spans="5:17" ht="20" customHeight="1" x14ac:dyDescent="0.35">
      <c r="E44" s="109"/>
    </row>
    <row r="45" spans="5:17" ht="20" customHeight="1" x14ac:dyDescent="0.35">
      <c r="E45" s="109"/>
    </row>
    <row r="46" spans="5:17" ht="20" customHeight="1" x14ac:dyDescent="0.35">
      <c r="E46" s="109"/>
    </row>
    <row r="47" spans="5:17" ht="20" customHeight="1" x14ac:dyDescent="0.35">
      <c r="E47" s="109"/>
    </row>
    <row r="48" spans="5:17" ht="20" customHeight="1" x14ac:dyDescent="0.35">
      <c r="E48" s="109"/>
    </row>
    <row r="49" spans="5:5" ht="20" customHeight="1" x14ac:dyDescent="0.35">
      <c r="E49" s="109"/>
    </row>
    <row r="50" spans="5:5" ht="20" customHeight="1" x14ac:dyDescent="0.35">
      <c r="E50" s="109"/>
    </row>
    <row r="51" spans="5:5" ht="20" customHeight="1" x14ac:dyDescent="0.35">
      <c r="E51" s="109"/>
    </row>
    <row r="52" spans="5:5" ht="20" customHeight="1" x14ac:dyDescent="0.35">
      <c r="E52" s="109"/>
    </row>
    <row r="53" spans="5:5" ht="20" customHeight="1" x14ac:dyDescent="0.35">
      <c r="E53" s="109"/>
    </row>
    <row r="54" spans="5:5" ht="20" customHeight="1" x14ac:dyDescent="0.35">
      <c r="E54" s="109"/>
    </row>
    <row r="55" spans="5:5" ht="20" customHeight="1" x14ac:dyDescent="0.35">
      <c r="E55" s="109"/>
    </row>
    <row r="56" spans="5:5" ht="20" customHeight="1" x14ac:dyDescent="0.35">
      <c r="E56" s="109"/>
    </row>
    <row r="57" spans="5:5" ht="20" customHeight="1" x14ac:dyDescent="0.35">
      <c r="E57" s="109"/>
    </row>
    <row r="58" spans="5:5" ht="20" customHeight="1" x14ac:dyDescent="0.35">
      <c r="E58" s="109"/>
    </row>
    <row r="59" spans="5:5" ht="20" customHeight="1" x14ac:dyDescent="0.35">
      <c r="E59" s="109"/>
    </row>
    <row r="60" spans="5:5" ht="20" customHeight="1" x14ac:dyDescent="0.35">
      <c r="E60" s="109"/>
    </row>
    <row r="61" spans="5:5" ht="20" customHeight="1" x14ac:dyDescent="0.35">
      <c r="E61" s="109"/>
    </row>
    <row r="62" spans="5:5" ht="20" customHeight="1" x14ac:dyDescent="0.35">
      <c r="E62" s="109"/>
    </row>
    <row r="63" spans="5:5" ht="20" customHeight="1" x14ac:dyDescent="0.35">
      <c r="E63" s="109"/>
    </row>
    <row r="64" spans="5:5" ht="20" customHeight="1" x14ac:dyDescent="0.35">
      <c r="E64" s="109"/>
    </row>
    <row r="65" spans="5:5" ht="20" customHeight="1" x14ac:dyDescent="0.35">
      <c r="E65" s="109"/>
    </row>
    <row r="66" spans="5:5" ht="20" customHeight="1" x14ac:dyDescent="0.35">
      <c r="E66" s="109"/>
    </row>
    <row r="67" spans="5:5" ht="20" customHeight="1" x14ac:dyDescent="0.35">
      <c r="E67" s="109"/>
    </row>
    <row r="68" spans="5:5" ht="20" customHeight="1" x14ac:dyDescent="0.35">
      <c r="E68" s="109"/>
    </row>
    <row r="69" spans="5:5" ht="20" customHeight="1" x14ac:dyDescent="0.35">
      <c r="E69" s="109"/>
    </row>
    <row r="70" spans="5:5" ht="20" customHeight="1" x14ac:dyDescent="0.35">
      <c r="E70" s="109"/>
    </row>
    <row r="71" spans="5:5" ht="20" customHeight="1" x14ac:dyDescent="0.35">
      <c r="E71" s="109"/>
    </row>
    <row r="72" spans="5:5" ht="20" customHeight="1" x14ac:dyDescent="0.35">
      <c r="E72" s="109"/>
    </row>
    <row r="73" spans="5:5" ht="20" customHeight="1" x14ac:dyDescent="0.35">
      <c r="E73" s="109"/>
    </row>
    <row r="74" spans="5:5" ht="20" customHeight="1" x14ac:dyDescent="0.35">
      <c r="E74" s="109"/>
    </row>
    <row r="75" spans="5:5" ht="20" customHeight="1" x14ac:dyDescent="0.35">
      <c r="E75" s="109"/>
    </row>
    <row r="76" spans="5:5" ht="20" customHeight="1" x14ac:dyDescent="0.35">
      <c r="E76" s="109"/>
    </row>
    <row r="77" spans="5:5" ht="20" customHeight="1" x14ac:dyDescent="0.35">
      <c r="E77" s="109"/>
    </row>
    <row r="78" spans="5:5" ht="20" customHeight="1" x14ac:dyDescent="0.35">
      <c r="E78" s="109"/>
    </row>
    <row r="79" spans="5:5" ht="20" customHeight="1" x14ac:dyDescent="0.35">
      <c r="E79" s="109"/>
    </row>
    <row r="80" spans="5:5" ht="20" customHeight="1" x14ac:dyDescent="0.35">
      <c r="E80" s="109"/>
    </row>
    <row r="81" spans="5:5" ht="20" customHeight="1" x14ac:dyDescent="0.35">
      <c r="E81" s="109"/>
    </row>
    <row r="82" spans="5:5" ht="20" customHeight="1" x14ac:dyDescent="0.35">
      <c r="E82" s="109"/>
    </row>
    <row r="83" spans="5:5" ht="20" customHeight="1" x14ac:dyDescent="0.35">
      <c r="E83" s="109"/>
    </row>
    <row r="84" spans="5:5" ht="20" customHeight="1" x14ac:dyDescent="0.35">
      <c r="E84" s="109"/>
    </row>
    <row r="85" spans="5:5" ht="20" customHeight="1" x14ac:dyDescent="0.35">
      <c r="E85" s="109"/>
    </row>
    <row r="86" spans="5:5" ht="20" customHeight="1" x14ac:dyDescent="0.35">
      <c r="E86" s="109"/>
    </row>
    <row r="87" spans="5:5" ht="20" customHeight="1" x14ac:dyDescent="0.35">
      <c r="E87" s="109"/>
    </row>
    <row r="88" spans="5:5" ht="20" customHeight="1" x14ac:dyDescent="0.35">
      <c r="E88" s="109"/>
    </row>
    <row r="89" spans="5:5" ht="20" customHeight="1" x14ac:dyDescent="0.35">
      <c r="E89" s="109"/>
    </row>
    <row r="90" spans="5:5" ht="20" customHeight="1" x14ac:dyDescent="0.35">
      <c r="E90" s="109"/>
    </row>
    <row r="91" spans="5:5" ht="20" customHeight="1" x14ac:dyDescent="0.35">
      <c r="E91" s="109"/>
    </row>
    <row r="92" spans="5:5" ht="20" customHeight="1" x14ac:dyDescent="0.35">
      <c r="E92" s="109"/>
    </row>
    <row r="93" spans="5:5" ht="20" customHeight="1" x14ac:dyDescent="0.35">
      <c r="E93" s="109"/>
    </row>
    <row r="94" spans="5:5" ht="20" customHeight="1" x14ac:dyDescent="0.35">
      <c r="E94" s="109"/>
    </row>
    <row r="95" spans="5:5" ht="20" customHeight="1" x14ac:dyDescent="0.35">
      <c r="E95" s="109"/>
    </row>
    <row r="96" spans="5:5" ht="20" customHeight="1" x14ac:dyDescent="0.35">
      <c r="E96" s="109"/>
    </row>
    <row r="115" spans="2:2" ht="20" customHeight="1" x14ac:dyDescent="0.35">
      <c r="B115" s="102">
        <v>64373.77</v>
      </c>
    </row>
  </sheetData>
  <mergeCells count="16">
    <mergeCell ref="H31:I31"/>
    <mergeCell ref="B2:C2"/>
    <mergeCell ref="G4:G6"/>
    <mergeCell ref="H4:H6"/>
    <mergeCell ref="I4:I6"/>
    <mergeCell ref="C4:C6"/>
    <mergeCell ref="D4:D6"/>
    <mergeCell ref="E4:E6"/>
    <mergeCell ref="F4:F6"/>
    <mergeCell ref="B4:B6"/>
    <mergeCell ref="H17:I17"/>
    <mergeCell ref="H18:I18"/>
    <mergeCell ref="H19:I19"/>
    <mergeCell ref="H20:I20"/>
    <mergeCell ref="H29:I30"/>
    <mergeCell ref="H22:I22"/>
  </mergeCells>
  <phoneticPr fontId="8" type="noConversion"/>
  <hyperlinks>
    <hyperlink ref="H29" r:id="rId1" xr:uid="{6B669221-F0E7-6849-B622-01B717462F44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28"/>
  <sheetViews>
    <sheetView showGridLines="0" zoomScale="90" zoomScaleNormal="90" zoomScalePageLayoutView="110" workbookViewId="0">
      <pane xSplit="11" ySplit="6" topLeftCell="L7" activePane="bottomRight" state="frozen"/>
      <selection pane="topRight" activeCell="M1" sqref="M1"/>
      <selection pane="bottomLeft" activeCell="A8" sqref="A8"/>
      <selection pane="bottomRight" activeCell="D12" sqref="D12"/>
    </sheetView>
  </sheetViews>
  <sheetFormatPr baseColWidth="10" defaultColWidth="10.5" defaultRowHeight="20" customHeight="1" x14ac:dyDescent="0.35"/>
  <cols>
    <col min="1" max="1" width="3.1640625" style="2" customWidth="1"/>
    <col min="2" max="2" width="14.5" style="2" bestFit="1" customWidth="1"/>
    <col min="3" max="3" width="9.6640625" style="2" bestFit="1" customWidth="1"/>
    <col min="4" max="4" width="40.5" style="2" customWidth="1"/>
    <col min="5" max="5" width="9.83203125" style="2" bestFit="1" customWidth="1"/>
    <col min="6" max="6" width="11.1640625" style="2" bestFit="1" customWidth="1"/>
    <col min="7" max="9" width="13.1640625" style="2" customWidth="1"/>
    <col min="10" max="11" width="16.83203125" style="2" customWidth="1"/>
    <col min="12" max="12" width="2.33203125" style="2" customWidth="1"/>
    <col min="13" max="13" width="16.83203125" style="2" bestFit="1" customWidth="1"/>
    <col min="14" max="14" width="15.5" style="2" bestFit="1" customWidth="1"/>
    <col min="15" max="15" width="15.6640625" style="2" bestFit="1" customWidth="1"/>
    <col min="16" max="16" width="15.5" style="2" bestFit="1" customWidth="1"/>
    <col min="17" max="17" width="15.6640625" style="2" bestFit="1" customWidth="1"/>
    <col min="18" max="18" width="15.5" style="2" bestFit="1" customWidth="1"/>
    <col min="19" max="19" width="15.6640625" style="2" bestFit="1" customWidth="1"/>
    <col min="20" max="21" width="15.5" style="2" bestFit="1" customWidth="1"/>
    <col min="22" max="22" width="15.6640625" style="2" bestFit="1" customWidth="1"/>
    <col min="23" max="23" width="15.5" style="2" bestFit="1" customWidth="1"/>
    <col min="24" max="24" width="15.6640625" style="2" bestFit="1" customWidth="1"/>
    <col min="25" max="26" width="15.5" style="2" bestFit="1" customWidth="1"/>
    <col min="27" max="16384" width="10.5" style="2"/>
  </cols>
  <sheetData>
    <row r="1" spans="1:26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3"/>
    </row>
    <row r="2" spans="1:26" ht="20" customHeight="1" x14ac:dyDescent="0.35">
      <c r="A2" s="13"/>
      <c r="B2" s="323" t="s">
        <v>8</v>
      </c>
      <c r="C2" s="32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3"/>
    </row>
    <row r="3" spans="1:26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0" customHeight="1" x14ac:dyDescent="0.35">
      <c r="A4" s="13"/>
      <c r="B4" s="334" t="s">
        <v>263</v>
      </c>
      <c r="C4" s="334" t="s">
        <v>241</v>
      </c>
      <c r="D4" s="334" t="s">
        <v>9</v>
      </c>
      <c r="E4" s="334" t="s">
        <v>23</v>
      </c>
      <c r="F4" s="334" t="s">
        <v>2</v>
      </c>
      <c r="G4" s="335" t="s">
        <v>239</v>
      </c>
      <c r="H4" s="335" t="s">
        <v>344</v>
      </c>
      <c r="I4" s="335" t="s">
        <v>240</v>
      </c>
      <c r="J4" s="335" t="s">
        <v>256</v>
      </c>
      <c r="K4" s="333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26" ht="20" customHeight="1" x14ac:dyDescent="0.35">
      <c r="A5" s="13"/>
      <c r="B5" s="334"/>
      <c r="C5" s="334"/>
      <c r="D5" s="334"/>
      <c r="E5" s="334"/>
      <c r="F5" s="334"/>
      <c r="G5" s="336"/>
      <c r="H5" s="336" t="s">
        <v>344</v>
      </c>
      <c r="I5" s="336" t="s">
        <v>240</v>
      </c>
      <c r="J5" s="336" t="s">
        <v>256</v>
      </c>
      <c r="K5" s="333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26" ht="20" customHeight="1" x14ac:dyDescent="0.35">
      <c r="A6" s="13"/>
      <c r="B6" s="334"/>
      <c r="C6" s="334"/>
      <c r="D6" s="334"/>
      <c r="E6" s="334"/>
      <c r="F6" s="334"/>
      <c r="G6" s="337"/>
      <c r="H6" s="337" t="s">
        <v>242</v>
      </c>
      <c r="I6" s="337" t="s">
        <v>243</v>
      </c>
      <c r="J6" s="337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26" ht="48" customHeight="1" x14ac:dyDescent="0.35">
      <c r="A7" s="13"/>
      <c r="B7" s="220" t="s">
        <v>80</v>
      </c>
      <c r="C7" s="220">
        <v>1</v>
      </c>
      <c r="D7" s="221" t="str">
        <f>PREMISAS!C9</f>
        <v>Patín con bomba electrocentrifuga horizontal con gasto de 10,000-20,000 BPD incluye la operación continua.</v>
      </c>
      <c r="E7" s="227" t="str">
        <f>PREMISAS!D9</f>
        <v>Día</v>
      </c>
      <c r="F7" s="227">
        <f>PREMISAS!E9</f>
        <v>0</v>
      </c>
      <c r="G7" s="236">
        <f>PREMISAS!F9</f>
        <v>602.49599999999998</v>
      </c>
      <c r="H7" s="251">
        <f>PREMISAS!G9</f>
        <v>0</v>
      </c>
      <c r="I7" s="228">
        <f>PREMISAS!H9</f>
        <v>12049.92</v>
      </c>
      <c r="J7" s="251">
        <f>PREMISAS!I9</f>
        <v>0</v>
      </c>
      <c r="K7" s="223">
        <f>J7*1.16</f>
        <v>0</v>
      </c>
      <c r="M7" s="230">
        <f>PREMISAS!K9</f>
        <v>0</v>
      </c>
      <c r="N7" s="230">
        <f>PREMISAS!L9</f>
        <v>0</v>
      </c>
      <c r="O7" s="230">
        <f>PREMISAS!M9</f>
        <v>0</v>
      </c>
      <c r="P7" s="230">
        <f>PREMISAS!N9</f>
        <v>0</v>
      </c>
      <c r="Q7" s="230">
        <f>PREMISAS!O9</f>
        <v>0</v>
      </c>
      <c r="R7" s="230">
        <f>PREMISAS!P9</f>
        <v>0</v>
      </c>
      <c r="S7" s="230">
        <f>PREMISAS!Q9</f>
        <v>0</v>
      </c>
      <c r="T7" s="230">
        <f>PREMISAS!R9</f>
        <v>0</v>
      </c>
      <c r="U7" s="230">
        <f>PREMISAS!S9</f>
        <v>0</v>
      </c>
      <c r="V7" s="230">
        <f>PREMISAS!T9</f>
        <v>0</v>
      </c>
      <c r="W7" s="230">
        <f>PREMISAS!U9</f>
        <v>0</v>
      </c>
      <c r="X7" s="230">
        <f>PREMISAS!V9</f>
        <v>0</v>
      </c>
      <c r="Y7" s="230">
        <f>PREMISAS!W9</f>
        <v>0</v>
      </c>
      <c r="Z7" s="230">
        <f>PREMISAS!X9</f>
        <v>0</v>
      </c>
    </row>
    <row r="8" spans="1:26" ht="48" customHeight="1" x14ac:dyDescent="0.35">
      <c r="A8" s="13"/>
      <c r="B8" s="220" t="s">
        <v>80</v>
      </c>
      <c r="C8" s="220">
        <v>2</v>
      </c>
      <c r="D8" s="221" t="str">
        <f>PREMISAS!C10</f>
        <v>Patín con bomba electrocentrifuga horizontal con gasto de 20,000-30,000 BPD incluye la operación continua.</v>
      </c>
      <c r="E8" s="227" t="str">
        <f>PREMISAS!D10</f>
        <v>Día</v>
      </c>
      <c r="F8" s="227">
        <f>PREMISAS!E10</f>
        <v>0</v>
      </c>
      <c r="G8" s="236">
        <f>PREMISAS!F10</f>
        <v>470.01</v>
      </c>
      <c r="H8" s="251">
        <f>PREMISAS!G10</f>
        <v>0</v>
      </c>
      <c r="I8" s="228">
        <f>PREMISAS!H10</f>
        <v>9400.2000000000007</v>
      </c>
      <c r="J8" s="251">
        <f>PREMISAS!I10</f>
        <v>0</v>
      </c>
      <c r="K8" s="223">
        <f t="shared" ref="K8:K12" si="0">J8*1.16</f>
        <v>0</v>
      </c>
      <c r="M8" s="230">
        <f>PREMISAS!K10</f>
        <v>0</v>
      </c>
      <c r="N8" s="230">
        <f>PREMISAS!L10</f>
        <v>0</v>
      </c>
      <c r="O8" s="230">
        <f>PREMISAS!M10</f>
        <v>0</v>
      </c>
      <c r="P8" s="230">
        <f>PREMISAS!N10</f>
        <v>0</v>
      </c>
      <c r="Q8" s="230">
        <f>PREMISAS!O10</f>
        <v>0</v>
      </c>
      <c r="R8" s="230">
        <f>PREMISAS!P10</f>
        <v>0</v>
      </c>
      <c r="S8" s="230">
        <f>PREMISAS!Q10</f>
        <v>0</v>
      </c>
      <c r="T8" s="230">
        <f>PREMISAS!R10</f>
        <v>0</v>
      </c>
      <c r="U8" s="230">
        <f>PREMISAS!S10</f>
        <v>0</v>
      </c>
      <c r="V8" s="230">
        <f>PREMISAS!T10</f>
        <v>0</v>
      </c>
      <c r="W8" s="230">
        <f>PREMISAS!U10</f>
        <v>0</v>
      </c>
      <c r="X8" s="230">
        <f>PREMISAS!V10</f>
        <v>0</v>
      </c>
      <c r="Y8" s="230">
        <f>PREMISAS!W10</f>
        <v>0</v>
      </c>
      <c r="Z8" s="230">
        <f>PREMISAS!X10</f>
        <v>0</v>
      </c>
    </row>
    <row r="9" spans="1:26" ht="48" customHeight="1" x14ac:dyDescent="0.35">
      <c r="A9" s="13"/>
      <c r="B9" s="220" t="s">
        <v>80</v>
      </c>
      <c r="C9" s="220">
        <v>3</v>
      </c>
      <c r="D9" s="221" t="str">
        <f>PREMISAS!C11</f>
        <v>Generador de energía a gas de 300 KW/375 KVA.</v>
      </c>
      <c r="E9" s="227" t="str">
        <f>PREMISAS!D11</f>
        <v>Día</v>
      </c>
      <c r="F9" s="227">
        <f>PREMISAS!E11</f>
        <v>4</v>
      </c>
      <c r="G9" s="236">
        <f>PREMISAS!F11</f>
        <v>1662.32</v>
      </c>
      <c r="H9" s="251">
        <f>PREMISAS!G11</f>
        <v>6649.28</v>
      </c>
      <c r="I9" s="228">
        <f>PREMISAS!H11</f>
        <v>33246.400000000001</v>
      </c>
      <c r="J9" s="251">
        <f>PREMISAS!I11</f>
        <v>132985.60000000001</v>
      </c>
      <c r="K9" s="223">
        <f t="shared" si="0"/>
        <v>154263.296</v>
      </c>
      <c r="M9" s="230">
        <f>PREMISAS!K11</f>
        <v>0</v>
      </c>
      <c r="N9" s="230">
        <f>PREMISAS!L11</f>
        <v>206127.68</v>
      </c>
      <c r="O9" s="230">
        <f>PREMISAS!M11</f>
        <v>186179.84</v>
      </c>
      <c r="P9" s="230">
        <f>PREMISAS!N11</f>
        <v>206127.68</v>
      </c>
      <c r="Q9" s="230">
        <f>PREMISAS!O11</f>
        <v>199478.39999999999</v>
      </c>
      <c r="R9" s="230">
        <f>PREMISAS!P11</f>
        <v>206127.68</v>
      </c>
      <c r="S9" s="230">
        <f>PREMISAS!Q11</f>
        <v>199478.39999999999</v>
      </c>
      <c r="T9" s="230">
        <f>PREMISAS!R11</f>
        <v>206127.68</v>
      </c>
      <c r="U9" s="230">
        <f>PREMISAS!S11</f>
        <v>206127.68</v>
      </c>
      <c r="V9" s="230">
        <f>PREMISAS!T11</f>
        <v>199478.39999999999</v>
      </c>
      <c r="W9" s="230">
        <f>PREMISAS!U11</f>
        <v>206127.68</v>
      </c>
      <c r="X9" s="230">
        <f>PREMISAS!V11</f>
        <v>199478.39999999999</v>
      </c>
      <c r="Y9" s="230">
        <f>PREMISAS!W11</f>
        <v>206127.68</v>
      </c>
      <c r="Z9" s="230">
        <f>PREMISAS!X11</f>
        <v>206127.68</v>
      </c>
    </row>
    <row r="10" spans="1:26" ht="48" customHeight="1" x14ac:dyDescent="0.35">
      <c r="A10" s="13"/>
      <c r="B10" s="220" t="s">
        <v>80</v>
      </c>
      <c r="C10" s="220">
        <v>4</v>
      </c>
      <c r="D10" s="221" t="str">
        <f>PREMISAS!C12</f>
        <v>Generador de energía a gas de 300 KW/375 KVA a disposición.</v>
      </c>
      <c r="E10" s="227" t="str">
        <f>PREMISAS!D12</f>
        <v>Día</v>
      </c>
      <c r="F10" s="227">
        <f>PREMISAS!E12</f>
        <v>0</v>
      </c>
      <c r="G10" s="236">
        <f>PREMISAS!F12</f>
        <v>1079.6400000000001</v>
      </c>
      <c r="H10" s="251">
        <f>PREMISAS!G12</f>
        <v>0</v>
      </c>
      <c r="I10" s="228">
        <f>PREMISAS!H12</f>
        <v>21592.800000000003</v>
      </c>
      <c r="J10" s="251">
        <f>PREMISAS!I12</f>
        <v>0</v>
      </c>
      <c r="K10" s="223">
        <f t="shared" si="0"/>
        <v>0</v>
      </c>
      <c r="M10" s="230">
        <f>PREMISAS!K12</f>
        <v>0</v>
      </c>
      <c r="N10" s="230">
        <f>PREMISAS!L12</f>
        <v>0</v>
      </c>
      <c r="O10" s="230">
        <f>PREMISAS!M12</f>
        <v>0</v>
      </c>
      <c r="P10" s="230">
        <f>PREMISAS!N12</f>
        <v>0</v>
      </c>
      <c r="Q10" s="230">
        <f>PREMISAS!O12</f>
        <v>0</v>
      </c>
      <c r="R10" s="230">
        <f>PREMISAS!P12</f>
        <v>0</v>
      </c>
      <c r="S10" s="230">
        <f>PREMISAS!Q12</f>
        <v>0</v>
      </c>
      <c r="T10" s="230">
        <f>PREMISAS!R12</f>
        <v>0</v>
      </c>
      <c r="U10" s="230">
        <f>PREMISAS!S12</f>
        <v>0</v>
      </c>
      <c r="V10" s="230">
        <f>PREMISAS!T12</f>
        <v>0</v>
      </c>
      <c r="W10" s="230">
        <f>PREMISAS!U12</f>
        <v>0</v>
      </c>
      <c r="X10" s="230">
        <f>PREMISAS!V12</f>
        <v>0</v>
      </c>
      <c r="Y10" s="230">
        <f>PREMISAS!W12</f>
        <v>0</v>
      </c>
      <c r="Z10" s="230">
        <f>PREMISAS!X12</f>
        <v>0</v>
      </c>
    </row>
    <row r="11" spans="1:26" ht="48" customHeight="1" x14ac:dyDescent="0.35">
      <c r="A11" s="13"/>
      <c r="B11" s="220" t="s">
        <v>80</v>
      </c>
      <c r="C11" s="220">
        <v>5</v>
      </c>
      <c r="D11" s="221" t="str">
        <f>PREMISAS!C13</f>
        <v>Variador de frecuencia para 300 KW/375 KVA.</v>
      </c>
      <c r="E11" s="227" t="str">
        <f>PREMISAS!D13</f>
        <v>Día</v>
      </c>
      <c r="F11" s="227">
        <f>PREMISAS!E13</f>
        <v>0</v>
      </c>
      <c r="G11" s="236">
        <f>PREMISAS!F13</f>
        <v>227.38</v>
      </c>
      <c r="H11" s="251">
        <f>PREMISAS!G13</f>
        <v>0</v>
      </c>
      <c r="I11" s="228">
        <f>PREMISAS!H13</f>
        <v>4547.6000000000004</v>
      </c>
      <c r="J11" s="251">
        <f>PREMISAS!I13</f>
        <v>0</v>
      </c>
      <c r="K11" s="223">
        <f t="shared" si="0"/>
        <v>0</v>
      </c>
      <c r="M11" s="230">
        <f>PREMISAS!K13</f>
        <v>0</v>
      </c>
      <c r="N11" s="230">
        <f>PREMISAS!L13</f>
        <v>0</v>
      </c>
      <c r="O11" s="230">
        <f>PREMISAS!M13</f>
        <v>0</v>
      </c>
      <c r="P11" s="230">
        <f>PREMISAS!N13</f>
        <v>0</v>
      </c>
      <c r="Q11" s="230">
        <f>PREMISAS!O13</f>
        <v>0</v>
      </c>
      <c r="R11" s="230">
        <f>PREMISAS!P13</f>
        <v>0</v>
      </c>
      <c r="S11" s="230">
        <f>PREMISAS!Q13</f>
        <v>0</v>
      </c>
      <c r="T11" s="230">
        <f>PREMISAS!R13</f>
        <v>0</v>
      </c>
      <c r="U11" s="230">
        <f>PREMISAS!S13</f>
        <v>0</v>
      </c>
      <c r="V11" s="230">
        <f>PREMISAS!T13</f>
        <v>0</v>
      </c>
      <c r="W11" s="230">
        <f>PREMISAS!U13</f>
        <v>0</v>
      </c>
      <c r="X11" s="230">
        <f>PREMISAS!V13</f>
        <v>0</v>
      </c>
      <c r="Y11" s="230">
        <f>PREMISAS!W13</f>
        <v>0</v>
      </c>
      <c r="Z11" s="230">
        <f>PREMISAS!X13</f>
        <v>0</v>
      </c>
    </row>
    <row r="12" spans="1:26" ht="48" customHeight="1" x14ac:dyDescent="0.35">
      <c r="A12" s="13"/>
      <c r="B12" s="220" t="s">
        <v>80</v>
      </c>
      <c r="C12" s="220">
        <v>6</v>
      </c>
      <c r="D12" s="221"/>
      <c r="E12" s="227">
        <f>PREMISAS!D14</f>
        <v>0</v>
      </c>
      <c r="F12" s="227">
        <f>PREMISAS!E14</f>
        <v>0</v>
      </c>
      <c r="G12" s="236">
        <f>PREMISAS!F14</f>
        <v>0</v>
      </c>
      <c r="H12" s="251">
        <f>PREMISAS!G14</f>
        <v>0</v>
      </c>
      <c r="I12" s="228">
        <f>PREMISAS!H14</f>
        <v>0</v>
      </c>
      <c r="J12" s="251">
        <f>PREMISAS!I14</f>
        <v>0</v>
      </c>
      <c r="K12" s="223">
        <f t="shared" si="0"/>
        <v>0</v>
      </c>
      <c r="M12" s="230">
        <f>PREMISAS!K14</f>
        <v>0</v>
      </c>
      <c r="N12" s="230">
        <f>PREMISAS!L14</f>
        <v>0</v>
      </c>
      <c r="O12" s="230">
        <f>PREMISAS!M14</f>
        <v>0</v>
      </c>
      <c r="P12" s="230">
        <f>PREMISAS!N14</f>
        <v>0</v>
      </c>
      <c r="Q12" s="230">
        <f>PREMISAS!O14</f>
        <v>0</v>
      </c>
      <c r="R12" s="230">
        <f>PREMISAS!P14</f>
        <v>0</v>
      </c>
      <c r="S12" s="230">
        <f>PREMISAS!Q14</f>
        <v>0</v>
      </c>
      <c r="T12" s="230">
        <f>PREMISAS!R14</f>
        <v>0</v>
      </c>
      <c r="U12" s="230">
        <f>PREMISAS!S14</f>
        <v>0</v>
      </c>
      <c r="V12" s="230">
        <f>PREMISAS!T14</f>
        <v>0</v>
      </c>
      <c r="W12" s="230">
        <f>PREMISAS!U14</f>
        <v>0</v>
      </c>
      <c r="X12" s="230">
        <f>PREMISAS!V14</f>
        <v>0</v>
      </c>
      <c r="Y12" s="230">
        <f>PREMISAS!W14</f>
        <v>0</v>
      </c>
      <c r="Z12" s="230">
        <f>PREMISAS!X14</f>
        <v>0</v>
      </c>
    </row>
    <row r="13" spans="1:26" ht="48" customHeight="1" x14ac:dyDescent="0.35">
      <c r="A13" s="13"/>
      <c r="B13" s="220" t="s">
        <v>80</v>
      </c>
      <c r="C13" s="220">
        <v>7</v>
      </c>
      <c r="D13" s="221"/>
      <c r="E13" s="227"/>
      <c r="F13" s="227"/>
      <c r="G13" s="236"/>
      <c r="H13" s="251"/>
      <c r="I13" s="228"/>
      <c r="J13" s="251"/>
      <c r="K13" s="223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</row>
    <row r="14" spans="1:26" ht="20" customHeight="1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0" customHeight="1" x14ac:dyDescent="0.35">
      <c r="A15" s="18"/>
      <c r="D15" s="4"/>
      <c r="E15" s="4"/>
      <c r="F15" s="4"/>
      <c r="J15" s="325" t="s">
        <v>402</v>
      </c>
      <c r="K15" s="326"/>
      <c r="L15" s="95"/>
      <c r="M15" s="210">
        <f t="shared" ref="M15:Z15" si="1">SUM(M7:M13)</f>
        <v>0</v>
      </c>
      <c r="N15" s="210">
        <f t="shared" si="1"/>
        <v>206127.68</v>
      </c>
      <c r="O15" s="210">
        <f t="shared" si="1"/>
        <v>186179.84</v>
      </c>
      <c r="P15" s="210">
        <f t="shared" si="1"/>
        <v>206127.68</v>
      </c>
      <c r="Q15" s="210">
        <f t="shared" si="1"/>
        <v>199478.39999999999</v>
      </c>
      <c r="R15" s="210">
        <f t="shared" si="1"/>
        <v>206127.68</v>
      </c>
      <c r="S15" s="210">
        <f t="shared" si="1"/>
        <v>199478.39999999999</v>
      </c>
      <c r="T15" s="210">
        <f t="shared" si="1"/>
        <v>206127.68</v>
      </c>
      <c r="U15" s="210">
        <f t="shared" si="1"/>
        <v>206127.68</v>
      </c>
      <c r="V15" s="210">
        <f t="shared" si="1"/>
        <v>199478.39999999999</v>
      </c>
      <c r="W15" s="210">
        <f t="shared" si="1"/>
        <v>206127.68</v>
      </c>
      <c r="X15" s="210">
        <f t="shared" si="1"/>
        <v>199478.39999999999</v>
      </c>
      <c r="Y15" s="210">
        <f t="shared" si="1"/>
        <v>206127.68</v>
      </c>
      <c r="Z15" s="210">
        <f t="shared" si="1"/>
        <v>206127.68</v>
      </c>
    </row>
    <row r="16" spans="1:26" ht="20" customHeight="1" x14ac:dyDescent="0.35">
      <c r="A16" s="18"/>
      <c r="D16" s="4"/>
      <c r="E16" s="4"/>
      <c r="F16" s="4"/>
      <c r="J16" s="327" t="s">
        <v>397</v>
      </c>
      <c r="K16" s="328"/>
      <c r="L16" s="95"/>
      <c r="M16" s="211">
        <f>M15/$K$21</f>
        <v>0</v>
      </c>
      <c r="N16" s="211">
        <f>N15*$K$21</f>
        <v>4122553.5999999996</v>
      </c>
      <c r="O16" s="211">
        <f t="shared" ref="O16:Z16" si="2">O15*$K$21</f>
        <v>3723596.8</v>
      </c>
      <c r="P16" s="211">
        <f t="shared" si="2"/>
        <v>4122553.5999999996</v>
      </c>
      <c r="Q16" s="211">
        <f t="shared" si="2"/>
        <v>3989568</v>
      </c>
      <c r="R16" s="211">
        <f t="shared" si="2"/>
        <v>4122553.5999999996</v>
      </c>
      <c r="S16" s="211">
        <f t="shared" si="2"/>
        <v>3989568</v>
      </c>
      <c r="T16" s="211">
        <f t="shared" si="2"/>
        <v>4122553.5999999996</v>
      </c>
      <c r="U16" s="211">
        <f t="shared" si="2"/>
        <v>4122553.5999999996</v>
      </c>
      <c r="V16" s="211">
        <f t="shared" si="2"/>
        <v>3989568</v>
      </c>
      <c r="W16" s="211">
        <f t="shared" si="2"/>
        <v>4122553.5999999996</v>
      </c>
      <c r="X16" s="211">
        <f t="shared" si="2"/>
        <v>3989568</v>
      </c>
      <c r="Y16" s="211">
        <f t="shared" si="2"/>
        <v>4122553.5999999996</v>
      </c>
      <c r="Z16" s="211">
        <f t="shared" si="2"/>
        <v>4122553.5999999996</v>
      </c>
    </row>
    <row r="17" spans="1:26" ht="20" customHeight="1" x14ac:dyDescent="0.35">
      <c r="A17" s="18"/>
      <c r="D17" s="4"/>
      <c r="E17" s="4"/>
      <c r="F17" s="4"/>
      <c r="J17" s="325" t="s">
        <v>403</v>
      </c>
      <c r="K17" s="326"/>
      <c r="L17" s="95"/>
      <c r="M17" s="210">
        <f>SUM(M15:Z15)</f>
        <v>2633114.88</v>
      </c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ht="20" customHeight="1" x14ac:dyDescent="0.35">
      <c r="A18" s="18"/>
      <c r="D18" s="4"/>
      <c r="E18" s="4"/>
      <c r="F18" s="4"/>
      <c r="J18" s="327" t="s">
        <v>256</v>
      </c>
      <c r="K18" s="328"/>
      <c r="L18" s="95"/>
      <c r="M18" s="226">
        <f>SUM(M16:Z16)</f>
        <v>52662297.600000009</v>
      </c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ht="20" customHeight="1" x14ac:dyDescent="0.35">
      <c r="A19" s="18"/>
      <c r="D19" s="4"/>
      <c r="E19" s="4"/>
      <c r="F19" s="4"/>
      <c r="J19" s="19"/>
      <c r="Y19" s="10"/>
      <c r="Z19" s="10"/>
    </row>
    <row r="20" spans="1:26" ht="20" customHeight="1" x14ac:dyDescent="0.35">
      <c r="D20" s="4"/>
      <c r="E20" s="4"/>
      <c r="F20" s="4"/>
      <c r="J20" s="300" t="str">
        <f>PREMISAS!H22</f>
        <v>PREMISAS</v>
      </c>
      <c r="K20" s="30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Y20" s="10"/>
      <c r="Z20" s="10"/>
    </row>
    <row r="21" spans="1:26" ht="20" customHeight="1" x14ac:dyDescent="0.35">
      <c r="D21" s="4"/>
      <c r="E21" s="4"/>
      <c r="F21" s="4"/>
      <c r="J21" s="212" t="str">
        <f>PREMISAS!H23</f>
        <v>PARIDAD</v>
      </c>
      <c r="K21" s="198">
        <f>PREMISAS!I23</f>
        <v>20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0"/>
      <c r="X21" s="10"/>
      <c r="Y21" s="10"/>
    </row>
    <row r="22" spans="1:26" ht="20" customHeight="1" x14ac:dyDescent="0.35">
      <c r="D22" s="4"/>
      <c r="E22" s="4"/>
      <c r="F22" s="4"/>
      <c r="J22" s="213" t="str">
        <f>PREMISAS!H24</f>
        <v xml:space="preserve">MES </v>
      </c>
      <c r="K22" s="199">
        <f>PREMISAS!I24</f>
        <v>30.4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0"/>
      <c r="X22" s="10"/>
    </row>
    <row r="23" spans="1:26" ht="20" customHeight="1" x14ac:dyDescent="0.35">
      <c r="J23" s="214" t="str">
        <f>PREMISAS!H25</f>
        <v>CRÉDITO</v>
      </c>
      <c r="K23" s="200">
        <f>PREMISAS!I25</f>
        <v>45</v>
      </c>
      <c r="R23" s="4"/>
      <c r="S23" s="4"/>
      <c r="T23" s="4"/>
      <c r="U23" s="4"/>
      <c r="V23" s="4"/>
      <c r="X23" s="3"/>
    </row>
    <row r="24" spans="1:26" ht="20" customHeight="1" x14ac:dyDescent="0.35">
      <c r="J24" s="215" t="str">
        <f>PREMISAS!H26</f>
        <v>GAS LP</v>
      </c>
      <c r="K24" s="201">
        <f>PREMISAS!I26</f>
        <v>10.5</v>
      </c>
    </row>
    <row r="25" spans="1:26" ht="20" customHeight="1" x14ac:dyDescent="0.35">
      <c r="J25" s="216" t="str">
        <f>PREMISAS!H27</f>
        <v>GASOLINA</v>
      </c>
      <c r="K25" s="202">
        <f>PREMISAS!I27</f>
        <v>22</v>
      </c>
    </row>
    <row r="26" spans="1:26" ht="20" customHeight="1" x14ac:dyDescent="0.35">
      <c r="J26" s="217" t="str">
        <f>PREMISAS!H28</f>
        <v>DIESEL</v>
      </c>
      <c r="K26" s="198">
        <f>PREMISAS!I28</f>
        <v>23</v>
      </c>
    </row>
    <row r="27" spans="1:26" ht="20" customHeight="1" x14ac:dyDescent="0.35">
      <c r="J27" s="329" t="s">
        <v>345</v>
      </c>
      <c r="K27" s="330"/>
    </row>
    <row r="28" spans="1:26" ht="20" customHeight="1" thickBot="1" x14ac:dyDescent="0.4">
      <c r="J28" s="331"/>
      <c r="K28" s="332"/>
    </row>
  </sheetData>
  <mergeCells count="17">
    <mergeCell ref="K4:K5"/>
    <mergeCell ref="F4:F6"/>
    <mergeCell ref="J15:K15"/>
    <mergeCell ref="B2:C2"/>
    <mergeCell ref="G4:G6"/>
    <mergeCell ref="H4:H6"/>
    <mergeCell ref="I4:I6"/>
    <mergeCell ref="J4:J6"/>
    <mergeCell ref="E4:E6"/>
    <mergeCell ref="D4:D6"/>
    <mergeCell ref="C4:C6"/>
    <mergeCell ref="B4:B6"/>
    <mergeCell ref="J16:K16"/>
    <mergeCell ref="J17:K17"/>
    <mergeCell ref="J18:K18"/>
    <mergeCell ref="J27:K28"/>
    <mergeCell ref="J20:K20"/>
  </mergeCells>
  <phoneticPr fontId="8" type="noConversion"/>
  <hyperlinks>
    <hyperlink ref="J27" r:id="rId1" xr:uid="{D064CCD6-5261-0D43-8446-3995296D4534}"/>
  </hyperlinks>
  <pageMargins left="0.25" right="0.25" top="0.75" bottom="0.75" header="0.3" footer="0.3"/>
  <pageSetup paperSize="3" scale="69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96"/>
  <sheetViews>
    <sheetView showGridLines="0" zoomScale="90" zoomScaleNormal="90" workbookViewId="0">
      <pane xSplit="10" ySplit="6" topLeftCell="K7" activePane="bottomRight" state="frozen"/>
      <selection pane="topRight" activeCell="J1" sqref="J1"/>
      <selection pane="bottomLeft" activeCell="A8" sqref="A8"/>
      <selection pane="bottomRight" activeCell="M13" sqref="M13"/>
    </sheetView>
  </sheetViews>
  <sheetFormatPr baseColWidth="10" defaultColWidth="10.5" defaultRowHeight="20" customHeight="1" x14ac:dyDescent="0.35"/>
  <cols>
    <col min="1" max="1" width="3.6640625" style="2" customWidth="1"/>
    <col min="2" max="2" width="25.33203125" style="2" bestFit="1" customWidth="1"/>
    <col min="3" max="3" width="15.5" style="2" bestFit="1" customWidth="1"/>
    <col min="4" max="4" width="9" style="2" bestFit="1" customWidth="1"/>
    <col min="5" max="5" width="11.1640625" style="2" bestFit="1" customWidth="1"/>
    <col min="6" max="6" width="11.08203125" style="2" bestFit="1" customWidth="1"/>
    <col min="7" max="7" width="13" style="2" bestFit="1" customWidth="1"/>
    <col min="8" max="8" width="12.33203125" style="2" bestFit="1" customWidth="1"/>
    <col min="9" max="9" width="12.5" style="2" bestFit="1" customWidth="1"/>
    <col min="10" max="10" width="13.33203125" style="2" bestFit="1" customWidth="1"/>
    <col min="11" max="11" width="1.83203125" style="2" customWidth="1"/>
    <col min="12" max="13" width="16.33203125" style="2" bestFit="1" customWidth="1"/>
    <col min="14" max="14" width="17" style="2" bestFit="1" customWidth="1"/>
    <col min="15" max="16" width="15.33203125" style="2" bestFit="1" customWidth="1"/>
    <col min="17" max="25" width="13.6640625" style="2" bestFit="1" customWidth="1"/>
    <col min="26" max="16384" width="10.5" style="2"/>
  </cols>
  <sheetData>
    <row r="1" spans="1:25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20" customHeight="1" x14ac:dyDescent="0.35">
      <c r="A2" s="13"/>
      <c r="B2" s="15" t="s">
        <v>25</v>
      </c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20" customHeight="1" x14ac:dyDescent="0.35">
      <c r="A4" s="13"/>
      <c r="B4" s="334" t="s">
        <v>263</v>
      </c>
      <c r="C4" s="333" t="s">
        <v>245</v>
      </c>
      <c r="D4" s="334" t="s">
        <v>23</v>
      </c>
      <c r="E4" s="334" t="s">
        <v>2</v>
      </c>
      <c r="F4" s="324" t="s">
        <v>239</v>
      </c>
      <c r="G4" s="324" t="s">
        <v>344</v>
      </c>
      <c r="H4" s="324" t="s">
        <v>240</v>
      </c>
      <c r="I4" s="324" t="s">
        <v>256</v>
      </c>
      <c r="J4" s="333" t="s">
        <v>398</v>
      </c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</row>
    <row r="5" spans="1:25" ht="20" customHeight="1" x14ac:dyDescent="0.35">
      <c r="A5" s="13"/>
      <c r="B5" s="334"/>
      <c r="C5" s="333"/>
      <c r="D5" s="334"/>
      <c r="E5" s="334"/>
      <c r="F5" s="324"/>
      <c r="G5" s="324" t="s">
        <v>344</v>
      </c>
      <c r="H5" s="324" t="s">
        <v>240</v>
      </c>
      <c r="I5" s="324" t="s">
        <v>256</v>
      </c>
      <c r="J5" s="333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</row>
    <row r="6" spans="1:25" ht="20" customHeight="1" x14ac:dyDescent="0.35">
      <c r="A6" s="13"/>
      <c r="B6" s="334"/>
      <c r="C6" s="333"/>
      <c r="D6" s="334"/>
      <c r="E6" s="334"/>
      <c r="F6" s="324"/>
      <c r="G6" s="324" t="s">
        <v>242</v>
      </c>
      <c r="H6" s="324" t="s">
        <v>243</v>
      </c>
      <c r="I6" s="324" t="s">
        <v>243</v>
      </c>
      <c r="J6" s="229" t="s">
        <v>399</v>
      </c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</row>
    <row r="7" spans="1:25" ht="20" customHeight="1" x14ac:dyDescent="0.35">
      <c r="A7" s="13"/>
      <c r="B7" s="231" t="s">
        <v>99</v>
      </c>
      <c r="C7" s="296" t="s">
        <v>445</v>
      </c>
      <c r="D7" s="232"/>
      <c r="E7" s="222">
        <v>1</v>
      </c>
      <c r="F7" s="223">
        <v>31800</v>
      </c>
      <c r="G7" s="236">
        <f>E7*F7</f>
        <v>31800</v>
      </c>
      <c r="H7" s="223">
        <f>F7*$J$46</f>
        <v>636000</v>
      </c>
      <c r="I7" s="251">
        <f>E7*H7</f>
        <v>636000</v>
      </c>
      <c r="J7" s="223">
        <f>I7*1.16</f>
        <v>737760</v>
      </c>
      <c r="L7" s="223">
        <v>0</v>
      </c>
      <c r="M7" s="223">
        <v>0</v>
      </c>
      <c r="N7" s="223">
        <f>G7</f>
        <v>31800</v>
      </c>
      <c r="O7" s="223">
        <v>0</v>
      </c>
      <c r="P7" s="223">
        <v>0</v>
      </c>
      <c r="Q7" s="223">
        <f>K7</f>
        <v>0</v>
      </c>
      <c r="R7" s="223">
        <v>0</v>
      </c>
      <c r="S7" s="223">
        <v>0</v>
      </c>
      <c r="T7" s="223">
        <v>0</v>
      </c>
      <c r="U7" s="223">
        <v>0</v>
      </c>
      <c r="V7" s="223">
        <v>0</v>
      </c>
      <c r="W7" s="223">
        <v>0</v>
      </c>
      <c r="X7" s="223">
        <v>0</v>
      </c>
      <c r="Y7" s="223">
        <v>0</v>
      </c>
    </row>
    <row r="8" spans="1:25" ht="20" customHeight="1" x14ac:dyDescent="0.35">
      <c r="A8" s="13"/>
      <c r="B8" s="231" t="s">
        <v>99</v>
      </c>
      <c r="C8" s="231"/>
      <c r="D8" s="232"/>
      <c r="E8" s="222">
        <v>0</v>
      </c>
      <c r="F8" s="223">
        <v>0</v>
      </c>
      <c r="G8" s="236">
        <f t="shared" ref="G8:G10" si="0">E8*F8</f>
        <v>0</v>
      </c>
      <c r="H8" s="223">
        <f>F8*$J$46</f>
        <v>0</v>
      </c>
      <c r="I8" s="251">
        <f t="shared" ref="I8:I37" si="1">E8*H8</f>
        <v>0</v>
      </c>
      <c r="J8" s="223">
        <f t="shared" ref="J8:J10" si="2">I8*1.16</f>
        <v>0</v>
      </c>
      <c r="L8" s="223">
        <v>0</v>
      </c>
      <c r="M8" s="223">
        <v>0</v>
      </c>
      <c r="N8" s="223">
        <f>H8</f>
        <v>0</v>
      </c>
      <c r="O8" s="223">
        <v>0</v>
      </c>
      <c r="P8" s="223">
        <v>0</v>
      </c>
      <c r="Q8" s="223">
        <v>0</v>
      </c>
      <c r="R8" s="223">
        <f>L8</f>
        <v>0</v>
      </c>
      <c r="S8" s="223">
        <v>0</v>
      </c>
      <c r="T8" s="223">
        <v>0</v>
      </c>
      <c r="U8" s="223">
        <v>0</v>
      </c>
      <c r="V8" s="223">
        <v>0</v>
      </c>
      <c r="W8" s="223">
        <v>0</v>
      </c>
      <c r="X8" s="223">
        <v>0</v>
      </c>
      <c r="Y8" s="223">
        <v>0</v>
      </c>
    </row>
    <row r="9" spans="1:25" ht="20" customHeight="1" x14ac:dyDescent="0.35">
      <c r="A9" s="13"/>
      <c r="B9" s="231" t="s">
        <v>99</v>
      </c>
      <c r="C9" s="231"/>
      <c r="D9" s="232"/>
      <c r="E9" s="222">
        <v>0</v>
      </c>
      <c r="F9" s="223">
        <v>0</v>
      </c>
      <c r="G9" s="236">
        <f t="shared" si="0"/>
        <v>0</v>
      </c>
      <c r="H9" s="223">
        <f>F9*$J$46</f>
        <v>0</v>
      </c>
      <c r="I9" s="251">
        <f t="shared" si="1"/>
        <v>0</v>
      </c>
      <c r="J9" s="223">
        <f t="shared" si="2"/>
        <v>0</v>
      </c>
      <c r="L9" s="223">
        <v>0</v>
      </c>
      <c r="M9" s="223">
        <v>0</v>
      </c>
      <c r="N9" s="223">
        <v>0</v>
      </c>
      <c r="O9" s="223">
        <f>H9</f>
        <v>0</v>
      </c>
      <c r="P9" s="223">
        <v>0</v>
      </c>
      <c r="Q9" s="223">
        <v>0</v>
      </c>
      <c r="R9" s="223">
        <v>0</v>
      </c>
      <c r="S9" s="223">
        <f>L9</f>
        <v>0</v>
      </c>
      <c r="T9" s="223">
        <v>0</v>
      </c>
      <c r="U9" s="223">
        <v>0</v>
      </c>
      <c r="V9" s="223">
        <v>0</v>
      </c>
      <c r="W9" s="223">
        <v>0</v>
      </c>
      <c r="X9" s="223">
        <v>0</v>
      </c>
      <c r="Y9" s="223">
        <v>0</v>
      </c>
    </row>
    <row r="10" spans="1:25" ht="20" customHeight="1" thickBot="1" x14ac:dyDescent="0.4">
      <c r="A10" s="13"/>
      <c r="B10" s="231" t="s">
        <v>99</v>
      </c>
      <c r="C10" s="231"/>
      <c r="D10" s="231"/>
      <c r="E10" s="222">
        <v>0</v>
      </c>
      <c r="F10" s="223">
        <v>0</v>
      </c>
      <c r="G10" s="236">
        <f t="shared" si="0"/>
        <v>0</v>
      </c>
      <c r="H10" s="223">
        <f>F10*$J$46</f>
        <v>0</v>
      </c>
      <c r="I10" s="251">
        <f t="shared" si="1"/>
        <v>0</v>
      </c>
      <c r="J10" s="223">
        <f t="shared" si="2"/>
        <v>0</v>
      </c>
      <c r="L10" s="223">
        <v>0</v>
      </c>
      <c r="M10" s="223">
        <v>0</v>
      </c>
      <c r="N10" s="223">
        <v>0</v>
      </c>
      <c r="O10" s="223">
        <v>0</v>
      </c>
      <c r="P10" s="223">
        <f>H10</f>
        <v>0</v>
      </c>
      <c r="Q10" s="223">
        <v>0</v>
      </c>
      <c r="R10" s="223">
        <v>0</v>
      </c>
      <c r="S10" s="223">
        <v>0</v>
      </c>
      <c r="T10" s="223">
        <f>L10</f>
        <v>0</v>
      </c>
      <c r="U10" s="223">
        <v>0</v>
      </c>
      <c r="V10" s="223">
        <v>0</v>
      </c>
      <c r="W10" s="223">
        <v>0</v>
      </c>
      <c r="X10" s="223">
        <v>0</v>
      </c>
      <c r="Y10" s="223">
        <v>0</v>
      </c>
    </row>
    <row r="11" spans="1:25" ht="20" customHeight="1" thickBot="1" x14ac:dyDescent="0.4">
      <c r="A11" s="13"/>
      <c r="L11" s="233">
        <f>SUM(L7:L10)</f>
        <v>0</v>
      </c>
      <c r="M11" s="234">
        <f t="shared" ref="M11:Y11" si="3">SUM(M7:M10)</f>
        <v>0</v>
      </c>
      <c r="N11" s="234">
        <f t="shared" si="3"/>
        <v>31800</v>
      </c>
      <c r="O11" s="234">
        <f t="shared" si="3"/>
        <v>0</v>
      </c>
      <c r="P11" s="234">
        <f t="shared" si="3"/>
        <v>0</v>
      </c>
      <c r="Q11" s="234">
        <f t="shared" si="3"/>
        <v>0</v>
      </c>
      <c r="R11" s="234">
        <f t="shared" si="3"/>
        <v>0</v>
      </c>
      <c r="S11" s="234">
        <f t="shared" si="3"/>
        <v>0</v>
      </c>
      <c r="T11" s="234">
        <f t="shared" si="3"/>
        <v>0</v>
      </c>
      <c r="U11" s="234">
        <f t="shared" si="3"/>
        <v>0</v>
      </c>
      <c r="V11" s="234">
        <f t="shared" si="3"/>
        <v>0</v>
      </c>
      <c r="W11" s="234">
        <f t="shared" si="3"/>
        <v>0</v>
      </c>
      <c r="X11" s="234">
        <f t="shared" si="3"/>
        <v>0</v>
      </c>
      <c r="Y11" s="235">
        <f t="shared" si="3"/>
        <v>0</v>
      </c>
    </row>
    <row r="12" spans="1:25" ht="20" customHeight="1" x14ac:dyDescent="0.35">
      <c r="A12" s="13"/>
    </row>
    <row r="13" spans="1:25" ht="20" customHeight="1" x14ac:dyDescent="0.35">
      <c r="A13" s="13"/>
      <c r="B13" s="231" t="s">
        <v>100</v>
      </c>
      <c r="C13" s="231"/>
      <c r="D13" s="231"/>
      <c r="E13" s="222">
        <v>1</v>
      </c>
      <c r="F13" s="223">
        <v>0</v>
      </c>
      <c r="G13" s="236">
        <f>E13*F13</f>
        <v>0</v>
      </c>
      <c r="H13" s="223">
        <f>F13*$J$46</f>
        <v>0</v>
      </c>
      <c r="I13" s="251">
        <f t="shared" si="1"/>
        <v>0</v>
      </c>
      <c r="J13" s="223">
        <f>I13*1.16</f>
        <v>0</v>
      </c>
      <c r="L13" s="223">
        <v>0</v>
      </c>
      <c r="M13" s="223">
        <f>G13</f>
        <v>0</v>
      </c>
      <c r="N13" s="223">
        <v>0</v>
      </c>
      <c r="O13" s="223">
        <v>0</v>
      </c>
      <c r="P13" s="223">
        <v>0</v>
      </c>
      <c r="Q13" s="223">
        <f>K13</f>
        <v>0</v>
      </c>
      <c r="R13" s="223">
        <v>0</v>
      </c>
      <c r="S13" s="223">
        <v>0</v>
      </c>
      <c r="T13" s="223">
        <v>0</v>
      </c>
      <c r="U13" s="223">
        <v>0</v>
      </c>
      <c r="V13" s="223">
        <v>0</v>
      </c>
      <c r="W13" s="223">
        <v>0</v>
      </c>
      <c r="X13" s="223">
        <v>0</v>
      </c>
      <c r="Y13" s="223">
        <v>0</v>
      </c>
    </row>
    <row r="14" spans="1:25" ht="20" customHeight="1" x14ac:dyDescent="0.35">
      <c r="A14" s="13"/>
      <c r="B14" s="231" t="s">
        <v>100</v>
      </c>
      <c r="C14" s="231"/>
      <c r="D14" s="231"/>
      <c r="E14" s="222">
        <v>2</v>
      </c>
      <c r="F14" s="223">
        <v>0</v>
      </c>
      <c r="G14" s="236">
        <f t="shared" ref="G14:G16" si="4">E14*F14</f>
        <v>0</v>
      </c>
      <c r="H14" s="223">
        <f>F14*$J$46</f>
        <v>0</v>
      </c>
      <c r="I14" s="251">
        <f t="shared" si="1"/>
        <v>0</v>
      </c>
      <c r="J14" s="223">
        <f>I14*1.16</f>
        <v>0</v>
      </c>
      <c r="L14" s="223">
        <v>0</v>
      </c>
      <c r="M14" s="223">
        <v>0</v>
      </c>
      <c r="N14" s="223">
        <f>H14</f>
        <v>0</v>
      </c>
      <c r="O14" s="223">
        <v>0</v>
      </c>
      <c r="P14" s="223">
        <v>0</v>
      </c>
      <c r="Q14" s="223">
        <v>0</v>
      </c>
      <c r="R14" s="223">
        <f>L14</f>
        <v>0</v>
      </c>
      <c r="S14" s="223">
        <v>0</v>
      </c>
      <c r="T14" s="223">
        <v>0</v>
      </c>
      <c r="U14" s="223">
        <v>0</v>
      </c>
      <c r="V14" s="223">
        <v>0</v>
      </c>
      <c r="W14" s="223">
        <v>0</v>
      </c>
      <c r="X14" s="223">
        <v>0</v>
      </c>
      <c r="Y14" s="223">
        <v>0</v>
      </c>
    </row>
    <row r="15" spans="1:25" ht="20" customHeight="1" x14ac:dyDescent="0.35">
      <c r="A15" s="13"/>
      <c r="B15" s="231" t="s">
        <v>100</v>
      </c>
      <c r="C15" s="231"/>
      <c r="D15" s="231"/>
      <c r="E15" s="222">
        <v>3</v>
      </c>
      <c r="F15" s="223">
        <v>0</v>
      </c>
      <c r="G15" s="236">
        <f t="shared" si="4"/>
        <v>0</v>
      </c>
      <c r="H15" s="223">
        <f>F15*$J$46</f>
        <v>0</v>
      </c>
      <c r="I15" s="251">
        <f t="shared" si="1"/>
        <v>0</v>
      </c>
      <c r="J15" s="223">
        <f>I15*1.16</f>
        <v>0</v>
      </c>
      <c r="L15" s="223">
        <v>0</v>
      </c>
      <c r="M15" s="223">
        <v>0</v>
      </c>
      <c r="N15" s="223">
        <v>0</v>
      </c>
      <c r="O15" s="223">
        <f>H15</f>
        <v>0</v>
      </c>
      <c r="P15" s="223">
        <v>0</v>
      </c>
      <c r="Q15" s="223">
        <v>0</v>
      </c>
      <c r="R15" s="223">
        <v>0</v>
      </c>
      <c r="S15" s="223">
        <f>L15</f>
        <v>0</v>
      </c>
      <c r="T15" s="223">
        <v>0</v>
      </c>
      <c r="U15" s="223">
        <v>0</v>
      </c>
      <c r="V15" s="223">
        <v>0</v>
      </c>
      <c r="W15" s="223">
        <v>0</v>
      </c>
      <c r="X15" s="223">
        <v>0</v>
      </c>
      <c r="Y15" s="223">
        <v>0</v>
      </c>
    </row>
    <row r="16" spans="1:25" ht="20" customHeight="1" thickBot="1" x14ac:dyDescent="0.4">
      <c r="A16" s="13"/>
      <c r="B16" s="231" t="s">
        <v>100</v>
      </c>
      <c r="C16" s="231"/>
      <c r="D16" s="231"/>
      <c r="E16" s="222">
        <v>4</v>
      </c>
      <c r="F16" s="223">
        <v>0</v>
      </c>
      <c r="G16" s="236">
        <f t="shared" si="4"/>
        <v>0</v>
      </c>
      <c r="H16" s="223">
        <f>F16*$J$46</f>
        <v>0</v>
      </c>
      <c r="I16" s="251">
        <f t="shared" si="1"/>
        <v>0</v>
      </c>
      <c r="J16" s="223">
        <f>I16*1.16</f>
        <v>0</v>
      </c>
      <c r="L16" s="223">
        <v>0</v>
      </c>
      <c r="M16" s="223">
        <v>0</v>
      </c>
      <c r="N16" s="223">
        <v>0</v>
      </c>
      <c r="O16" s="223">
        <v>0</v>
      </c>
      <c r="P16" s="223">
        <f>H16</f>
        <v>0</v>
      </c>
      <c r="Q16" s="223">
        <v>0</v>
      </c>
      <c r="R16" s="223">
        <v>0</v>
      </c>
      <c r="S16" s="223">
        <v>0</v>
      </c>
      <c r="T16" s="223">
        <f>L16</f>
        <v>0</v>
      </c>
      <c r="U16" s="223">
        <v>0</v>
      </c>
      <c r="V16" s="223">
        <v>0</v>
      </c>
      <c r="W16" s="223">
        <v>0</v>
      </c>
      <c r="X16" s="223">
        <v>0</v>
      </c>
      <c r="Y16" s="223">
        <v>0</v>
      </c>
    </row>
    <row r="17" spans="1:25" ht="20" customHeight="1" thickBot="1" x14ac:dyDescent="0.4">
      <c r="A17" s="13"/>
      <c r="L17" s="233">
        <f>SUM(L13:L16)</f>
        <v>0</v>
      </c>
      <c r="M17" s="234">
        <f t="shared" ref="M17:Y17" si="5">SUM(M13:M16)</f>
        <v>0</v>
      </c>
      <c r="N17" s="234">
        <f t="shared" si="5"/>
        <v>0</v>
      </c>
      <c r="O17" s="234">
        <f t="shared" si="5"/>
        <v>0</v>
      </c>
      <c r="P17" s="234">
        <f t="shared" si="5"/>
        <v>0</v>
      </c>
      <c r="Q17" s="234">
        <f t="shared" si="5"/>
        <v>0</v>
      </c>
      <c r="R17" s="234">
        <f t="shared" si="5"/>
        <v>0</v>
      </c>
      <c r="S17" s="234">
        <f t="shared" si="5"/>
        <v>0</v>
      </c>
      <c r="T17" s="234">
        <f t="shared" si="5"/>
        <v>0</v>
      </c>
      <c r="U17" s="234">
        <f t="shared" si="5"/>
        <v>0</v>
      </c>
      <c r="V17" s="234">
        <f t="shared" si="5"/>
        <v>0</v>
      </c>
      <c r="W17" s="234">
        <f t="shared" si="5"/>
        <v>0</v>
      </c>
      <c r="X17" s="234">
        <f t="shared" si="5"/>
        <v>0</v>
      </c>
      <c r="Y17" s="235">
        <f t="shared" si="5"/>
        <v>0</v>
      </c>
    </row>
    <row r="18" spans="1:25" ht="20" customHeight="1" x14ac:dyDescent="0.35">
      <c r="A18" s="13"/>
    </row>
    <row r="19" spans="1:25" ht="20" customHeight="1" x14ac:dyDescent="0.35">
      <c r="A19" s="13"/>
      <c r="B19" s="231" t="s">
        <v>346</v>
      </c>
      <c r="C19" s="231"/>
      <c r="D19" s="231"/>
      <c r="E19" s="222">
        <v>1</v>
      </c>
      <c r="F19" s="223">
        <v>0</v>
      </c>
      <c r="G19" s="236">
        <f>E19*F19</f>
        <v>0</v>
      </c>
      <c r="H19" s="223">
        <f t="shared" ref="H19:H25" si="6">F19*$J$46</f>
        <v>0</v>
      </c>
      <c r="I19" s="251">
        <f t="shared" si="1"/>
        <v>0</v>
      </c>
      <c r="J19" s="223">
        <f>I19*1.16</f>
        <v>0</v>
      </c>
      <c r="L19" s="223">
        <v>0</v>
      </c>
      <c r="M19" s="223">
        <f>G19</f>
        <v>0</v>
      </c>
      <c r="N19" s="223">
        <v>0</v>
      </c>
      <c r="O19" s="223">
        <v>0</v>
      </c>
      <c r="P19" s="223">
        <v>0</v>
      </c>
      <c r="Q19" s="223">
        <v>0</v>
      </c>
      <c r="R19" s="223">
        <v>0</v>
      </c>
      <c r="S19" s="223">
        <v>0</v>
      </c>
      <c r="T19" s="223">
        <v>0</v>
      </c>
      <c r="U19" s="223">
        <v>0</v>
      </c>
      <c r="V19" s="223">
        <v>0</v>
      </c>
      <c r="W19" s="223">
        <v>0</v>
      </c>
      <c r="X19" s="223">
        <v>0</v>
      </c>
      <c r="Y19" s="223">
        <v>0</v>
      </c>
    </row>
    <row r="20" spans="1:25" ht="20" customHeight="1" x14ac:dyDescent="0.35">
      <c r="A20" s="13"/>
      <c r="B20" s="231" t="s">
        <v>347</v>
      </c>
      <c r="C20" s="231"/>
      <c r="D20" s="231"/>
      <c r="E20" s="222">
        <v>2</v>
      </c>
      <c r="F20" s="223">
        <v>0</v>
      </c>
      <c r="G20" s="236">
        <f t="shared" ref="G20:G25" si="7">E20*F20</f>
        <v>0</v>
      </c>
      <c r="H20" s="223">
        <f t="shared" si="6"/>
        <v>0</v>
      </c>
      <c r="I20" s="251">
        <f t="shared" si="1"/>
        <v>0</v>
      </c>
      <c r="J20" s="223">
        <f t="shared" ref="J20:J25" si="8">I20*1.16</f>
        <v>0</v>
      </c>
      <c r="L20" s="223">
        <v>0</v>
      </c>
      <c r="M20" s="223">
        <v>0</v>
      </c>
      <c r="N20" s="223">
        <f>H20</f>
        <v>0</v>
      </c>
      <c r="O20" s="223">
        <v>0</v>
      </c>
      <c r="P20" s="223">
        <v>0</v>
      </c>
      <c r="Q20" s="223">
        <v>0</v>
      </c>
      <c r="R20" s="223">
        <v>0</v>
      </c>
      <c r="S20" s="223">
        <v>0</v>
      </c>
      <c r="T20" s="223">
        <v>0</v>
      </c>
      <c r="U20" s="223">
        <v>0</v>
      </c>
      <c r="V20" s="223">
        <v>0</v>
      </c>
      <c r="W20" s="223">
        <v>0</v>
      </c>
      <c r="X20" s="223">
        <v>0</v>
      </c>
      <c r="Y20" s="223">
        <v>0</v>
      </c>
    </row>
    <row r="21" spans="1:25" ht="20" customHeight="1" x14ac:dyDescent="0.35">
      <c r="A21" s="13"/>
      <c r="B21" s="231" t="s">
        <v>348</v>
      </c>
      <c r="C21" s="231"/>
      <c r="D21" s="231"/>
      <c r="E21" s="222">
        <v>3</v>
      </c>
      <c r="F21" s="223">
        <v>0</v>
      </c>
      <c r="G21" s="236">
        <f t="shared" si="7"/>
        <v>0</v>
      </c>
      <c r="H21" s="223">
        <f t="shared" si="6"/>
        <v>0</v>
      </c>
      <c r="I21" s="251">
        <f t="shared" si="1"/>
        <v>0</v>
      </c>
      <c r="J21" s="223">
        <f t="shared" si="8"/>
        <v>0</v>
      </c>
      <c r="L21" s="223">
        <v>0</v>
      </c>
      <c r="M21" s="223">
        <v>0</v>
      </c>
      <c r="N21" s="223">
        <v>0</v>
      </c>
      <c r="O21" s="223">
        <f>H21</f>
        <v>0</v>
      </c>
      <c r="P21" s="223">
        <v>0</v>
      </c>
      <c r="Q21" s="223">
        <v>0</v>
      </c>
      <c r="R21" s="223">
        <v>0</v>
      </c>
      <c r="S21" s="223">
        <v>0</v>
      </c>
      <c r="T21" s="223">
        <v>0</v>
      </c>
      <c r="U21" s="223">
        <v>0</v>
      </c>
      <c r="V21" s="223">
        <v>0</v>
      </c>
      <c r="W21" s="223">
        <v>0</v>
      </c>
      <c r="X21" s="223">
        <v>0</v>
      </c>
      <c r="Y21" s="223">
        <v>0</v>
      </c>
    </row>
    <row r="22" spans="1:25" ht="20" customHeight="1" x14ac:dyDescent="0.35">
      <c r="A22" s="13"/>
      <c r="B22" s="231" t="s">
        <v>349</v>
      </c>
      <c r="C22" s="231"/>
      <c r="D22" s="231"/>
      <c r="E22" s="222">
        <v>4</v>
      </c>
      <c r="F22" s="223">
        <v>0</v>
      </c>
      <c r="G22" s="236">
        <f t="shared" si="7"/>
        <v>0</v>
      </c>
      <c r="H22" s="223">
        <f t="shared" si="6"/>
        <v>0</v>
      </c>
      <c r="I22" s="251">
        <f t="shared" si="1"/>
        <v>0</v>
      </c>
      <c r="J22" s="223">
        <f t="shared" si="8"/>
        <v>0</v>
      </c>
      <c r="L22" s="223">
        <v>0</v>
      </c>
      <c r="M22" s="223">
        <v>0</v>
      </c>
      <c r="N22" s="223">
        <v>0</v>
      </c>
      <c r="O22" s="223">
        <v>0</v>
      </c>
      <c r="P22" s="223">
        <f>H22</f>
        <v>0</v>
      </c>
      <c r="Q22" s="223">
        <v>0</v>
      </c>
      <c r="R22" s="223">
        <v>0</v>
      </c>
      <c r="S22" s="223">
        <v>0</v>
      </c>
      <c r="T22" s="223">
        <v>0</v>
      </c>
      <c r="U22" s="223">
        <v>0</v>
      </c>
      <c r="V22" s="223">
        <v>0</v>
      </c>
      <c r="W22" s="223">
        <v>0</v>
      </c>
      <c r="X22" s="223">
        <v>0</v>
      </c>
      <c r="Y22" s="223">
        <v>0</v>
      </c>
    </row>
    <row r="23" spans="1:25" ht="20" customHeight="1" x14ac:dyDescent="0.35">
      <c r="A23" s="13"/>
      <c r="B23" s="231" t="s">
        <v>350</v>
      </c>
      <c r="C23" s="231"/>
      <c r="D23" s="231"/>
      <c r="E23" s="222">
        <v>5</v>
      </c>
      <c r="F23" s="223">
        <v>0</v>
      </c>
      <c r="G23" s="236">
        <f t="shared" si="7"/>
        <v>0</v>
      </c>
      <c r="H23" s="223">
        <f t="shared" si="6"/>
        <v>0</v>
      </c>
      <c r="I23" s="251">
        <f t="shared" si="1"/>
        <v>0</v>
      </c>
      <c r="J23" s="223">
        <f t="shared" si="8"/>
        <v>0</v>
      </c>
      <c r="L23" s="223">
        <v>0</v>
      </c>
      <c r="M23" s="223">
        <v>0</v>
      </c>
      <c r="N23" s="223">
        <v>0</v>
      </c>
      <c r="O23" s="223">
        <v>0</v>
      </c>
      <c r="P23" s="223">
        <v>0</v>
      </c>
      <c r="Q23" s="223">
        <f>H23</f>
        <v>0</v>
      </c>
      <c r="R23" s="223">
        <v>0</v>
      </c>
      <c r="S23" s="223">
        <v>0</v>
      </c>
      <c r="T23" s="223">
        <v>0</v>
      </c>
      <c r="U23" s="223">
        <v>0</v>
      </c>
      <c r="V23" s="223">
        <v>0</v>
      </c>
      <c r="W23" s="223">
        <v>0</v>
      </c>
      <c r="X23" s="223">
        <v>0</v>
      </c>
      <c r="Y23" s="223">
        <v>0</v>
      </c>
    </row>
    <row r="24" spans="1:25" ht="20" customHeight="1" x14ac:dyDescent="0.35">
      <c r="A24" s="13"/>
      <c r="B24" s="231" t="s">
        <v>351</v>
      </c>
      <c r="C24" s="231"/>
      <c r="D24" s="231"/>
      <c r="E24" s="222">
        <v>6</v>
      </c>
      <c r="F24" s="223">
        <v>0</v>
      </c>
      <c r="G24" s="236">
        <f t="shared" si="7"/>
        <v>0</v>
      </c>
      <c r="H24" s="223">
        <f t="shared" si="6"/>
        <v>0</v>
      </c>
      <c r="I24" s="251">
        <f t="shared" si="1"/>
        <v>0</v>
      </c>
      <c r="J24" s="223">
        <f t="shared" si="8"/>
        <v>0</v>
      </c>
      <c r="L24" s="223">
        <v>0</v>
      </c>
      <c r="M24" s="223">
        <v>0</v>
      </c>
      <c r="N24" s="223">
        <v>0</v>
      </c>
      <c r="O24" s="223">
        <v>0</v>
      </c>
      <c r="P24" s="223">
        <v>0</v>
      </c>
      <c r="Q24" s="223">
        <v>0</v>
      </c>
      <c r="R24" s="223">
        <f>H24</f>
        <v>0</v>
      </c>
      <c r="S24" s="223">
        <v>0</v>
      </c>
      <c r="T24" s="223">
        <v>0</v>
      </c>
      <c r="U24" s="223">
        <v>0</v>
      </c>
      <c r="V24" s="223">
        <v>0</v>
      </c>
      <c r="W24" s="223">
        <v>0</v>
      </c>
      <c r="X24" s="223">
        <v>0</v>
      </c>
      <c r="Y24" s="223">
        <v>0</v>
      </c>
    </row>
    <row r="25" spans="1:25" ht="20" customHeight="1" thickBot="1" x14ac:dyDescent="0.4">
      <c r="A25" s="13"/>
      <c r="B25" s="231" t="s">
        <v>352</v>
      </c>
      <c r="C25" s="231"/>
      <c r="D25" s="231"/>
      <c r="E25" s="222">
        <v>7</v>
      </c>
      <c r="F25" s="223">
        <v>0</v>
      </c>
      <c r="G25" s="236">
        <f t="shared" si="7"/>
        <v>0</v>
      </c>
      <c r="H25" s="223">
        <f t="shared" si="6"/>
        <v>0</v>
      </c>
      <c r="I25" s="251">
        <f t="shared" si="1"/>
        <v>0</v>
      </c>
      <c r="J25" s="223">
        <f t="shared" si="8"/>
        <v>0</v>
      </c>
      <c r="L25" s="223">
        <v>0</v>
      </c>
      <c r="M25" s="223">
        <v>0</v>
      </c>
      <c r="N25" s="223">
        <v>0</v>
      </c>
      <c r="O25" s="223">
        <v>0</v>
      </c>
      <c r="P25" s="223">
        <v>0</v>
      </c>
      <c r="Q25" s="223">
        <v>0</v>
      </c>
      <c r="R25" s="223">
        <v>0</v>
      </c>
      <c r="S25" s="223">
        <f>H25</f>
        <v>0</v>
      </c>
      <c r="T25" s="223">
        <v>0</v>
      </c>
      <c r="U25" s="223">
        <v>0</v>
      </c>
      <c r="V25" s="223">
        <v>0</v>
      </c>
      <c r="W25" s="223">
        <v>0</v>
      </c>
      <c r="X25" s="223">
        <v>0</v>
      </c>
      <c r="Y25" s="223">
        <v>0</v>
      </c>
    </row>
    <row r="26" spans="1:25" ht="20" customHeight="1" thickBot="1" x14ac:dyDescent="0.4">
      <c r="A26" s="13"/>
      <c r="D26" s="6"/>
      <c r="E26" s="6"/>
      <c r="F26" s="6"/>
      <c r="G26" s="6"/>
      <c r="I26" s="252"/>
      <c r="L26" s="233">
        <f t="shared" ref="L26:Y26" si="9">SUM(L19:L25)</f>
        <v>0</v>
      </c>
      <c r="M26" s="234">
        <f t="shared" si="9"/>
        <v>0</v>
      </c>
      <c r="N26" s="234">
        <f t="shared" si="9"/>
        <v>0</v>
      </c>
      <c r="O26" s="234">
        <f t="shared" si="9"/>
        <v>0</v>
      </c>
      <c r="P26" s="234">
        <f t="shared" si="9"/>
        <v>0</v>
      </c>
      <c r="Q26" s="234">
        <f t="shared" si="9"/>
        <v>0</v>
      </c>
      <c r="R26" s="234">
        <f t="shared" si="9"/>
        <v>0</v>
      </c>
      <c r="S26" s="234">
        <f t="shared" si="9"/>
        <v>0</v>
      </c>
      <c r="T26" s="234">
        <f t="shared" si="9"/>
        <v>0</v>
      </c>
      <c r="U26" s="234">
        <f t="shared" si="9"/>
        <v>0</v>
      </c>
      <c r="V26" s="234">
        <f t="shared" si="9"/>
        <v>0</v>
      </c>
      <c r="W26" s="234">
        <f t="shared" si="9"/>
        <v>0</v>
      </c>
      <c r="X26" s="234">
        <f t="shared" si="9"/>
        <v>0</v>
      </c>
      <c r="Y26" s="235">
        <f t="shared" si="9"/>
        <v>0</v>
      </c>
    </row>
    <row r="27" spans="1:25" ht="20" customHeight="1" x14ac:dyDescent="0.35">
      <c r="A27" s="13"/>
    </row>
    <row r="28" spans="1:25" ht="20" customHeight="1" x14ac:dyDescent="0.35">
      <c r="A28" s="13"/>
      <c r="B28" s="231" t="s">
        <v>102</v>
      </c>
      <c r="C28" s="231"/>
      <c r="D28" s="231"/>
      <c r="E28" s="222">
        <v>1</v>
      </c>
      <c r="F28" s="223">
        <v>0</v>
      </c>
      <c r="G28" s="236">
        <f>E28*F28</f>
        <v>0</v>
      </c>
      <c r="H28" s="223">
        <f>F28*$J$46</f>
        <v>0</v>
      </c>
      <c r="I28" s="251">
        <f t="shared" si="1"/>
        <v>0</v>
      </c>
      <c r="J28" s="223">
        <f>I28*1.16</f>
        <v>0</v>
      </c>
      <c r="L28" s="223">
        <v>0</v>
      </c>
      <c r="M28" s="223">
        <f>G28</f>
        <v>0</v>
      </c>
      <c r="N28" s="223">
        <v>0</v>
      </c>
      <c r="O28" s="223">
        <v>0</v>
      </c>
      <c r="P28" s="223">
        <v>0</v>
      </c>
      <c r="Q28" s="223">
        <v>0</v>
      </c>
      <c r="R28" s="223">
        <v>0</v>
      </c>
      <c r="S28" s="223">
        <v>0</v>
      </c>
      <c r="T28" s="223">
        <v>0</v>
      </c>
      <c r="U28" s="223">
        <v>0</v>
      </c>
      <c r="V28" s="223">
        <v>0</v>
      </c>
      <c r="W28" s="223">
        <v>0</v>
      </c>
      <c r="X28" s="223">
        <v>0</v>
      </c>
      <c r="Y28" s="223">
        <v>0</v>
      </c>
    </row>
    <row r="29" spans="1:25" ht="20" customHeight="1" x14ac:dyDescent="0.35">
      <c r="A29" s="13"/>
      <c r="B29" s="231" t="s">
        <v>102</v>
      </c>
      <c r="C29" s="231"/>
      <c r="D29" s="231"/>
      <c r="E29" s="222">
        <v>2</v>
      </c>
      <c r="F29" s="223">
        <v>0</v>
      </c>
      <c r="G29" s="236">
        <f t="shared" ref="G29:G31" si="10">E29*F29</f>
        <v>0</v>
      </c>
      <c r="H29" s="223">
        <f>F29*$J$46</f>
        <v>0</v>
      </c>
      <c r="I29" s="251">
        <f t="shared" si="1"/>
        <v>0</v>
      </c>
      <c r="J29" s="223">
        <f t="shared" ref="J29:J31" si="11">I29*1.16</f>
        <v>0</v>
      </c>
      <c r="L29" s="223">
        <v>0</v>
      </c>
      <c r="M29" s="223">
        <v>0</v>
      </c>
      <c r="N29" s="223">
        <f>H29</f>
        <v>0</v>
      </c>
      <c r="O29" s="223">
        <v>0</v>
      </c>
      <c r="P29" s="223">
        <v>0</v>
      </c>
      <c r="Q29" s="223">
        <v>0</v>
      </c>
      <c r="R29" s="223">
        <v>0</v>
      </c>
      <c r="S29" s="223">
        <v>0</v>
      </c>
      <c r="T29" s="223">
        <v>0</v>
      </c>
      <c r="U29" s="223">
        <v>0</v>
      </c>
      <c r="V29" s="223">
        <v>0</v>
      </c>
      <c r="W29" s="223">
        <v>0</v>
      </c>
      <c r="X29" s="223">
        <v>0</v>
      </c>
      <c r="Y29" s="223">
        <v>0</v>
      </c>
    </row>
    <row r="30" spans="1:25" ht="20" customHeight="1" x14ac:dyDescent="0.35">
      <c r="A30" s="13"/>
      <c r="B30" s="231" t="s">
        <v>102</v>
      </c>
      <c r="C30" s="231"/>
      <c r="D30" s="231"/>
      <c r="E30" s="222">
        <v>3</v>
      </c>
      <c r="F30" s="223">
        <v>0</v>
      </c>
      <c r="G30" s="236">
        <f>E30*F30</f>
        <v>0</v>
      </c>
      <c r="H30" s="223">
        <f>F30*$J$46</f>
        <v>0</v>
      </c>
      <c r="I30" s="251">
        <f t="shared" si="1"/>
        <v>0</v>
      </c>
      <c r="J30" s="223">
        <f t="shared" si="11"/>
        <v>0</v>
      </c>
      <c r="L30" s="223">
        <v>0</v>
      </c>
      <c r="M30" s="223">
        <v>0</v>
      </c>
      <c r="N30" s="223">
        <v>0</v>
      </c>
      <c r="O30" s="223">
        <f>H30</f>
        <v>0</v>
      </c>
      <c r="P30" s="223">
        <v>0</v>
      </c>
      <c r="Q30" s="223">
        <v>0</v>
      </c>
      <c r="R30" s="223">
        <v>0</v>
      </c>
      <c r="S30" s="223">
        <v>0</v>
      </c>
      <c r="T30" s="223">
        <v>0</v>
      </c>
      <c r="U30" s="223">
        <v>0</v>
      </c>
      <c r="V30" s="223">
        <v>0</v>
      </c>
      <c r="W30" s="223">
        <v>0</v>
      </c>
      <c r="X30" s="223">
        <v>0</v>
      </c>
      <c r="Y30" s="223">
        <v>0</v>
      </c>
    </row>
    <row r="31" spans="1:25" ht="20" customHeight="1" thickBot="1" x14ac:dyDescent="0.4">
      <c r="A31" s="13"/>
      <c r="B31" s="231" t="s">
        <v>102</v>
      </c>
      <c r="C31" s="231"/>
      <c r="D31" s="231"/>
      <c r="E31" s="222">
        <v>4</v>
      </c>
      <c r="F31" s="223">
        <v>0</v>
      </c>
      <c r="G31" s="236">
        <f t="shared" si="10"/>
        <v>0</v>
      </c>
      <c r="H31" s="223">
        <f>F31*$J$46</f>
        <v>0</v>
      </c>
      <c r="I31" s="251">
        <f t="shared" si="1"/>
        <v>0</v>
      </c>
      <c r="J31" s="223">
        <f t="shared" si="11"/>
        <v>0</v>
      </c>
      <c r="L31" s="223">
        <v>0</v>
      </c>
      <c r="M31" s="223">
        <v>0</v>
      </c>
      <c r="N31" s="223">
        <v>0</v>
      </c>
      <c r="O31" s="223">
        <v>0</v>
      </c>
      <c r="P31" s="223">
        <f>H31</f>
        <v>0</v>
      </c>
      <c r="Q31" s="223">
        <v>0</v>
      </c>
      <c r="R31" s="223">
        <v>0</v>
      </c>
      <c r="S31" s="223">
        <v>0</v>
      </c>
      <c r="T31" s="223">
        <v>0</v>
      </c>
      <c r="U31" s="223">
        <v>0</v>
      </c>
      <c r="V31" s="223">
        <v>0</v>
      </c>
      <c r="W31" s="223">
        <v>0</v>
      </c>
      <c r="X31" s="223">
        <v>0</v>
      </c>
      <c r="Y31" s="223">
        <v>0</v>
      </c>
    </row>
    <row r="32" spans="1:25" ht="20" customHeight="1" thickBot="1" x14ac:dyDescent="0.4">
      <c r="A32" s="13"/>
      <c r="L32" s="233">
        <f>SUM(L28:L31)</f>
        <v>0</v>
      </c>
      <c r="M32" s="234">
        <f t="shared" ref="M32:Y32" si="12">SUM(M28:M31)</f>
        <v>0</v>
      </c>
      <c r="N32" s="234">
        <f t="shared" si="12"/>
        <v>0</v>
      </c>
      <c r="O32" s="234">
        <f t="shared" si="12"/>
        <v>0</v>
      </c>
      <c r="P32" s="234">
        <f t="shared" si="12"/>
        <v>0</v>
      </c>
      <c r="Q32" s="234">
        <f t="shared" si="12"/>
        <v>0</v>
      </c>
      <c r="R32" s="234">
        <f t="shared" si="12"/>
        <v>0</v>
      </c>
      <c r="S32" s="234">
        <f t="shared" si="12"/>
        <v>0</v>
      </c>
      <c r="T32" s="234">
        <f t="shared" si="12"/>
        <v>0</v>
      </c>
      <c r="U32" s="234">
        <f t="shared" si="12"/>
        <v>0</v>
      </c>
      <c r="V32" s="234">
        <f t="shared" si="12"/>
        <v>0</v>
      </c>
      <c r="W32" s="234">
        <f t="shared" si="12"/>
        <v>0</v>
      </c>
      <c r="X32" s="234">
        <f t="shared" si="12"/>
        <v>0</v>
      </c>
      <c r="Y32" s="235">
        <f t="shared" si="12"/>
        <v>0</v>
      </c>
    </row>
    <row r="33" spans="1:25" ht="20" customHeight="1" x14ac:dyDescent="0.35">
      <c r="A33" s="13"/>
    </row>
    <row r="34" spans="1:25" ht="20" customHeight="1" x14ac:dyDescent="0.35">
      <c r="A34" s="13"/>
      <c r="B34" s="231" t="s">
        <v>103</v>
      </c>
      <c r="C34" s="231"/>
      <c r="D34" s="231"/>
      <c r="E34" s="222">
        <v>1</v>
      </c>
      <c r="F34" s="223">
        <v>0</v>
      </c>
      <c r="G34" s="236">
        <f>E34*F34</f>
        <v>0</v>
      </c>
      <c r="H34" s="223">
        <f>F34*$J$46</f>
        <v>0</v>
      </c>
      <c r="I34" s="251">
        <f t="shared" si="1"/>
        <v>0</v>
      </c>
      <c r="J34" s="223">
        <f>I34*1.16</f>
        <v>0</v>
      </c>
      <c r="L34" s="223">
        <v>0</v>
      </c>
      <c r="M34" s="223">
        <f>G34</f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</row>
    <row r="35" spans="1:25" ht="20" customHeight="1" x14ac:dyDescent="0.35">
      <c r="A35" s="13"/>
      <c r="B35" s="231" t="s">
        <v>103</v>
      </c>
      <c r="C35" s="231"/>
      <c r="D35" s="231"/>
      <c r="E35" s="222">
        <v>2</v>
      </c>
      <c r="F35" s="223">
        <v>0</v>
      </c>
      <c r="G35" s="236">
        <f t="shared" ref="G35:G37" si="13">E35*F35</f>
        <v>0</v>
      </c>
      <c r="H35" s="223">
        <f>F35*$J$46</f>
        <v>0</v>
      </c>
      <c r="I35" s="251">
        <f t="shared" si="1"/>
        <v>0</v>
      </c>
      <c r="J35" s="223">
        <f t="shared" ref="J35:J37" si="14">I35*1.16</f>
        <v>0</v>
      </c>
      <c r="L35" s="223">
        <v>0</v>
      </c>
      <c r="M35" s="223">
        <v>0</v>
      </c>
      <c r="N35" s="223">
        <f>H35</f>
        <v>0</v>
      </c>
      <c r="O35" s="223">
        <v>0</v>
      </c>
      <c r="P35" s="223">
        <v>0</v>
      </c>
      <c r="Q35" s="223">
        <v>0</v>
      </c>
      <c r="R35" s="223">
        <v>0</v>
      </c>
      <c r="S35" s="223">
        <v>0</v>
      </c>
      <c r="T35" s="223">
        <v>0</v>
      </c>
      <c r="U35" s="223">
        <v>0</v>
      </c>
      <c r="V35" s="223">
        <v>0</v>
      </c>
      <c r="W35" s="223">
        <v>0</v>
      </c>
      <c r="X35" s="223">
        <v>0</v>
      </c>
      <c r="Y35" s="223">
        <v>0</v>
      </c>
    </row>
    <row r="36" spans="1:25" ht="20" customHeight="1" x14ac:dyDescent="0.35">
      <c r="A36" s="13"/>
      <c r="B36" s="231" t="s">
        <v>103</v>
      </c>
      <c r="C36" s="231"/>
      <c r="D36" s="231"/>
      <c r="E36" s="222">
        <v>3</v>
      </c>
      <c r="F36" s="223">
        <v>0</v>
      </c>
      <c r="G36" s="236">
        <f t="shared" si="13"/>
        <v>0</v>
      </c>
      <c r="H36" s="223">
        <f>F36*$J$46</f>
        <v>0</v>
      </c>
      <c r="I36" s="251">
        <f t="shared" si="1"/>
        <v>0</v>
      </c>
      <c r="J36" s="223">
        <f t="shared" si="14"/>
        <v>0</v>
      </c>
      <c r="L36" s="223">
        <v>0</v>
      </c>
      <c r="M36" s="223">
        <v>0</v>
      </c>
      <c r="N36" s="223">
        <v>0</v>
      </c>
      <c r="O36" s="223">
        <f>H36</f>
        <v>0</v>
      </c>
      <c r="P36" s="223">
        <v>0</v>
      </c>
      <c r="Q36" s="223">
        <v>0</v>
      </c>
      <c r="R36" s="223">
        <v>0</v>
      </c>
      <c r="S36" s="223">
        <v>0</v>
      </c>
      <c r="T36" s="223">
        <v>0</v>
      </c>
      <c r="U36" s="223">
        <v>0</v>
      </c>
      <c r="V36" s="223">
        <v>0</v>
      </c>
      <c r="W36" s="223">
        <v>0</v>
      </c>
      <c r="X36" s="223">
        <v>0</v>
      </c>
      <c r="Y36" s="223">
        <v>0</v>
      </c>
    </row>
    <row r="37" spans="1:25" ht="20" customHeight="1" thickBot="1" x14ac:dyDescent="0.4">
      <c r="A37" s="13"/>
      <c r="B37" s="231" t="s">
        <v>103</v>
      </c>
      <c r="C37" s="231"/>
      <c r="D37" s="231"/>
      <c r="E37" s="222">
        <v>4</v>
      </c>
      <c r="F37" s="223">
        <v>0</v>
      </c>
      <c r="G37" s="236">
        <f t="shared" si="13"/>
        <v>0</v>
      </c>
      <c r="H37" s="223">
        <f>F37*$J$46</f>
        <v>0</v>
      </c>
      <c r="I37" s="251">
        <f t="shared" si="1"/>
        <v>0</v>
      </c>
      <c r="J37" s="223">
        <f t="shared" si="14"/>
        <v>0</v>
      </c>
      <c r="L37" s="223">
        <v>0</v>
      </c>
      <c r="M37" s="223">
        <v>0</v>
      </c>
      <c r="N37" s="223">
        <v>0</v>
      </c>
      <c r="O37" s="223">
        <v>0</v>
      </c>
      <c r="P37" s="223">
        <f>H37</f>
        <v>0</v>
      </c>
      <c r="Q37" s="223">
        <v>0</v>
      </c>
      <c r="R37" s="223">
        <v>0</v>
      </c>
      <c r="S37" s="223">
        <v>0</v>
      </c>
      <c r="T37" s="223">
        <v>0</v>
      </c>
      <c r="U37" s="223">
        <v>0</v>
      </c>
      <c r="V37" s="223">
        <v>0</v>
      </c>
      <c r="W37" s="223">
        <v>0</v>
      </c>
      <c r="X37" s="223">
        <v>0</v>
      </c>
      <c r="Y37" s="223">
        <v>0</v>
      </c>
    </row>
    <row r="38" spans="1:25" ht="20" customHeight="1" thickBot="1" x14ac:dyDescent="0.4">
      <c r="A38" s="13"/>
      <c r="L38" s="233">
        <f>SUM(L34:L37)</f>
        <v>0</v>
      </c>
      <c r="M38" s="234">
        <f t="shared" ref="M38:Y38" si="15">SUM(M34:M37)</f>
        <v>0</v>
      </c>
      <c r="N38" s="234">
        <f t="shared" si="15"/>
        <v>0</v>
      </c>
      <c r="O38" s="234">
        <f t="shared" si="15"/>
        <v>0</v>
      </c>
      <c r="P38" s="234">
        <f t="shared" si="15"/>
        <v>0</v>
      </c>
      <c r="Q38" s="234">
        <f t="shared" si="15"/>
        <v>0</v>
      </c>
      <c r="R38" s="234">
        <f t="shared" si="15"/>
        <v>0</v>
      </c>
      <c r="S38" s="234">
        <f t="shared" si="15"/>
        <v>0</v>
      </c>
      <c r="T38" s="234">
        <f t="shared" si="15"/>
        <v>0</v>
      </c>
      <c r="U38" s="234">
        <f t="shared" si="15"/>
        <v>0</v>
      </c>
      <c r="V38" s="234">
        <f t="shared" si="15"/>
        <v>0</v>
      </c>
      <c r="W38" s="234">
        <f t="shared" si="15"/>
        <v>0</v>
      </c>
      <c r="X38" s="234">
        <f t="shared" si="15"/>
        <v>0</v>
      </c>
      <c r="Y38" s="235">
        <f t="shared" si="15"/>
        <v>0</v>
      </c>
    </row>
    <row r="40" spans="1:25" ht="20" customHeight="1" x14ac:dyDescent="0.35">
      <c r="I40" s="325" t="s">
        <v>402</v>
      </c>
      <c r="J40" s="326"/>
      <c r="K40" s="95"/>
      <c r="L40" s="210">
        <f>SUM(L34:L38)</f>
        <v>0</v>
      </c>
      <c r="M40" s="210">
        <f>+M38+M32+M26+M17+M11</f>
        <v>0</v>
      </c>
      <c r="N40" s="210">
        <f t="shared" ref="N40:Y40" si="16">+N38+N32+N26+N17+N11</f>
        <v>31800</v>
      </c>
      <c r="O40" s="210">
        <f t="shared" si="16"/>
        <v>0</v>
      </c>
      <c r="P40" s="210">
        <f t="shared" si="16"/>
        <v>0</v>
      </c>
      <c r="Q40" s="210">
        <f t="shared" si="16"/>
        <v>0</v>
      </c>
      <c r="R40" s="210">
        <f t="shared" si="16"/>
        <v>0</v>
      </c>
      <c r="S40" s="210">
        <f t="shared" si="16"/>
        <v>0</v>
      </c>
      <c r="T40" s="210">
        <f t="shared" si="16"/>
        <v>0</v>
      </c>
      <c r="U40" s="210">
        <f t="shared" si="16"/>
        <v>0</v>
      </c>
      <c r="V40" s="210">
        <f t="shared" si="16"/>
        <v>0</v>
      </c>
      <c r="W40" s="210">
        <f t="shared" si="16"/>
        <v>0</v>
      </c>
      <c r="X40" s="210">
        <f t="shared" si="16"/>
        <v>0</v>
      </c>
      <c r="Y40" s="210">
        <f t="shared" si="16"/>
        <v>0</v>
      </c>
    </row>
    <row r="41" spans="1:25" ht="20" customHeight="1" x14ac:dyDescent="0.35">
      <c r="I41" s="327" t="s">
        <v>397</v>
      </c>
      <c r="J41" s="328"/>
      <c r="K41" s="95"/>
      <c r="L41" s="211">
        <f>L40*$K$19</f>
        <v>0</v>
      </c>
      <c r="M41" s="211">
        <f>M40*$J$46</f>
        <v>0</v>
      </c>
      <c r="N41" s="211">
        <f t="shared" ref="N41:Y41" si="17">N40*$J$46</f>
        <v>636000</v>
      </c>
      <c r="O41" s="211">
        <f t="shared" si="17"/>
        <v>0</v>
      </c>
      <c r="P41" s="211">
        <f t="shared" si="17"/>
        <v>0</v>
      </c>
      <c r="Q41" s="211">
        <f t="shared" si="17"/>
        <v>0</v>
      </c>
      <c r="R41" s="211">
        <f t="shared" si="17"/>
        <v>0</v>
      </c>
      <c r="S41" s="211">
        <f t="shared" si="17"/>
        <v>0</v>
      </c>
      <c r="T41" s="211">
        <f t="shared" si="17"/>
        <v>0</v>
      </c>
      <c r="U41" s="211">
        <f t="shared" si="17"/>
        <v>0</v>
      </c>
      <c r="V41" s="211">
        <f t="shared" si="17"/>
        <v>0</v>
      </c>
      <c r="W41" s="211">
        <f t="shared" si="17"/>
        <v>0</v>
      </c>
      <c r="X41" s="211">
        <f t="shared" si="17"/>
        <v>0</v>
      </c>
      <c r="Y41" s="211">
        <f t="shared" si="17"/>
        <v>0</v>
      </c>
    </row>
    <row r="42" spans="1:25" ht="20" customHeight="1" x14ac:dyDescent="0.35">
      <c r="I42" s="325" t="s">
        <v>403</v>
      </c>
      <c r="J42" s="326"/>
      <c r="K42" s="95"/>
      <c r="L42" s="210">
        <f>SUM(L40:Y40)</f>
        <v>31800</v>
      </c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</row>
    <row r="43" spans="1:25" ht="20" customHeight="1" x14ac:dyDescent="0.35">
      <c r="I43" s="327" t="s">
        <v>256</v>
      </c>
      <c r="J43" s="328"/>
      <c r="K43" s="95"/>
      <c r="L43" s="226">
        <f>SUM(L41:Y41)</f>
        <v>636000</v>
      </c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</row>
    <row r="45" spans="1:25" ht="20" customHeight="1" x14ac:dyDescent="0.35">
      <c r="I45" s="300" t="str">
        <f>'F08 INGRESOS'!J20</f>
        <v>PREMISAS</v>
      </c>
      <c r="J45" s="301"/>
      <c r="X45" s="10"/>
      <c r="Y45" s="10"/>
    </row>
    <row r="46" spans="1:25" ht="20" customHeight="1" x14ac:dyDescent="0.35">
      <c r="I46" s="212" t="str">
        <f>'F08 INGRESOS'!J21</f>
        <v>PARIDAD</v>
      </c>
      <c r="J46" s="198">
        <f>'F08 INGRESOS'!K21</f>
        <v>20</v>
      </c>
    </row>
    <row r="47" spans="1:25" ht="20" customHeight="1" x14ac:dyDescent="0.35">
      <c r="I47" s="213" t="str">
        <f>'F08 INGRESOS'!J22</f>
        <v xml:space="preserve">MES </v>
      </c>
      <c r="J47" s="199">
        <f>'F08 INGRESOS'!K22</f>
        <v>30.4</v>
      </c>
    </row>
    <row r="48" spans="1:25" ht="15.5" x14ac:dyDescent="0.35">
      <c r="B48"/>
      <c r="C48"/>
      <c r="D48"/>
      <c r="E48"/>
      <c r="F48"/>
      <c r="G48"/>
      <c r="H48"/>
      <c r="I48" s="214" t="str">
        <f>'F08 INGRESOS'!J23</f>
        <v>CRÉDITO</v>
      </c>
      <c r="J48" s="200">
        <f>'F08 INGRESOS'!K23</f>
        <v>45</v>
      </c>
    </row>
    <row r="49" spans="2:10" ht="15.5" x14ac:dyDescent="0.35">
      <c r="B49"/>
      <c r="C49"/>
      <c r="D49"/>
      <c r="E49"/>
      <c r="F49"/>
      <c r="G49"/>
      <c r="H49"/>
      <c r="I49" s="215" t="str">
        <f>'F08 INGRESOS'!J24</f>
        <v>GAS LP</v>
      </c>
      <c r="J49" s="201">
        <f>'F08 INGRESOS'!K24</f>
        <v>10.5</v>
      </c>
    </row>
    <row r="50" spans="2:10" ht="15.5" x14ac:dyDescent="0.35">
      <c r="B50"/>
      <c r="C50"/>
      <c r="D50"/>
      <c r="E50"/>
      <c r="F50"/>
      <c r="G50"/>
      <c r="H50"/>
      <c r="I50" s="216" t="str">
        <f>'F08 INGRESOS'!J25</f>
        <v>GASOLINA</v>
      </c>
      <c r="J50" s="202">
        <f>'F08 INGRESOS'!K25</f>
        <v>22</v>
      </c>
    </row>
    <row r="51" spans="2:10" ht="15.5" x14ac:dyDescent="0.35">
      <c r="B51"/>
      <c r="C51"/>
      <c r="D51"/>
      <c r="E51"/>
      <c r="F51"/>
      <c r="G51"/>
      <c r="H51"/>
      <c r="I51" s="217" t="str">
        <f>'F08 INGRESOS'!J26</f>
        <v>DIESEL</v>
      </c>
      <c r="J51" s="198">
        <f>'F08 INGRESOS'!K26</f>
        <v>23</v>
      </c>
    </row>
    <row r="52" spans="2:10" ht="16" customHeight="1" x14ac:dyDescent="0.35">
      <c r="B52"/>
      <c r="C52"/>
      <c r="D52"/>
      <c r="E52"/>
      <c r="F52"/>
      <c r="G52"/>
      <c r="H52"/>
      <c r="I52" s="329" t="s">
        <v>345</v>
      </c>
      <c r="J52" s="330"/>
    </row>
    <row r="53" spans="2:10" ht="16" thickBot="1" x14ac:dyDescent="0.4">
      <c r="B53"/>
      <c r="C53"/>
      <c r="D53"/>
      <c r="E53"/>
      <c r="F53"/>
      <c r="G53"/>
      <c r="H53"/>
      <c r="I53" s="331"/>
      <c r="J53" s="332"/>
    </row>
    <row r="54" spans="2:10" ht="15.5" x14ac:dyDescent="0.35">
      <c r="B54"/>
      <c r="C54"/>
      <c r="D54"/>
      <c r="E54"/>
      <c r="F54"/>
      <c r="G54"/>
      <c r="H54"/>
      <c r="I54"/>
      <c r="J54"/>
    </row>
    <row r="55" spans="2:10" ht="15.5" x14ac:dyDescent="0.35">
      <c r="B55"/>
      <c r="C55"/>
      <c r="D55"/>
      <c r="E55"/>
      <c r="F55"/>
      <c r="G55"/>
      <c r="H55"/>
      <c r="I55"/>
      <c r="J55"/>
    </row>
    <row r="56" spans="2:10" ht="15.5" x14ac:dyDescent="0.35">
      <c r="B56"/>
      <c r="C56"/>
      <c r="D56"/>
      <c r="E56"/>
      <c r="F56"/>
      <c r="G56"/>
      <c r="H56"/>
      <c r="I56"/>
      <c r="J56"/>
    </row>
    <row r="57" spans="2:10" ht="15.5" x14ac:dyDescent="0.35">
      <c r="B57"/>
      <c r="C57"/>
      <c r="D57"/>
      <c r="E57"/>
      <c r="F57"/>
      <c r="G57"/>
      <c r="H57"/>
      <c r="I57"/>
      <c r="J57"/>
    </row>
    <row r="58" spans="2:10" ht="15.5" x14ac:dyDescent="0.35">
      <c r="B58"/>
      <c r="C58"/>
      <c r="D58"/>
      <c r="E58"/>
      <c r="F58"/>
      <c r="G58"/>
      <c r="H58"/>
      <c r="I58"/>
      <c r="J58"/>
    </row>
    <row r="59" spans="2:10" ht="15.5" x14ac:dyDescent="0.35">
      <c r="B59"/>
      <c r="C59"/>
      <c r="D59"/>
      <c r="E59"/>
      <c r="F59"/>
      <c r="G59"/>
      <c r="H59"/>
      <c r="I59"/>
      <c r="J59"/>
    </row>
    <row r="60" spans="2:10" ht="15.5" x14ac:dyDescent="0.35">
      <c r="B60"/>
      <c r="C60"/>
      <c r="D60"/>
      <c r="E60"/>
      <c r="F60"/>
      <c r="G60"/>
      <c r="H60"/>
      <c r="I60"/>
      <c r="J60"/>
    </row>
    <row r="61" spans="2:10" ht="18" customHeight="1" x14ac:dyDescent="0.35">
      <c r="B61"/>
      <c r="C61"/>
      <c r="D61"/>
      <c r="E61"/>
      <c r="F61"/>
      <c r="G61"/>
      <c r="H61"/>
      <c r="I61"/>
      <c r="J61"/>
    </row>
    <row r="62" spans="2:10" ht="18" customHeight="1" x14ac:dyDescent="0.35">
      <c r="B62"/>
      <c r="C62"/>
      <c r="D62"/>
      <c r="E62"/>
      <c r="F62"/>
      <c r="G62"/>
      <c r="H62"/>
      <c r="I62"/>
      <c r="J62"/>
    </row>
    <row r="63" spans="2:10" ht="18" customHeight="1" x14ac:dyDescent="0.35">
      <c r="B63"/>
      <c r="C63"/>
      <c r="D63"/>
      <c r="E63"/>
      <c r="F63"/>
      <c r="G63"/>
      <c r="H63"/>
      <c r="I63"/>
      <c r="J63"/>
    </row>
    <row r="64" spans="2:10" ht="18" customHeight="1" x14ac:dyDescent="0.35">
      <c r="B64"/>
      <c r="C64"/>
      <c r="D64"/>
      <c r="E64"/>
      <c r="F64"/>
      <c r="G64"/>
      <c r="H64"/>
      <c r="I64"/>
      <c r="J64"/>
    </row>
    <row r="65" spans="2:10" ht="20" customHeight="1" x14ac:dyDescent="0.35">
      <c r="B65"/>
      <c r="C65"/>
      <c r="D65"/>
      <c r="E65"/>
      <c r="F65"/>
      <c r="G65"/>
      <c r="H65"/>
      <c r="I65"/>
      <c r="J65"/>
    </row>
    <row r="66" spans="2:10" ht="20" customHeight="1" x14ac:dyDescent="0.35">
      <c r="B66"/>
      <c r="C66"/>
      <c r="D66"/>
      <c r="E66"/>
      <c r="F66"/>
      <c r="G66"/>
      <c r="H66"/>
      <c r="I66"/>
      <c r="J66"/>
    </row>
    <row r="67" spans="2:10" ht="46" customHeight="1" x14ac:dyDescent="0.35">
      <c r="B67"/>
      <c r="C67"/>
      <c r="D67"/>
      <c r="E67"/>
      <c r="F67"/>
      <c r="G67"/>
      <c r="H67"/>
      <c r="I67"/>
      <c r="J67"/>
    </row>
    <row r="68" spans="2:10" ht="20" customHeight="1" x14ac:dyDescent="0.35">
      <c r="B68"/>
      <c r="C68"/>
      <c r="D68"/>
      <c r="E68"/>
      <c r="F68"/>
      <c r="G68"/>
      <c r="H68"/>
      <c r="I68"/>
      <c r="J68"/>
    </row>
    <row r="69" spans="2:10" ht="20" customHeight="1" x14ac:dyDescent="0.35">
      <c r="B69"/>
      <c r="C69"/>
      <c r="D69"/>
      <c r="E69"/>
      <c r="F69"/>
      <c r="G69"/>
      <c r="H69"/>
      <c r="I69"/>
      <c r="J69"/>
    </row>
    <row r="70" spans="2:10" ht="20" customHeight="1" x14ac:dyDescent="0.35">
      <c r="B70"/>
      <c r="C70"/>
      <c r="D70"/>
      <c r="E70"/>
      <c r="F70"/>
      <c r="G70"/>
      <c r="H70"/>
      <c r="I70"/>
      <c r="J70"/>
    </row>
    <row r="71" spans="2:10" ht="20" customHeight="1" x14ac:dyDescent="0.35">
      <c r="B71"/>
      <c r="C71"/>
      <c r="D71"/>
      <c r="E71"/>
      <c r="F71"/>
      <c r="G71"/>
      <c r="H71"/>
      <c r="I71"/>
      <c r="J71"/>
    </row>
    <row r="72" spans="2:10" ht="20" customHeight="1" x14ac:dyDescent="0.35">
      <c r="B72"/>
      <c r="C72"/>
      <c r="D72"/>
      <c r="E72"/>
      <c r="F72"/>
      <c r="G72"/>
      <c r="H72"/>
      <c r="I72"/>
      <c r="J72"/>
    </row>
    <row r="73" spans="2:10" s="51" customFormat="1" ht="20" customHeight="1" x14ac:dyDescent="0.35">
      <c r="B73"/>
      <c r="C73"/>
      <c r="D73"/>
      <c r="E73"/>
      <c r="F73"/>
      <c r="G73"/>
      <c r="H73"/>
      <c r="I73"/>
      <c r="J73"/>
    </row>
    <row r="74" spans="2:10" s="51" customFormat="1" ht="40" customHeight="1" x14ac:dyDescent="0.35">
      <c r="B74"/>
      <c r="C74"/>
      <c r="D74"/>
      <c r="E74"/>
      <c r="F74"/>
      <c r="G74"/>
      <c r="H74"/>
      <c r="I74"/>
      <c r="J74"/>
    </row>
    <row r="75" spans="2:10" ht="20" customHeight="1" x14ac:dyDescent="0.35">
      <c r="B75"/>
      <c r="C75"/>
      <c r="D75"/>
      <c r="E75"/>
      <c r="F75"/>
      <c r="G75"/>
      <c r="H75"/>
      <c r="I75"/>
      <c r="J75"/>
    </row>
    <row r="76" spans="2:10" ht="20" customHeight="1" x14ac:dyDescent="0.35">
      <c r="B76"/>
      <c r="C76"/>
      <c r="D76"/>
      <c r="E76"/>
      <c r="F76"/>
      <c r="G76"/>
      <c r="H76"/>
      <c r="I76"/>
      <c r="J76"/>
    </row>
    <row r="77" spans="2:10" ht="20" customHeight="1" x14ac:dyDescent="0.35">
      <c r="B77"/>
      <c r="C77"/>
      <c r="D77"/>
      <c r="E77"/>
      <c r="F77"/>
      <c r="G77"/>
      <c r="H77"/>
      <c r="I77"/>
      <c r="J77"/>
    </row>
    <row r="78" spans="2:10" ht="20" customHeight="1" x14ac:dyDescent="0.35">
      <c r="B78"/>
      <c r="C78"/>
      <c r="D78"/>
      <c r="E78"/>
      <c r="F78"/>
      <c r="G78"/>
      <c r="H78"/>
      <c r="I78"/>
      <c r="J78"/>
    </row>
    <row r="79" spans="2:10" ht="20" customHeight="1" x14ac:dyDescent="0.35">
      <c r="B79"/>
      <c r="C79"/>
      <c r="D79"/>
      <c r="E79"/>
      <c r="F79"/>
      <c r="G79"/>
      <c r="H79"/>
      <c r="I79"/>
      <c r="J79"/>
    </row>
    <row r="80" spans="2:10" ht="20" customHeight="1" x14ac:dyDescent="0.35">
      <c r="B80"/>
      <c r="C80"/>
      <c r="D80"/>
      <c r="E80"/>
      <c r="F80"/>
      <c r="G80"/>
      <c r="H80"/>
      <c r="I80"/>
      <c r="J80"/>
    </row>
    <row r="81" spans="2:10" ht="20" customHeight="1" x14ac:dyDescent="0.35">
      <c r="B81"/>
      <c r="C81"/>
      <c r="D81"/>
      <c r="E81"/>
      <c r="F81"/>
      <c r="G81"/>
      <c r="H81"/>
      <c r="I81"/>
      <c r="J81"/>
    </row>
    <row r="82" spans="2:10" ht="20" customHeight="1" x14ac:dyDescent="0.35">
      <c r="B82"/>
      <c r="C82"/>
      <c r="D82"/>
      <c r="E82"/>
      <c r="F82"/>
      <c r="G82"/>
      <c r="H82"/>
      <c r="I82"/>
      <c r="J82"/>
    </row>
    <row r="83" spans="2:10" ht="20" customHeight="1" x14ac:dyDescent="0.35">
      <c r="B83"/>
      <c r="C83"/>
      <c r="D83"/>
      <c r="E83"/>
      <c r="F83"/>
      <c r="G83"/>
      <c r="H83"/>
      <c r="I83"/>
      <c r="J83"/>
    </row>
    <row r="84" spans="2:10" ht="20" customHeight="1" x14ac:dyDescent="0.35">
      <c r="B84"/>
      <c r="C84"/>
      <c r="D84"/>
      <c r="E84"/>
      <c r="F84"/>
      <c r="G84"/>
      <c r="H84"/>
      <c r="I84"/>
      <c r="J84"/>
    </row>
    <row r="85" spans="2:10" ht="20" customHeight="1" x14ac:dyDescent="0.35">
      <c r="B85"/>
      <c r="C85"/>
      <c r="D85"/>
      <c r="E85"/>
      <c r="F85"/>
      <c r="G85"/>
      <c r="H85"/>
      <c r="I85"/>
      <c r="J85"/>
    </row>
    <row r="86" spans="2:10" ht="20" customHeight="1" x14ac:dyDescent="0.35">
      <c r="B86"/>
      <c r="C86"/>
      <c r="D86"/>
      <c r="E86"/>
      <c r="F86"/>
      <c r="G86"/>
      <c r="H86"/>
      <c r="I86"/>
      <c r="J86"/>
    </row>
    <row r="87" spans="2:10" ht="20" customHeight="1" x14ac:dyDescent="0.35">
      <c r="B87"/>
      <c r="C87"/>
      <c r="D87"/>
      <c r="E87"/>
      <c r="F87"/>
      <c r="G87"/>
      <c r="H87"/>
      <c r="I87"/>
      <c r="J87"/>
    </row>
    <row r="88" spans="2:10" ht="20" customHeight="1" x14ac:dyDescent="0.35">
      <c r="B88"/>
      <c r="C88"/>
      <c r="D88"/>
      <c r="E88"/>
      <c r="F88"/>
      <c r="G88"/>
      <c r="H88"/>
      <c r="I88"/>
      <c r="J88"/>
    </row>
    <row r="89" spans="2:10" ht="20" customHeight="1" x14ac:dyDescent="0.35">
      <c r="B89"/>
      <c r="C89"/>
    </row>
    <row r="90" spans="2:10" ht="20" customHeight="1" x14ac:dyDescent="0.35">
      <c r="B90"/>
      <c r="C90"/>
    </row>
    <row r="91" spans="2:10" ht="20" customHeight="1" x14ac:dyDescent="0.35">
      <c r="B91"/>
      <c r="C91"/>
    </row>
    <row r="92" spans="2:10" ht="20" customHeight="1" x14ac:dyDescent="0.35">
      <c r="B92"/>
      <c r="C92"/>
    </row>
    <row r="93" spans="2:10" ht="20" customHeight="1" x14ac:dyDescent="0.35">
      <c r="B93"/>
      <c r="C93"/>
    </row>
    <row r="94" spans="2:10" ht="20" customHeight="1" x14ac:dyDescent="0.35">
      <c r="B94"/>
      <c r="C94"/>
    </row>
    <row r="95" spans="2:10" ht="20" customHeight="1" x14ac:dyDescent="0.35">
      <c r="B95"/>
      <c r="C95"/>
    </row>
    <row r="96" spans="2:10" ht="20" customHeight="1" x14ac:dyDescent="0.35">
      <c r="B96"/>
      <c r="C96"/>
    </row>
  </sheetData>
  <mergeCells count="15">
    <mergeCell ref="J4:J5"/>
    <mergeCell ref="E4:E6"/>
    <mergeCell ref="B4:B6"/>
    <mergeCell ref="D4:D6"/>
    <mergeCell ref="C4:C6"/>
    <mergeCell ref="F4:F6"/>
    <mergeCell ref="G4:G6"/>
    <mergeCell ref="H4:H6"/>
    <mergeCell ref="I4:I6"/>
    <mergeCell ref="I52:J53"/>
    <mergeCell ref="I40:J40"/>
    <mergeCell ref="I41:J41"/>
    <mergeCell ref="I42:J42"/>
    <mergeCell ref="I43:J43"/>
    <mergeCell ref="I45:J45"/>
  </mergeCells>
  <phoneticPr fontId="8" type="noConversion"/>
  <hyperlinks>
    <hyperlink ref="I52" r:id="rId1" xr:uid="{0A1C3628-CECF-B44A-A6BF-7323040FE6C9}"/>
  </hyperlinks>
  <printOptions horizontalCentered="1"/>
  <pageMargins left="0.25" right="0.25" top="0.75" bottom="0.75" header="0.3" footer="0.3"/>
  <pageSetup paperSize="3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I40"/>
  <sheetViews>
    <sheetView showGridLines="0" zoomScale="90" zoomScaleNormal="90" workbookViewId="0">
      <pane xSplit="20" ySplit="3" topLeftCell="X7" activePane="bottomRight" state="frozen"/>
      <selection pane="topRight" activeCell="U1" sqref="U1"/>
      <selection pane="bottomLeft" activeCell="A4" sqref="A4"/>
      <selection pane="bottomRight" activeCell="D8" sqref="D8"/>
    </sheetView>
  </sheetViews>
  <sheetFormatPr baseColWidth="10" defaultColWidth="8.6640625" defaultRowHeight="26" customHeight="1" x14ac:dyDescent="0.35"/>
  <cols>
    <col min="1" max="1" width="4.5" style="2" customWidth="1"/>
    <col min="2" max="2" width="24" style="2" bestFit="1" customWidth="1"/>
    <col min="3" max="3" width="40.4140625" style="2" bestFit="1" customWidth="1"/>
    <col min="4" max="4" width="18.4140625" style="2" bestFit="1" customWidth="1"/>
    <col min="5" max="5" width="12.5" style="2" bestFit="1" customWidth="1"/>
    <col min="6" max="6" width="13.6640625" style="2" customWidth="1"/>
    <col min="7" max="7" width="12.5" style="2" customWidth="1"/>
    <col min="8" max="8" width="13.83203125" style="2" customWidth="1"/>
    <col min="9" max="9" width="13" style="2" customWidth="1"/>
    <col min="10" max="10" width="1.5" style="2" customWidth="1"/>
    <col min="11" max="11" width="13" style="2" bestFit="1" customWidth="1"/>
    <col min="12" max="12" width="13.33203125" style="2" customWidth="1"/>
    <col min="13" max="13" width="14.33203125" style="2" customWidth="1"/>
    <col min="14" max="14" width="9.33203125" style="2" bestFit="1" customWidth="1"/>
    <col min="15" max="15" width="13.5" style="2" bestFit="1" customWidth="1"/>
    <col min="16" max="16" width="11.5" style="2" bestFit="1" customWidth="1"/>
    <col min="17" max="17" width="13" style="2" bestFit="1" customWidth="1"/>
    <col min="18" max="19" width="12.1640625" style="2" bestFit="1" customWidth="1"/>
    <col min="20" max="20" width="12.83203125" style="2" bestFit="1" customWidth="1"/>
    <col min="21" max="21" width="1.5" style="2" customWidth="1"/>
    <col min="22" max="22" width="16.5" style="2" bestFit="1" customWidth="1"/>
    <col min="23" max="23" width="14" style="2" bestFit="1" customWidth="1"/>
    <col min="24" max="29" width="15.83203125" style="2" bestFit="1" customWidth="1"/>
    <col min="30" max="30" width="15.1640625" style="2" bestFit="1" customWidth="1"/>
    <col min="31" max="34" width="15.83203125" style="2" bestFit="1" customWidth="1"/>
    <col min="35" max="35" width="15.6640625" style="2" bestFit="1" customWidth="1"/>
    <col min="36" max="39" width="8.6640625" style="2"/>
    <col min="40" max="40" width="9.33203125" style="2" bestFit="1" customWidth="1"/>
    <col min="41" max="56" width="8.6640625" style="2"/>
    <col min="57" max="57" width="8.6640625" style="2" customWidth="1"/>
    <col min="58" max="16384" width="8.6640625" style="2"/>
  </cols>
  <sheetData>
    <row r="1" spans="1:113" ht="26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26" customHeight="1" x14ac:dyDescent="0.35">
      <c r="A2" s="12"/>
      <c r="B2" s="323" t="s">
        <v>278</v>
      </c>
      <c r="C2" s="32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</row>
    <row r="3" spans="1:113" ht="26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</row>
    <row r="4" spans="1:113" ht="26" customHeight="1" x14ac:dyDescent="0.35">
      <c r="A4" s="12"/>
      <c r="B4" s="324" t="s">
        <v>263</v>
      </c>
      <c r="C4" s="324" t="s">
        <v>1</v>
      </c>
      <c r="D4" s="324" t="s">
        <v>19</v>
      </c>
      <c r="E4" s="324" t="s">
        <v>23</v>
      </c>
      <c r="F4" s="324" t="s">
        <v>2</v>
      </c>
      <c r="G4" s="324" t="s">
        <v>252</v>
      </c>
      <c r="H4" s="324" t="s">
        <v>271</v>
      </c>
      <c r="I4" s="324" t="s">
        <v>253</v>
      </c>
      <c r="K4" s="342" t="s">
        <v>246</v>
      </c>
      <c r="L4" s="343" t="s">
        <v>247</v>
      </c>
      <c r="M4" s="344" t="s">
        <v>250</v>
      </c>
      <c r="N4" s="341" t="s">
        <v>248</v>
      </c>
      <c r="O4" s="341" t="s">
        <v>249</v>
      </c>
      <c r="P4" s="324" t="s">
        <v>239</v>
      </c>
      <c r="Q4" s="324" t="s">
        <v>344</v>
      </c>
      <c r="R4" s="324" t="s">
        <v>240</v>
      </c>
      <c r="S4" s="324" t="s">
        <v>256</v>
      </c>
      <c r="T4" s="333" t="s">
        <v>398</v>
      </c>
      <c r="V4" s="169" t="s">
        <v>74</v>
      </c>
      <c r="W4" s="170" t="s">
        <v>356</v>
      </c>
      <c r="X4" s="170" t="s">
        <v>357</v>
      </c>
      <c r="Y4" s="170" t="s">
        <v>358</v>
      </c>
      <c r="Z4" s="170" t="s">
        <v>359</v>
      </c>
      <c r="AA4" s="170" t="s">
        <v>360</v>
      </c>
      <c r="AB4" s="170" t="s">
        <v>361</v>
      </c>
      <c r="AC4" s="170" t="s">
        <v>362</v>
      </c>
      <c r="AD4" s="170" t="s">
        <v>363</v>
      </c>
      <c r="AE4" s="170" t="s">
        <v>364</v>
      </c>
      <c r="AF4" s="170" t="s">
        <v>365</v>
      </c>
      <c r="AG4" s="170" t="s">
        <v>366</v>
      </c>
      <c r="AH4" s="170" t="s">
        <v>367</v>
      </c>
      <c r="AI4" s="170" t="s">
        <v>368</v>
      </c>
    </row>
    <row r="5" spans="1:113" ht="26" customHeight="1" x14ac:dyDescent="0.35">
      <c r="A5" s="12"/>
      <c r="B5" s="324"/>
      <c r="C5" s="324"/>
      <c r="D5" s="324"/>
      <c r="E5" s="324"/>
      <c r="F5" s="324"/>
      <c r="G5" s="324"/>
      <c r="H5" s="324"/>
      <c r="I5" s="324"/>
      <c r="K5" s="342"/>
      <c r="L5" s="343"/>
      <c r="M5" s="344"/>
      <c r="N5" s="341"/>
      <c r="O5" s="341"/>
      <c r="P5" s="324"/>
      <c r="Q5" s="324" t="s">
        <v>344</v>
      </c>
      <c r="R5" s="324" t="s">
        <v>240</v>
      </c>
      <c r="S5" s="324" t="s">
        <v>256</v>
      </c>
      <c r="T5" s="333"/>
      <c r="V5" s="171" t="s">
        <v>251</v>
      </c>
      <c r="W5" s="172" t="s">
        <v>339</v>
      </c>
      <c r="X5" s="172" t="s">
        <v>340</v>
      </c>
      <c r="Y5" s="172" t="s">
        <v>341</v>
      </c>
      <c r="Z5" s="172" t="s">
        <v>330</v>
      </c>
      <c r="AA5" s="172" t="s">
        <v>331</v>
      </c>
      <c r="AB5" s="172" t="s">
        <v>332</v>
      </c>
      <c r="AC5" s="172" t="s">
        <v>333</v>
      </c>
      <c r="AD5" s="172" t="s">
        <v>334</v>
      </c>
      <c r="AE5" s="172" t="s">
        <v>335</v>
      </c>
      <c r="AF5" s="172" t="s">
        <v>336</v>
      </c>
      <c r="AG5" s="172" t="s">
        <v>337</v>
      </c>
      <c r="AH5" s="172" t="s">
        <v>338</v>
      </c>
      <c r="AI5" s="172" t="s">
        <v>339</v>
      </c>
    </row>
    <row r="6" spans="1:113" ht="26" customHeight="1" x14ac:dyDescent="0.35">
      <c r="A6" s="12"/>
      <c r="B6" s="324"/>
      <c r="C6" s="324"/>
      <c r="D6" s="324"/>
      <c r="E6" s="324"/>
      <c r="F6" s="324"/>
      <c r="G6" s="324"/>
      <c r="H6" s="324"/>
      <c r="I6" s="324"/>
      <c r="K6" s="342"/>
      <c r="L6" s="343"/>
      <c r="M6" s="344"/>
      <c r="N6" s="341"/>
      <c r="O6" s="341"/>
      <c r="P6" s="324"/>
      <c r="Q6" s="324" t="s">
        <v>242</v>
      </c>
      <c r="R6" s="324" t="s">
        <v>243</v>
      </c>
      <c r="S6" s="324" t="s">
        <v>243</v>
      </c>
      <c r="T6" s="229" t="s">
        <v>399</v>
      </c>
      <c r="V6" s="207" t="s">
        <v>251</v>
      </c>
      <c r="W6" s="208">
        <v>31</v>
      </c>
      <c r="X6" s="208">
        <v>28</v>
      </c>
      <c r="Y6" s="208">
        <v>31</v>
      </c>
      <c r="Z6" s="208">
        <v>30</v>
      </c>
      <c r="AA6" s="208">
        <v>31</v>
      </c>
      <c r="AB6" s="208">
        <v>30</v>
      </c>
      <c r="AC6" s="208">
        <v>31</v>
      </c>
      <c r="AD6" s="208">
        <v>31</v>
      </c>
      <c r="AE6" s="208">
        <v>30</v>
      </c>
      <c r="AF6" s="208">
        <v>31</v>
      </c>
      <c r="AG6" s="208">
        <v>30</v>
      </c>
      <c r="AH6" s="208">
        <v>31</v>
      </c>
      <c r="AI6" s="208">
        <v>31</v>
      </c>
    </row>
    <row r="7" spans="1:113" ht="26" customHeight="1" x14ac:dyDescent="0.35">
      <c r="A7" s="12"/>
      <c r="B7" s="231" t="s">
        <v>0</v>
      </c>
      <c r="C7" s="237" t="s">
        <v>467</v>
      </c>
      <c r="D7" s="237" t="s">
        <v>468</v>
      </c>
      <c r="E7" s="237"/>
      <c r="F7" s="220">
        <v>1</v>
      </c>
      <c r="G7" s="238">
        <v>33000</v>
      </c>
      <c r="H7" s="239">
        <f t="shared" ref="H7:H17" si="0">$T$33</f>
        <v>0.8</v>
      </c>
      <c r="I7" s="240">
        <f>G7*(1+H7)</f>
        <v>59400</v>
      </c>
      <c r="K7" s="241">
        <f>G7</f>
        <v>33000</v>
      </c>
      <c r="L7" s="240">
        <f>K7/4</f>
        <v>8250</v>
      </c>
      <c r="M7" s="240">
        <f>G7/2</f>
        <v>16500</v>
      </c>
      <c r="N7" s="241">
        <v>0</v>
      </c>
      <c r="O7" s="241">
        <f>(G7/30.4)*12</f>
        <v>13026.315789473685</v>
      </c>
      <c r="P7" s="242">
        <f>S7/$T$25</f>
        <v>3024.2763157894738</v>
      </c>
      <c r="Q7" s="250">
        <f t="shared" ref="Q7:Q17" si="1">P7*F7</f>
        <v>3024.2763157894738</v>
      </c>
      <c r="R7" s="243">
        <f>I7+N7+(O7/12)</f>
        <v>60485.526315789473</v>
      </c>
      <c r="S7" s="243">
        <f>R7*F7</f>
        <v>60485.526315789473</v>
      </c>
      <c r="T7" s="243">
        <f>S7*1.16</f>
        <v>70163.210526315786</v>
      </c>
      <c r="V7" s="243">
        <v>0</v>
      </c>
      <c r="W7" s="243">
        <f>$Q$7</f>
        <v>3024.2763157894738</v>
      </c>
      <c r="X7" s="243">
        <f t="shared" ref="X7:AI7" si="2">$Q$7</f>
        <v>3024.2763157894738</v>
      </c>
      <c r="Y7" s="243">
        <f t="shared" si="2"/>
        <v>3024.2763157894738</v>
      </c>
      <c r="Z7" s="243">
        <f t="shared" si="2"/>
        <v>3024.2763157894738</v>
      </c>
      <c r="AA7" s="245">
        <f>$Q$7+(M7/$T$25)</f>
        <v>3849.2763157894738</v>
      </c>
      <c r="AB7" s="243">
        <f t="shared" si="2"/>
        <v>3024.2763157894738</v>
      </c>
      <c r="AC7" s="243">
        <f t="shared" si="2"/>
        <v>3024.2763157894738</v>
      </c>
      <c r="AD7" s="243">
        <f t="shared" si="2"/>
        <v>3024.2763157894738</v>
      </c>
      <c r="AE7" s="243">
        <f t="shared" si="2"/>
        <v>3024.2763157894738</v>
      </c>
      <c r="AF7" s="243">
        <f t="shared" si="2"/>
        <v>3024.2763157894738</v>
      </c>
      <c r="AG7" s="243">
        <f t="shared" si="2"/>
        <v>3024.2763157894738</v>
      </c>
      <c r="AH7" s="244">
        <f>$Q$7+((K7+L7)/$T$25)</f>
        <v>5086.7763157894733</v>
      </c>
      <c r="AI7" s="243">
        <f t="shared" si="2"/>
        <v>3024.2763157894738</v>
      </c>
      <c r="AN7" s="10"/>
    </row>
    <row r="8" spans="1:113" ht="26" customHeight="1" x14ac:dyDescent="0.35">
      <c r="A8" s="12"/>
      <c r="B8" s="231" t="s">
        <v>0</v>
      </c>
      <c r="C8" s="231" t="s">
        <v>469</v>
      </c>
      <c r="D8" s="297"/>
      <c r="E8" s="237"/>
      <c r="F8" s="220">
        <v>1</v>
      </c>
      <c r="G8" s="238">
        <v>30000</v>
      </c>
      <c r="H8" s="239">
        <f t="shared" si="0"/>
        <v>0.8</v>
      </c>
      <c r="I8" s="240">
        <f t="shared" ref="I8:I14" si="3">G8*(1+H8)</f>
        <v>54000</v>
      </c>
      <c r="K8" s="241">
        <f t="shared" ref="K8:K17" si="4">G8</f>
        <v>30000</v>
      </c>
      <c r="L8" s="240">
        <f t="shared" ref="L8:L17" si="5">K8/4</f>
        <v>7500</v>
      </c>
      <c r="M8" s="240">
        <f t="shared" ref="M8:M17" si="6">G8/2</f>
        <v>15000</v>
      </c>
      <c r="N8" s="241">
        <v>0</v>
      </c>
      <c r="O8" s="241">
        <f t="shared" ref="O8:O17" si="7">(G8/30.4)*12</f>
        <v>11842.105263157895</v>
      </c>
      <c r="P8" s="242">
        <f t="shared" ref="P8:P17" si="8">S8/$T$25</f>
        <v>2749.3421052631579</v>
      </c>
      <c r="Q8" s="250">
        <f t="shared" si="1"/>
        <v>2749.3421052631579</v>
      </c>
      <c r="R8" s="243">
        <f t="shared" ref="R8:R17" si="9">I8+N8+(O8/12)</f>
        <v>54986.84210526316</v>
      </c>
      <c r="S8" s="243">
        <f t="shared" ref="S8:S17" si="10">R8*F8</f>
        <v>54986.84210526316</v>
      </c>
      <c r="T8" s="243">
        <f t="shared" ref="T8:T17" si="11">S8*1.16</f>
        <v>63784.73684210526</v>
      </c>
      <c r="V8" s="243">
        <v>0</v>
      </c>
      <c r="W8" s="243">
        <f>$Q$8</f>
        <v>2749.3421052631579</v>
      </c>
      <c r="X8" s="243">
        <f t="shared" ref="X8:AI8" si="12">$Q$8</f>
        <v>2749.3421052631579</v>
      </c>
      <c r="Y8" s="243">
        <f t="shared" si="12"/>
        <v>2749.3421052631579</v>
      </c>
      <c r="Z8" s="243">
        <f t="shared" si="12"/>
        <v>2749.3421052631579</v>
      </c>
      <c r="AA8" s="245">
        <f>$Q$8+(M8/$T$25)</f>
        <v>3499.3421052631579</v>
      </c>
      <c r="AB8" s="243">
        <f t="shared" si="12"/>
        <v>2749.3421052631579</v>
      </c>
      <c r="AC8" s="243">
        <f t="shared" si="12"/>
        <v>2749.3421052631579</v>
      </c>
      <c r="AD8" s="243">
        <f t="shared" si="12"/>
        <v>2749.3421052631579</v>
      </c>
      <c r="AE8" s="243">
        <f t="shared" si="12"/>
        <v>2749.3421052631579</v>
      </c>
      <c r="AF8" s="243">
        <f t="shared" si="12"/>
        <v>2749.3421052631579</v>
      </c>
      <c r="AG8" s="243">
        <f t="shared" si="12"/>
        <v>2749.3421052631579</v>
      </c>
      <c r="AH8" s="244">
        <f>$Q$8+((K8+L8)/$T$25)</f>
        <v>4624.3421052631584</v>
      </c>
      <c r="AI8" s="243">
        <f t="shared" si="12"/>
        <v>2749.3421052631579</v>
      </c>
    </row>
    <row r="9" spans="1:113" ht="26" customHeight="1" x14ac:dyDescent="0.35">
      <c r="A9" s="12"/>
      <c r="B9" s="231" t="s">
        <v>0</v>
      </c>
      <c r="C9" s="231"/>
      <c r="D9" s="297"/>
      <c r="E9" s="237"/>
      <c r="F9" s="220">
        <v>1</v>
      </c>
      <c r="G9" s="238">
        <v>20898.214285714283</v>
      </c>
      <c r="H9" s="239">
        <f t="shared" si="0"/>
        <v>0.8</v>
      </c>
      <c r="I9" s="240">
        <f t="shared" si="3"/>
        <v>37616.78571428571</v>
      </c>
      <c r="K9" s="241">
        <f t="shared" si="4"/>
        <v>20898.214285714283</v>
      </c>
      <c r="L9" s="240">
        <f t="shared" si="5"/>
        <v>5224.5535714285706</v>
      </c>
      <c r="M9" s="240">
        <f t="shared" si="6"/>
        <v>10449.107142857141</v>
      </c>
      <c r="N9" s="241">
        <v>0</v>
      </c>
      <c r="O9" s="241">
        <f t="shared" si="7"/>
        <v>8249.2951127819542</v>
      </c>
      <c r="P9" s="242">
        <f t="shared" si="8"/>
        <v>1915.2113486842104</v>
      </c>
      <c r="Q9" s="250">
        <f t="shared" si="1"/>
        <v>1915.2113486842104</v>
      </c>
      <c r="R9" s="243">
        <f t="shared" si="9"/>
        <v>38304.226973684206</v>
      </c>
      <c r="S9" s="243">
        <f t="shared" si="10"/>
        <v>38304.226973684206</v>
      </c>
      <c r="T9" s="243">
        <f t="shared" si="11"/>
        <v>44432.903289473674</v>
      </c>
      <c r="V9" s="243">
        <v>0</v>
      </c>
      <c r="W9" s="243">
        <f>$Q$9</f>
        <v>1915.2113486842104</v>
      </c>
      <c r="X9" s="243">
        <f t="shared" ref="X9:AI9" si="13">$Q$9</f>
        <v>1915.2113486842104</v>
      </c>
      <c r="Y9" s="243">
        <f t="shared" si="13"/>
        <v>1915.2113486842104</v>
      </c>
      <c r="Z9" s="243">
        <f t="shared" si="13"/>
        <v>1915.2113486842104</v>
      </c>
      <c r="AA9" s="245">
        <f>$Q$9+(M9/$T$25)</f>
        <v>2437.6667058270677</v>
      </c>
      <c r="AB9" s="243">
        <f t="shared" si="13"/>
        <v>1915.2113486842104</v>
      </c>
      <c r="AC9" s="243">
        <f t="shared" si="13"/>
        <v>1915.2113486842104</v>
      </c>
      <c r="AD9" s="243">
        <f t="shared" si="13"/>
        <v>1915.2113486842104</v>
      </c>
      <c r="AE9" s="243">
        <f t="shared" si="13"/>
        <v>1915.2113486842104</v>
      </c>
      <c r="AF9" s="243">
        <f t="shared" si="13"/>
        <v>1915.2113486842104</v>
      </c>
      <c r="AG9" s="243">
        <f t="shared" si="13"/>
        <v>1915.2113486842104</v>
      </c>
      <c r="AH9" s="244">
        <f>$Q$9+((K9+L9)/$T$25)</f>
        <v>3221.3497415413531</v>
      </c>
      <c r="AI9" s="243">
        <f t="shared" si="13"/>
        <v>1915.2113486842104</v>
      </c>
    </row>
    <row r="10" spans="1:113" ht="26" customHeight="1" x14ac:dyDescent="0.35">
      <c r="A10" s="12"/>
      <c r="B10" s="231" t="s">
        <v>0</v>
      </c>
      <c r="C10" s="231"/>
      <c r="D10" s="297"/>
      <c r="E10" s="237"/>
      <c r="F10" s="220">
        <v>1</v>
      </c>
      <c r="G10" s="238">
        <v>20898.214285714283</v>
      </c>
      <c r="H10" s="239">
        <f t="shared" si="0"/>
        <v>0.8</v>
      </c>
      <c r="I10" s="240">
        <f t="shared" si="3"/>
        <v>37616.78571428571</v>
      </c>
      <c r="K10" s="241">
        <f t="shared" si="4"/>
        <v>20898.214285714283</v>
      </c>
      <c r="L10" s="240">
        <f t="shared" si="5"/>
        <v>5224.5535714285706</v>
      </c>
      <c r="M10" s="240">
        <f t="shared" si="6"/>
        <v>10449.107142857141</v>
      </c>
      <c r="N10" s="241">
        <v>0</v>
      </c>
      <c r="O10" s="241">
        <f t="shared" si="7"/>
        <v>8249.2951127819542</v>
      </c>
      <c r="P10" s="242">
        <f t="shared" si="8"/>
        <v>1915.2113486842104</v>
      </c>
      <c r="Q10" s="250">
        <f t="shared" si="1"/>
        <v>1915.2113486842104</v>
      </c>
      <c r="R10" s="243">
        <f t="shared" si="9"/>
        <v>38304.226973684206</v>
      </c>
      <c r="S10" s="243">
        <f t="shared" si="10"/>
        <v>38304.226973684206</v>
      </c>
      <c r="T10" s="243">
        <f t="shared" si="11"/>
        <v>44432.903289473674</v>
      </c>
      <c r="V10" s="243">
        <v>0</v>
      </c>
      <c r="W10" s="243">
        <f>$Q$10</f>
        <v>1915.2113486842104</v>
      </c>
      <c r="X10" s="243">
        <f t="shared" ref="X10:AI10" si="14">$Q$10</f>
        <v>1915.2113486842104</v>
      </c>
      <c r="Y10" s="243">
        <f t="shared" si="14"/>
        <v>1915.2113486842104</v>
      </c>
      <c r="Z10" s="243">
        <f t="shared" si="14"/>
        <v>1915.2113486842104</v>
      </c>
      <c r="AA10" s="245">
        <f>$Q$10+(M10/$T$25)</f>
        <v>2437.6667058270677</v>
      </c>
      <c r="AB10" s="243">
        <f t="shared" si="14"/>
        <v>1915.2113486842104</v>
      </c>
      <c r="AC10" s="243">
        <f t="shared" si="14"/>
        <v>1915.2113486842104</v>
      </c>
      <c r="AD10" s="243">
        <f t="shared" si="14"/>
        <v>1915.2113486842104</v>
      </c>
      <c r="AE10" s="243">
        <f t="shared" si="14"/>
        <v>1915.2113486842104</v>
      </c>
      <c r="AF10" s="243">
        <f t="shared" si="14"/>
        <v>1915.2113486842104</v>
      </c>
      <c r="AG10" s="243">
        <f t="shared" si="14"/>
        <v>1915.2113486842104</v>
      </c>
      <c r="AH10" s="244">
        <f>$Q$10+((K10+L10)/$T$25)</f>
        <v>3221.3497415413531</v>
      </c>
      <c r="AI10" s="243">
        <f t="shared" si="14"/>
        <v>1915.2113486842104</v>
      </c>
    </row>
    <row r="11" spans="1:113" ht="26" customHeight="1" x14ac:dyDescent="0.35">
      <c r="A11" s="12"/>
      <c r="B11" s="231" t="s">
        <v>0</v>
      </c>
      <c r="C11" s="231"/>
      <c r="D11" s="297"/>
      <c r="E11" s="237"/>
      <c r="F11" s="220">
        <v>1</v>
      </c>
      <c r="G11" s="238">
        <v>16676.79</v>
      </c>
      <c r="H11" s="239">
        <f t="shared" si="0"/>
        <v>0.8</v>
      </c>
      <c r="I11" s="240">
        <f t="shared" si="3"/>
        <v>30018.222000000002</v>
      </c>
      <c r="K11" s="241">
        <f t="shared" si="4"/>
        <v>16676.79</v>
      </c>
      <c r="L11" s="240">
        <f t="shared" si="5"/>
        <v>4169.1975000000002</v>
      </c>
      <c r="M11" s="240">
        <f t="shared" si="6"/>
        <v>8338.3950000000004</v>
      </c>
      <c r="N11" s="241">
        <v>0</v>
      </c>
      <c r="O11" s="241">
        <f t="shared" si="7"/>
        <v>6582.9434210526324</v>
      </c>
      <c r="P11" s="242">
        <f t="shared" si="8"/>
        <v>1528.3400309210526</v>
      </c>
      <c r="Q11" s="250">
        <f t="shared" si="1"/>
        <v>1528.3400309210526</v>
      </c>
      <c r="R11" s="243">
        <f t="shared" si="9"/>
        <v>30566.800618421054</v>
      </c>
      <c r="S11" s="243">
        <f t="shared" si="10"/>
        <v>30566.800618421054</v>
      </c>
      <c r="T11" s="243">
        <f t="shared" si="11"/>
        <v>35457.488717368418</v>
      </c>
      <c r="V11" s="243">
        <v>0</v>
      </c>
      <c r="W11" s="243">
        <f>$Q$11</f>
        <v>1528.3400309210526</v>
      </c>
      <c r="X11" s="243">
        <f t="shared" ref="X11:AI11" si="15">$Q$11</f>
        <v>1528.3400309210526</v>
      </c>
      <c r="Y11" s="243">
        <f t="shared" si="15"/>
        <v>1528.3400309210526</v>
      </c>
      <c r="Z11" s="243">
        <f t="shared" si="15"/>
        <v>1528.3400309210526</v>
      </c>
      <c r="AA11" s="245">
        <f>$Q$11+(M11/$T$25)</f>
        <v>1945.2597809210527</v>
      </c>
      <c r="AB11" s="243">
        <f t="shared" si="15"/>
        <v>1528.3400309210526</v>
      </c>
      <c r="AC11" s="243">
        <f t="shared" si="15"/>
        <v>1528.3400309210526</v>
      </c>
      <c r="AD11" s="243">
        <f t="shared" si="15"/>
        <v>1528.3400309210526</v>
      </c>
      <c r="AE11" s="243">
        <f t="shared" si="15"/>
        <v>1528.3400309210526</v>
      </c>
      <c r="AF11" s="243">
        <f t="shared" si="15"/>
        <v>1528.3400309210526</v>
      </c>
      <c r="AG11" s="243">
        <f t="shared" si="15"/>
        <v>1528.3400309210526</v>
      </c>
      <c r="AH11" s="244">
        <f>$Q$11+((K11+L11)/$T$25)</f>
        <v>2570.6394059210525</v>
      </c>
      <c r="AI11" s="243">
        <f t="shared" si="15"/>
        <v>1528.3400309210526</v>
      </c>
    </row>
    <row r="12" spans="1:113" ht="26" customHeight="1" x14ac:dyDescent="0.35">
      <c r="A12" s="12"/>
      <c r="B12" s="231" t="s">
        <v>0</v>
      </c>
      <c r="C12" s="231"/>
      <c r="D12" s="297"/>
      <c r="E12" s="237"/>
      <c r="F12" s="220">
        <v>1</v>
      </c>
      <c r="G12" s="238">
        <v>16676.79</v>
      </c>
      <c r="H12" s="239">
        <f t="shared" si="0"/>
        <v>0.8</v>
      </c>
      <c r="I12" s="240">
        <f t="shared" si="3"/>
        <v>30018.222000000002</v>
      </c>
      <c r="K12" s="241">
        <f t="shared" si="4"/>
        <v>16676.79</v>
      </c>
      <c r="L12" s="240">
        <f t="shared" si="5"/>
        <v>4169.1975000000002</v>
      </c>
      <c r="M12" s="240">
        <f t="shared" si="6"/>
        <v>8338.3950000000004</v>
      </c>
      <c r="N12" s="241">
        <v>0</v>
      </c>
      <c r="O12" s="241">
        <f t="shared" si="7"/>
        <v>6582.9434210526324</v>
      </c>
      <c r="P12" s="242">
        <f t="shared" si="8"/>
        <v>1528.3400309210526</v>
      </c>
      <c r="Q12" s="250">
        <f t="shared" si="1"/>
        <v>1528.3400309210526</v>
      </c>
      <c r="R12" s="243">
        <f t="shared" si="9"/>
        <v>30566.800618421054</v>
      </c>
      <c r="S12" s="243">
        <f t="shared" si="10"/>
        <v>30566.800618421054</v>
      </c>
      <c r="T12" s="243">
        <f t="shared" si="11"/>
        <v>35457.488717368418</v>
      </c>
      <c r="V12" s="243">
        <v>0</v>
      </c>
      <c r="W12" s="243">
        <f>$Q$12</f>
        <v>1528.3400309210526</v>
      </c>
      <c r="X12" s="243">
        <f t="shared" ref="X12:AI12" si="16">$Q$12</f>
        <v>1528.3400309210526</v>
      </c>
      <c r="Y12" s="243">
        <f t="shared" si="16"/>
        <v>1528.3400309210526</v>
      </c>
      <c r="Z12" s="243">
        <f t="shared" si="16"/>
        <v>1528.3400309210526</v>
      </c>
      <c r="AA12" s="245">
        <f>$Q$12+(M12/$T$25)</f>
        <v>1945.2597809210527</v>
      </c>
      <c r="AB12" s="243">
        <f t="shared" si="16"/>
        <v>1528.3400309210526</v>
      </c>
      <c r="AC12" s="243">
        <f t="shared" si="16"/>
        <v>1528.3400309210526</v>
      </c>
      <c r="AD12" s="243">
        <f t="shared" si="16"/>
        <v>1528.3400309210526</v>
      </c>
      <c r="AE12" s="243">
        <f t="shared" si="16"/>
        <v>1528.3400309210526</v>
      </c>
      <c r="AF12" s="243">
        <f t="shared" si="16"/>
        <v>1528.3400309210526</v>
      </c>
      <c r="AG12" s="243">
        <f t="shared" si="16"/>
        <v>1528.3400309210526</v>
      </c>
      <c r="AH12" s="244">
        <f>$Q$12+((K12+L12)/$T$25)</f>
        <v>2570.6394059210525</v>
      </c>
      <c r="AI12" s="243">
        <f t="shared" si="16"/>
        <v>1528.3400309210526</v>
      </c>
    </row>
    <row r="13" spans="1:113" ht="26" customHeight="1" x14ac:dyDescent="0.35">
      <c r="A13" s="12"/>
      <c r="B13" s="231" t="s">
        <v>0</v>
      </c>
      <c r="C13" s="231"/>
      <c r="D13" s="297"/>
      <c r="E13" s="237"/>
      <c r="F13" s="220">
        <v>1</v>
      </c>
      <c r="G13" s="238">
        <v>16676.79</v>
      </c>
      <c r="H13" s="239">
        <f t="shared" si="0"/>
        <v>0.8</v>
      </c>
      <c r="I13" s="240">
        <f t="shared" si="3"/>
        <v>30018.222000000002</v>
      </c>
      <c r="K13" s="241">
        <f t="shared" si="4"/>
        <v>16676.79</v>
      </c>
      <c r="L13" s="240">
        <f t="shared" si="5"/>
        <v>4169.1975000000002</v>
      </c>
      <c r="M13" s="240">
        <f t="shared" si="6"/>
        <v>8338.3950000000004</v>
      </c>
      <c r="N13" s="241">
        <v>0</v>
      </c>
      <c r="O13" s="241">
        <f t="shared" si="7"/>
        <v>6582.9434210526324</v>
      </c>
      <c r="P13" s="242">
        <f t="shared" si="8"/>
        <v>1528.3400309210526</v>
      </c>
      <c r="Q13" s="250">
        <f t="shared" si="1"/>
        <v>1528.3400309210526</v>
      </c>
      <c r="R13" s="243">
        <f t="shared" si="9"/>
        <v>30566.800618421054</v>
      </c>
      <c r="S13" s="243">
        <f t="shared" si="10"/>
        <v>30566.800618421054</v>
      </c>
      <c r="T13" s="243">
        <f t="shared" si="11"/>
        <v>35457.488717368418</v>
      </c>
      <c r="V13" s="243">
        <v>0</v>
      </c>
      <c r="W13" s="243">
        <f>$Q$13</f>
        <v>1528.3400309210526</v>
      </c>
      <c r="X13" s="243">
        <f t="shared" ref="X13:AI13" si="17">$Q$13</f>
        <v>1528.3400309210526</v>
      </c>
      <c r="Y13" s="243">
        <f t="shared" si="17"/>
        <v>1528.3400309210526</v>
      </c>
      <c r="Z13" s="243">
        <f t="shared" si="17"/>
        <v>1528.3400309210526</v>
      </c>
      <c r="AA13" s="245">
        <f>$Q$13+(M13/$T$25)</f>
        <v>1945.2597809210527</v>
      </c>
      <c r="AB13" s="243">
        <f t="shared" si="17"/>
        <v>1528.3400309210526</v>
      </c>
      <c r="AC13" s="243">
        <f t="shared" si="17"/>
        <v>1528.3400309210526</v>
      </c>
      <c r="AD13" s="243">
        <f t="shared" si="17"/>
        <v>1528.3400309210526</v>
      </c>
      <c r="AE13" s="243">
        <f t="shared" si="17"/>
        <v>1528.3400309210526</v>
      </c>
      <c r="AF13" s="243">
        <f t="shared" si="17"/>
        <v>1528.3400309210526</v>
      </c>
      <c r="AG13" s="243">
        <f t="shared" si="17"/>
        <v>1528.3400309210526</v>
      </c>
      <c r="AH13" s="244">
        <f>$Q$13+((K13+L13)/$T$25)</f>
        <v>2570.6394059210525</v>
      </c>
      <c r="AI13" s="243">
        <f t="shared" si="17"/>
        <v>1528.3400309210526</v>
      </c>
    </row>
    <row r="14" spans="1:113" ht="26" customHeight="1" x14ac:dyDescent="0.35">
      <c r="A14" s="12"/>
      <c r="B14" s="231" t="s">
        <v>0</v>
      </c>
      <c r="C14" s="231"/>
      <c r="D14" s="297"/>
      <c r="E14" s="237"/>
      <c r="F14" s="220">
        <v>1</v>
      </c>
      <c r="G14" s="238">
        <v>20898.214285714283</v>
      </c>
      <c r="H14" s="239">
        <f t="shared" si="0"/>
        <v>0.8</v>
      </c>
      <c r="I14" s="240">
        <f t="shared" si="3"/>
        <v>37616.78571428571</v>
      </c>
      <c r="K14" s="241">
        <f t="shared" si="4"/>
        <v>20898.214285714283</v>
      </c>
      <c r="L14" s="240">
        <f t="shared" si="5"/>
        <v>5224.5535714285706</v>
      </c>
      <c r="M14" s="240">
        <f t="shared" si="6"/>
        <v>10449.107142857141</v>
      </c>
      <c r="N14" s="241">
        <v>0</v>
      </c>
      <c r="O14" s="241">
        <f t="shared" si="7"/>
        <v>8249.2951127819542</v>
      </c>
      <c r="P14" s="242">
        <f t="shared" si="8"/>
        <v>1915.2113486842104</v>
      </c>
      <c r="Q14" s="250">
        <f t="shared" si="1"/>
        <v>1915.2113486842104</v>
      </c>
      <c r="R14" s="243">
        <f t="shared" si="9"/>
        <v>38304.226973684206</v>
      </c>
      <c r="S14" s="243">
        <f t="shared" si="10"/>
        <v>38304.226973684206</v>
      </c>
      <c r="T14" s="243">
        <f t="shared" si="11"/>
        <v>44432.903289473674</v>
      </c>
      <c r="V14" s="243">
        <v>0</v>
      </c>
      <c r="W14" s="243">
        <f>$Q$14</f>
        <v>1915.2113486842104</v>
      </c>
      <c r="X14" s="243">
        <f t="shared" ref="X14:AI14" si="18">$Q$14</f>
        <v>1915.2113486842104</v>
      </c>
      <c r="Y14" s="243">
        <f t="shared" si="18"/>
        <v>1915.2113486842104</v>
      </c>
      <c r="Z14" s="243">
        <f t="shared" si="18"/>
        <v>1915.2113486842104</v>
      </c>
      <c r="AA14" s="245">
        <f>$Q$14+(M14/$T$25)</f>
        <v>2437.6667058270677</v>
      </c>
      <c r="AB14" s="243">
        <f t="shared" si="18"/>
        <v>1915.2113486842104</v>
      </c>
      <c r="AC14" s="243">
        <f t="shared" si="18"/>
        <v>1915.2113486842104</v>
      </c>
      <c r="AD14" s="243">
        <f t="shared" si="18"/>
        <v>1915.2113486842104</v>
      </c>
      <c r="AE14" s="243">
        <f t="shared" si="18"/>
        <v>1915.2113486842104</v>
      </c>
      <c r="AF14" s="243">
        <f t="shared" si="18"/>
        <v>1915.2113486842104</v>
      </c>
      <c r="AG14" s="243">
        <f t="shared" si="18"/>
        <v>1915.2113486842104</v>
      </c>
      <c r="AH14" s="244">
        <f>$Q$14+((K14+L14)/$T$25)</f>
        <v>3221.3497415413531</v>
      </c>
      <c r="AI14" s="243">
        <f t="shared" si="18"/>
        <v>1915.2113486842104</v>
      </c>
    </row>
    <row r="15" spans="1:113" ht="26" customHeight="1" x14ac:dyDescent="0.35">
      <c r="A15" s="12"/>
      <c r="B15" s="231" t="s">
        <v>0</v>
      </c>
      <c r="C15" s="237"/>
      <c r="D15" s="237"/>
      <c r="E15" s="237"/>
      <c r="F15" s="220">
        <v>0</v>
      </c>
      <c r="G15" s="238">
        <v>20898.21</v>
      </c>
      <c r="H15" s="239">
        <f t="shared" si="0"/>
        <v>0.8</v>
      </c>
      <c r="I15" s="240">
        <f>G15*(1+H15)</f>
        <v>37616.777999999998</v>
      </c>
      <c r="K15" s="241">
        <f t="shared" si="4"/>
        <v>20898.21</v>
      </c>
      <c r="L15" s="240">
        <f t="shared" si="5"/>
        <v>5224.5524999999998</v>
      </c>
      <c r="M15" s="240">
        <f t="shared" si="6"/>
        <v>10449.105</v>
      </c>
      <c r="N15" s="241">
        <v>0</v>
      </c>
      <c r="O15" s="241">
        <f t="shared" si="7"/>
        <v>8249.2934210526309</v>
      </c>
      <c r="P15" s="242">
        <f t="shared" si="8"/>
        <v>0</v>
      </c>
      <c r="Q15" s="250">
        <f t="shared" si="1"/>
        <v>0</v>
      </c>
      <c r="R15" s="243">
        <f t="shared" si="9"/>
        <v>38304.219118421053</v>
      </c>
      <c r="S15" s="243">
        <f t="shared" si="10"/>
        <v>0</v>
      </c>
      <c r="T15" s="243">
        <f t="shared" si="11"/>
        <v>0</v>
      </c>
      <c r="V15" s="243">
        <v>0</v>
      </c>
      <c r="W15" s="243">
        <f>$Q$15</f>
        <v>0</v>
      </c>
      <c r="X15" s="243">
        <f t="shared" ref="X15:AI15" si="19">$Q$15</f>
        <v>0</v>
      </c>
      <c r="Y15" s="243">
        <f t="shared" si="19"/>
        <v>0</v>
      </c>
      <c r="Z15" s="243">
        <f t="shared" si="19"/>
        <v>0</v>
      </c>
      <c r="AA15" s="245">
        <f>$Q$15+(M15/$T$25)</f>
        <v>522.45524999999998</v>
      </c>
      <c r="AB15" s="243">
        <f t="shared" si="19"/>
        <v>0</v>
      </c>
      <c r="AC15" s="243">
        <f t="shared" si="19"/>
        <v>0</v>
      </c>
      <c r="AD15" s="243">
        <f t="shared" si="19"/>
        <v>0</v>
      </c>
      <c r="AE15" s="243">
        <f t="shared" si="19"/>
        <v>0</v>
      </c>
      <c r="AF15" s="243">
        <f t="shared" si="19"/>
        <v>0</v>
      </c>
      <c r="AG15" s="243">
        <f t="shared" si="19"/>
        <v>0</v>
      </c>
      <c r="AH15" s="244">
        <f>$Q$15+((K15+L15)/$T$25)</f>
        <v>1306.1381249999999</v>
      </c>
      <c r="AI15" s="243">
        <f t="shared" si="19"/>
        <v>0</v>
      </c>
    </row>
    <row r="16" spans="1:113" ht="26" customHeight="1" x14ac:dyDescent="0.35">
      <c r="A16" s="12"/>
      <c r="B16" s="231" t="s">
        <v>0</v>
      </c>
      <c r="C16" s="237"/>
      <c r="D16" s="237"/>
      <c r="E16" s="237"/>
      <c r="F16" s="220">
        <v>0</v>
      </c>
      <c r="G16" s="238">
        <v>16676.79</v>
      </c>
      <c r="H16" s="239">
        <f t="shared" si="0"/>
        <v>0.8</v>
      </c>
      <c r="I16" s="240">
        <f>G16*(1+H16)</f>
        <v>30018.222000000002</v>
      </c>
      <c r="K16" s="241">
        <f t="shared" si="4"/>
        <v>16676.79</v>
      </c>
      <c r="L16" s="240">
        <f t="shared" si="5"/>
        <v>4169.1975000000002</v>
      </c>
      <c r="M16" s="240">
        <f t="shared" si="6"/>
        <v>8338.3950000000004</v>
      </c>
      <c r="N16" s="241">
        <v>0</v>
      </c>
      <c r="O16" s="241">
        <f t="shared" si="7"/>
        <v>6582.9434210526324</v>
      </c>
      <c r="P16" s="242">
        <f t="shared" si="8"/>
        <v>0</v>
      </c>
      <c r="Q16" s="250">
        <f t="shared" si="1"/>
        <v>0</v>
      </c>
      <c r="R16" s="243">
        <f t="shared" si="9"/>
        <v>30566.800618421054</v>
      </c>
      <c r="S16" s="243">
        <f t="shared" si="10"/>
        <v>0</v>
      </c>
      <c r="T16" s="243">
        <f t="shared" si="11"/>
        <v>0</v>
      </c>
      <c r="V16" s="243">
        <v>0</v>
      </c>
      <c r="W16" s="243">
        <f>$Q$16</f>
        <v>0</v>
      </c>
      <c r="X16" s="243">
        <f t="shared" ref="X16:AI16" si="20">$Q$16</f>
        <v>0</v>
      </c>
      <c r="Y16" s="243">
        <f t="shared" si="20"/>
        <v>0</v>
      </c>
      <c r="Z16" s="243">
        <f t="shared" si="20"/>
        <v>0</v>
      </c>
      <c r="AA16" s="245">
        <f>$Q$16+(M16/$T$25)</f>
        <v>416.91975000000002</v>
      </c>
      <c r="AB16" s="243">
        <f t="shared" si="20"/>
        <v>0</v>
      </c>
      <c r="AC16" s="243">
        <f t="shared" si="20"/>
        <v>0</v>
      </c>
      <c r="AD16" s="243">
        <f t="shared" si="20"/>
        <v>0</v>
      </c>
      <c r="AE16" s="243">
        <f t="shared" si="20"/>
        <v>0</v>
      </c>
      <c r="AF16" s="243">
        <f t="shared" si="20"/>
        <v>0</v>
      </c>
      <c r="AG16" s="243">
        <f t="shared" si="20"/>
        <v>0</v>
      </c>
      <c r="AH16" s="244">
        <f>$Q$16+((K16+L16)/$T$25)</f>
        <v>1042.2993750000001</v>
      </c>
      <c r="AI16" s="243">
        <f t="shared" si="20"/>
        <v>0</v>
      </c>
    </row>
    <row r="17" spans="1:35" ht="26" customHeight="1" x14ac:dyDescent="0.35">
      <c r="A17" s="12"/>
      <c r="B17" s="231" t="s">
        <v>0</v>
      </c>
      <c r="C17" s="237"/>
      <c r="D17" s="237"/>
      <c r="E17" s="237"/>
      <c r="F17" s="220">
        <v>0</v>
      </c>
      <c r="G17" s="238">
        <v>0</v>
      </c>
      <c r="H17" s="239">
        <f t="shared" si="0"/>
        <v>0.8</v>
      </c>
      <c r="I17" s="240">
        <f>G17*(1+H17)</f>
        <v>0</v>
      </c>
      <c r="K17" s="241">
        <f t="shared" si="4"/>
        <v>0</v>
      </c>
      <c r="L17" s="240">
        <f t="shared" si="5"/>
        <v>0</v>
      </c>
      <c r="M17" s="240">
        <f t="shared" si="6"/>
        <v>0</v>
      </c>
      <c r="N17" s="241">
        <v>0</v>
      </c>
      <c r="O17" s="241">
        <f t="shared" si="7"/>
        <v>0</v>
      </c>
      <c r="P17" s="242">
        <f t="shared" si="8"/>
        <v>0</v>
      </c>
      <c r="Q17" s="250">
        <f t="shared" si="1"/>
        <v>0</v>
      </c>
      <c r="R17" s="243">
        <f t="shared" si="9"/>
        <v>0</v>
      </c>
      <c r="S17" s="243">
        <f t="shared" si="10"/>
        <v>0</v>
      </c>
      <c r="T17" s="243">
        <f t="shared" si="11"/>
        <v>0</v>
      </c>
      <c r="V17" s="243">
        <v>0</v>
      </c>
      <c r="W17" s="243">
        <f>$Q$17</f>
        <v>0</v>
      </c>
      <c r="X17" s="243">
        <f t="shared" ref="X17:AI17" si="21">$Q$17</f>
        <v>0</v>
      </c>
      <c r="Y17" s="243">
        <f t="shared" si="21"/>
        <v>0</v>
      </c>
      <c r="Z17" s="243">
        <f t="shared" si="21"/>
        <v>0</v>
      </c>
      <c r="AA17" s="245">
        <f>$Q$17+(M17/$T$25)</f>
        <v>0</v>
      </c>
      <c r="AB17" s="243">
        <f t="shared" si="21"/>
        <v>0</v>
      </c>
      <c r="AC17" s="243">
        <f t="shared" si="21"/>
        <v>0</v>
      </c>
      <c r="AD17" s="243">
        <f t="shared" si="21"/>
        <v>0</v>
      </c>
      <c r="AE17" s="243">
        <f t="shared" si="21"/>
        <v>0</v>
      </c>
      <c r="AF17" s="243">
        <f t="shared" si="21"/>
        <v>0</v>
      </c>
      <c r="AG17" s="243">
        <f t="shared" si="21"/>
        <v>0</v>
      </c>
      <c r="AH17" s="244">
        <f>$Q$17+((K17+L17)/$T$25)</f>
        <v>0</v>
      </c>
      <c r="AI17" s="243">
        <f t="shared" si="21"/>
        <v>0</v>
      </c>
    </row>
    <row r="19" spans="1:35" ht="26" customHeight="1" x14ac:dyDescent="0.35">
      <c r="B19" s="340" t="s">
        <v>415</v>
      </c>
      <c r="C19" s="340"/>
      <c r="D19" s="340"/>
      <c r="E19" s="340"/>
      <c r="F19" s="340"/>
      <c r="S19" s="325" t="s">
        <v>402</v>
      </c>
      <c r="T19" s="326"/>
      <c r="U19" s="95"/>
      <c r="V19" s="210">
        <f>SUM(V13:V17)</f>
        <v>0</v>
      </c>
      <c r="W19" s="210">
        <f>SUM(W7:W17)</f>
        <v>16104.272559868417</v>
      </c>
      <c r="X19" s="210">
        <f t="shared" ref="X19:AI19" si="22">SUM(X7:X17)</f>
        <v>16104.272559868417</v>
      </c>
      <c r="Y19" s="210">
        <f t="shared" si="22"/>
        <v>16104.272559868417</v>
      </c>
      <c r="Z19" s="210">
        <f t="shared" si="22"/>
        <v>16104.272559868417</v>
      </c>
      <c r="AA19" s="210">
        <f t="shared" si="22"/>
        <v>21436.772881296994</v>
      </c>
      <c r="AB19" s="210">
        <f t="shared" si="22"/>
        <v>16104.272559868417</v>
      </c>
      <c r="AC19" s="210">
        <f t="shared" si="22"/>
        <v>16104.272559868417</v>
      </c>
      <c r="AD19" s="210">
        <f t="shared" si="22"/>
        <v>16104.272559868417</v>
      </c>
      <c r="AE19" s="210">
        <f t="shared" si="22"/>
        <v>16104.272559868417</v>
      </c>
      <c r="AF19" s="210">
        <f t="shared" si="22"/>
        <v>16104.272559868417</v>
      </c>
      <c r="AG19" s="210">
        <f t="shared" si="22"/>
        <v>16104.272559868417</v>
      </c>
      <c r="AH19" s="210">
        <f t="shared" si="22"/>
        <v>29435.523363439846</v>
      </c>
      <c r="AI19" s="210">
        <f t="shared" si="22"/>
        <v>16104.272559868417</v>
      </c>
    </row>
    <row r="20" spans="1:35" ht="26" customHeight="1" x14ac:dyDescent="0.35">
      <c r="B20" s="338" t="s">
        <v>416</v>
      </c>
      <c r="C20" s="338" t="s">
        <v>417</v>
      </c>
      <c r="D20" s="338" t="s">
        <v>418</v>
      </c>
      <c r="E20" s="338"/>
      <c r="F20" s="339" t="s">
        <v>419</v>
      </c>
      <c r="S20" s="327" t="s">
        <v>397</v>
      </c>
      <c r="T20" s="328"/>
      <c r="U20" s="95"/>
      <c r="V20" s="211">
        <f>V19*$T$25</f>
        <v>0</v>
      </c>
      <c r="W20" s="211">
        <f t="shared" ref="W20:AI20" si="23">W19*$T$25</f>
        <v>322085.45119736833</v>
      </c>
      <c r="X20" s="211">
        <f t="shared" si="23"/>
        <v>322085.45119736833</v>
      </c>
      <c r="Y20" s="211">
        <f t="shared" si="23"/>
        <v>322085.45119736833</v>
      </c>
      <c r="Z20" s="211">
        <f t="shared" si="23"/>
        <v>322085.45119736833</v>
      </c>
      <c r="AA20" s="211">
        <f t="shared" si="23"/>
        <v>428735.45762593986</v>
      </c>
      <c r="AB20" s="211">
        <f t="shared" si="23"/>
        <v>322085.45119736833</v>
      </c>
      <c r="AC20" s="211">
        <f t="shared" si="23"/>
        <v>322085.45119736833</v>
      </c>
      <c r="AD20" s="211">
        <f t="shared" si="23"/>
        <v>322085.45119736833</v>
      </c>
      <c r="AE20" s="211">
        <f t="shared" si="23"/>
        <v>322085.45119736833</v>
      </c>
      <c r="AF20" s="211">
        <f t="shared" si="23"/>
        <v>322085.45119736833</v>
      </c>
      <c r="AG20" s="211">
        <f t="shared" si="23"/>
        <v>322085.45119736833</v>
      </c>
      <c r="AH20" s="211">
        <f t="shared" si="23"/>
        <v>588710.46726879687</v>
      </c>
      <c r="AI20" s="211">
        <f t="shared" si="23"/>
        <v>322085.45119736833</v>
      </c>
    </row>
    <row r="21" spans="1:35" ht="26" customHeight="1" x14ac:dyDescent="0.35">
      <c r="B21" s="338"/>
      <c r="C21" s="338"/>
      <c r="D21" s="289" t="s">
        <v>420</v>
      </c>
      <c r="E21" s="289" t="s">
        <v>421</v>
      </c>
      <c r="F21" s="339"/>
      <c r="S21" s="325" t="s">
        <v>403</v>
      </c>
      <c r="T21" s="326"/>
      <c r="U21" s="95"/>
      <c r="V21" s="210">
        <f>SUM(V19:AI19)</f>
        <v>228019.29440328939</v>
      </c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</row>
    <row r="22" spans="1:35" ht="26" customHeight="1" x14ac:dyDescent="0.35">
      <c r="B22" s="290" t="s">
        <v>422</v>
      </c>
      <c r="C22" s="291">
        <v>17000</v>
      </c>
      <c r="D22" s="291">
        <v>325</v>
      </c>
      <c r="E22" s="291">
        <f>D22*20.5</f>
        <v>6662.5</v>
      </c>
      <c r="F22" s="291">
        <f>((C22/28)*30.4)+E22</f>
        <v>25119.642857142855</v>
      </c>
      <c r="S22" s="327" t="s">
        <v>256</v>
      </c>
      <c r="T22" s="328"/>
      <c r="U22" s="95"/>
      <c r="V22" s="226">
        <f>SUM(V20:AI20)</f>
        <v>4560385.888065787</v>
      </c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</row>
    <row r="23" spans="1:35" ht="26" customHeight="1" x14ac:dyDescent="0.35">
      <c r="B23" s="290" t="s">
        <v>423</v>
      </c>
      <c r="C23" s="291">
        <v>15000</v>
      </c>
      <c r="D23" s="291">
        <v>225</v>
      </c>
      <c r="E23" s="291">
        <f>D23*20.5</f>
        <v>4612.5</v>
      </c>
      <c r="F23" s="291">
        <f t="shared" ref="F23:F29" si="24">((C23/28)*30.4)+E23</f>
        <v>20898.214285714283</v>
      </c>
    </row>
    <row r="24" spans="1:35" ht="26" customHeight="1" x14ac:dyDescent="0.35">
      <c r="B24" s="290" t="s">
        <v>424</v>
      </c>
      <c r="C24" s="291">
        <v>13000</v>
      </c>
      <c r="D24" s="291">
        <v>125</v>
      </c>
      <c r="E24" s="291">
        <f>D24*20.5</f>
        <v>2562.5</v>
      </c>
      <c r="F24" s="291">
        <f t="shared" si="24"/>
        <v>16676.785714285714</v>
      </c>
      <c r="S24" s="300" t="str">
        <f>'F00 INVERSIÓN'!I45</f>
        <v>PREMISAS</v>
      </c>
      <c r="T24" s="301"/>
    </row>
    <row r="25" spans="1:35" ht="26" customHeight="1" x14ac:dyDescent="0.35">
      <c r="B25" s="290" t="s">
        <v>425</v>
      </c>
      <c r="C25" s="291">
        <v>11200</v>
      </c>
      <c r="D25" s="291">
        <v>125</v>
      </c>
      <c r="E25" s="291">
        <f t="shared" ref="E25:E26" si="25">D25*20.5</f>
        <v>2562.5</v>
      </c>
      <c r="F25" s="291">
        <f t="shared" si="24"/>
        <v>14722.5</v>
      </c>
      <c r="S25" s="212" t="str">
        <f>'F00 INVERSIÓN'!I46</f>
        <v>PARIDAD</v>
      </c>
      <c r="T25" s="198">
        <f>'F00 INVERSIÓN'!J46</f>
        <v>20</v>
      </c>
    </row>
    <row r="26" spans="1:35" ht="26" customHeight="1" x14ac:dyDescent="0.35">
      <c r="B26" s="290"/>
      <c r="C26" s="291"/>
      <c r="D26" s="290"/>
      <c r="E26" s="291">
        <f t="shared" si="25"/>
        <v>0</v>
      </c>
      <c r="F26" s="291">
        <f t="shared" si="24"/>
        <v>0</v>
      </c>
      <c r="S26" s="213" t="str">
        <f>'F00 INVERSIÓN'!I47</f>
        <v xml:space="preserve">MES </v>
      </c>
      <c r="T26" s="199">
        <f>'F00 INVERSIÓN'!J47</f>
        <v>30.4</v>
      </c>
    </row>
    <row r="27" spans="1:35" ht="26" customHeight="1" x14ac:dyDescent="0.35">
      <c r="B27" s="290" t="s">
        <v>426</v>
      </c>
      <c r="C27" s="291">
        <v>21000</v>
      </c>
      <c r="D27" s="291">
        <v>500</v>
      </c>
      <c r="E27" s="291">
        <f>D27*21.7</f>
        <v>10850</v>
      </c>
      <c r="F27" s="291">
        <f t="shared" si="24"/>
        <v>33650</v>
      </c>
      <c r="S27" s="214" t="str">
        <f>'F00 INVERSIÓN'!I48</f>
        <v>CRÉDITO</v>
      </c>
      <c r="T27" s="200">
        <f>'F00 INVERSIÓN'!J48</f>
        <v>45</v>
      </c>
    </row>
    <row r="28" spans="1:35" ht="26" customHeight="1" x14ac:dyDescent="0.35">
      <c r="B28" s="290" t="s">
        <v>427</v>
      </c>
      <c r="C28" s="291">
        <v>20000</v>
      </c>
      <c r="D28" s="291">
        <v>450</v>
      </c>
      <c r="E28" s="291">
        <f>D28*21.7</f>
        <v>9765</v>
      </c>
      <c r="F28" s="291">
        <f t="shared" si="24"/>
        <v>31479.285714285714</v>
      </c>
      <c r="S28" s="215" t="str">
        <f>'F00 INVERSIÓN'!I49</f>
        <v>GAS LP</v>
      </c>
      <c r="T28" s="201">
        <f>'F00 INVERSIÓN'!J49</f>
        <v>10.5</v>
      </c>
    </row>
    <row r="29" spans="1:35" ht="26" customHeight="1" x14ac:dyDescent="0.35">
      <c r="B29" s="290" t="s">
        <v>428</v>
      </c>
      <c r="C29" s="291">
        <v>19000</v>
      </c>
      <c r="D29" s="291">
        <v>400</v>
      </c>
      <c r="E29" s="291">
        <f>D29*21.7</f>
        <v>8680</v>
      </c>
      <c r="F29" s="291">
        <f t="shared" si="24"/>
        <v>29308.571428571428</v>
      </c>
      <c r="S29" s="216" t="str">
        <f>'F00 INVERSIÓN'!I50</f>
        <v>GASOLINA</v>
      </c>
      <c r="T29" s="202">
        <f>'F00 INVERSIÓN'!J50</f>
        <v>22</v>
      </c>
      <c r="U29" s="10"/>
    </row>
    <row r="30" spans="1:35" ht="26" customHeight="1" x14ac:dyDescent="0.35">
      <c r="B30"/>
      <c r="C30"/>
      <c r="D30"/>
      <c r="E30"/>
      <c r="F30"/>
      <c r="S30" s="217" t="str">
        <f>'F00 INVERSIÓN'!I51</f>
        <v>DIESEL</v>
      </c>
      <c r="T30" s="198">
        <f>'F00 INVERSIÓN'!J51</f>
        <v>23</v>
      </c>
      <c r="U30" s="10"/>
    </row>
    <row r="31" spans="1:35" ht="26" customHeight="1" x14ac:dyDescent="0.35">
      <c r="S31" s="329" t="s">
        <v>345</v>
      </c>
      <c r="T31" s="330"/>
      <c r="U31" s="10"/>
    </row>
    <row r="32" spans="1:35" ht="26" customHeight="1" thickBot="1" x14ac:dyDescent="0.4">
      <c r="S32" s="331"/>
      <c r="T32" s="332"/>
      <c r="U32" s="10"/>
    </row>
    <row r="33" spans="19:22" ht="26" customHeight="1" x14ac:dyDescent="0.35">
      <c r="S33" s="246" t="s">
        <v>324</v>
      </c>
      <c r="T33" s="247">
        <v>0.8</v>
      </c>
    </row>
    <row r="34" spans="19:22" ht="26" customHeight="1" x14ac:dyDescent="0.35">
      <c r="S34" s="248" t="s">
        <v>353</v>
      </c>
    </row>
    <row r="35" spans="19:22" ht="26" customHeight="1" x14ac:dyDescent="0.35">
      <c r="S35" s="249" t="s">
        <v>48</v>
      </c>
    </row>
    <row r="40" spans="19:22" ht="26" customHeight="1" x14ac:dyDescent="0.35">
      <c r="V40" s="10"/>
    </row>
  </sheetData>
  <mergeCells count="30">
    <mergeCell ref="T4:T5"/>
    <mergeCell ref="O4:O6"/>
    <mergeCell ref="B2:C2"/>
    <mergeCell ref="P4:P6"/>
    <mergeCell ref="Q4:Q6"/>
    <mergeCell ref="R4:R6"/>
    <mergeCell ref="S4:S6"/>
    <mergeCell ref="K4:K6"/>
    <mergeCell ref="L4:L6"/>
    <mergeCell ref="M4:M6"/>
    <mergeCell ref="N4:N6"/>
    <mergeCell ref="B4:B6"/>
    <mergeCell ref="I4:I6"/>
    <mergeCell ref="H4:H6"/>
    <mergeCell ref="G4:G6"/>
    <mergeCell ref="S24:T24"/>
    <mergeCell ref="S31:T32"/>
    <mergeCell ref="S19:T19"/>
    <mergeCell ref="S20:T20"/>
    <mergeCell ref="S21:T21"/>
    <mergeCell ref="S22:T22"/>
    <mergeCell ref="C20:C21"/>
    <mergeCell ref="D20:E20"/>
    <mergeCell ref="F20:F21"/>
    <mergeCell ref="F4:F6"/>
    <mergeCell ref="E4:E6"/>
    <mergeCell ref="D4:D6"/>
    <mergeCell ref="B19:F19"/>
    <mergeCell ref="B20:B21"/>
    <mergeCell ref="C4:C6"/>
  </mergeCells>
  <phoneticPr fontId="8" type="noConversion"/>
  <hyperlinks>
    <hyperlink ref="S31" r:id="rId1" xr:uid="{5CE7D27F-6B57-9E4F-A1EA-8BB89D22DB16}"/>
  </hyperlinks>
  <printOptions horizontalCentered="1"/>
  <pageMargins left="0.25" right="0.25" top="0.75" bottom="0.75" header="0.3" footer="0.3"/>
  <pageSetup paperSize="3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Z46"/>
  <sheetViews>
    <sheetView zoomScale="90" zoomScaleNormal="90" workbookViewId="0">
      <pane xSplit="11" ySplit="6" topLeftCell="L11" activePane="bottomRight" state="frozen"/>
      <selection pane="topRight" activeCell="L1" sqref="L1"/>
      <selection pane="bottomLeft" activeCell="A8" sqref="A8"/>
      <selection pane="bottomRight" activeCell="C7" sqref="C7:D17"/>
    </sheetView>
  </sheetViews>
  <sheetFormatPr baseColWidth="10" defaultColWidth="10.5" defaultRowHeight="28" customHeight="1" x14ac:dyDescent="0.35"/>
  <cols>
    <col min="1" max="1" width="3.1640625" style="2" customWidth="1"/>
    <col min="2" max="2" width="36" style="2" bestFit="1" customWidth="1"/>
    <col min="3" max="3" width="31.6640625" style="2" bestFit="1" customWidth="1"/>
    <col min="4" max="4" width="23" style="2" bestFit="1" customWidth="1"/>
    <col min="5" max="5" width="9.33203125" style="2" bestFit="1" customWidth="1"/>
    <col min="6" max="6" width="11.83203125" style="2" bestFit="1" customWidth="1"/>
    <col min="7" max="7" width="18.5" style="2" customWidth="1"/>
    <col min="8" max="8" width="13.6640625" style="2" bestFit="1" customWidth="1"/>
    <col min="9" max="9" width="20.1640625" style="2" bestFit="1" customWidth="1"/>
    <col min="10" max="11" width="15.33203125" style="2" customWidth="1"/>
    <col min="12" max="12" width="1.33203125" style="2" customWidth="1"/>
    <col min="13" max="13" width="16.33203125" style="2" bestFit="1" customWidth="1"/>
    <col min="14" max="26" width="15" style="2" bestFit="1" customWidth="1"/>
    <col min="27" max="16384" width="10.5" style="2"/>
  </cols>
  <sheetData>
    <row r="1" spans="1:104" ht="28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8" customHeight="1" x14ac:dyDescent="0.35">
      <c r="A2" s="12"/>
      <c r="B2" s="323" t="s">
        <v>279</v>
      </c>
      <c r="C2" s="32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8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104" ht="28" customHeight="1" x14ac:dyDescent="0.35">
      <c r="A4" s="12"/>
      <c r="B4" s="345" t="s">
        <v>263</v>
      </c>
      <c r="C4" s="324" t="s">
        <v>1</v>
      </c>
      <c r="D4" s="324" t="s">
        <v>19</v>
      </c>
      <c r="E4" s="324" t="s">
        <v>23</v>
      </c>
      <c r="F4" s="324" t="s">
        <v>2</v>
      </c>
      <c r="G4" s="324" t="s">
        <v>239</v>
      </c>
      <c r="H4" s="324" t="s">
        <v>344</v>
      </c>
      <c r="I4" s="324" t="s">
        <v>240</v>
      </c>
      <c r="J4" s="324" t="s">
        <v>256</v>
      </c>
      <c r="K4" s="333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4" ht="28" customHeight="1" x14ac:dyDescent="0.35">
      <c r="A5" s="12"/>
      <c r="B5" s="324"/>
      <c r="C5" s="324"/>
      <c r="D5" s="324"/>
      <c r="E5" s="324"/>
      <c r="F5" s="324"/>
      <c r="G5" s="324"/>
      <c r="H5" s="324" t="s">
        <v>344</v>
      </c>
      <c r="I5" s="324" t="s">
        <v>240</v>
      </c>
      <c r="J5" s="324" t="s">
        <v>256</v>
      </c>
      <c r="K5" s="333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4" ht="28" customHeight="1" x14ac:dyDescent="0.35">
      <c r="A6" s="12"/>
      <c r="B6" s="324"/>
      <c r="C6" s="324"/>
      <c r="D6" s="324"/>
      <c r="E6" s="324"/>
      <c r="F6" s="324"/>
      <c r="G6" s="324"/>
      <c r="H6" s="324" t="s">
        <v>242</v>
      </c>
      <c r="I6" s="324" t="s">
        <v>243</v>
      </c>
      <c r="J6" s="324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4" ht="28" customHeight="1" x14ac:dyDescent="0.35">
      <c r="A7" s="12"/>
      <c r="B7" s="231" t="s">
        <v>114</v>
      </c>
      <c r="C7" s="237"/>
      <c r="D7" s="237"/>
      <c r="E7" s="237"/>
      <c r="F7" s="220">
        <v>1</v>
      </c>
      <c r="G7" s="238">
        <f>J7/$K$25</f>
        <v>30</v>
      </c>
      <c r="H7" s="250">
        <f>F7*G7</f>
        <v>30</v>
      </c>
      <c r="I7" s="243">
        <v>600</v>
      </c>
      <c r="J7" s="243">
        <f>I7*F7</f>
        <v>600</v>
      </c>
      <c r="K7" s="243">
        <f>J7*1.16</f>
        <v>696</v>
      </c>
      <c r="M7" s="243">
        <v>0</v>
      </c>
      <c r="N7" s="243">
        <f>$H$7</f>
        <v>30</v>
      </c>
      <c r="O7" s="243">
        <f t="shared" ref="O7:Z7" si="0">$H$7</f>
        <v>30</v>
      </c>
      <c r="P7" s="243">
        <f t="shared" si="0"/>
        <v>30</v>
      </c>
      <c r="Q7" s="243">
        <f t="shared" si="0"/>
        <v>30</v>
      </c>
      <c r="R7" s="243">
        <f t="shared" si="0"/>
        <v>30</v>
      </c>
      <c r="S7" s="243">
        <f t="shared" si="0"/>
        <v>30</v>
      </c>
      <c r="T7" s="243">
        <f t="shared" si="0"/>
        <v>30</v>
      </c>
      <c r="U7" s="243">
        <f t="shared" si="0"/>
        <v>30</v>
      </c>
      <c r="V7" s="243">
        <f t="shared" si="0"/>
        <v>30</v>
      </c>
      <c r="W7" s="243">
        <f t="shared" si="0"/>
        <v>30</v>
      </c>
      <c r="X7" s="243">
        <f t="shared" si="0"/>
        <v>30</v>
      </c>
      <c r="Y7" s="243">
        <f t="shared" si="0"/>
        <v>30</v>
      </c>
      <c r="Z7" s="243">
        <f t="shared" si="0"/>
        <v>30</v>
      </c>
    </row>
    <row r="8" spans="1:104" ht="28" customHeight="1" x14ac:dyDescent="0.35">
      <c r="A8" s="12"/>
      <c r="B8" s="231" t="s">
        <v>114</v>
      </c>
      <c r="C8" s="231"/>
      <c r="D8" s="297"/>
      <c r="E8" s="237"/>
      <c r="F8" s="220">
        <v>1</v>
      </c>
      <c r="G8" s="238">
        <f t="shared" ref="G8:G17" si="1">J8/$K$25</f>
        <v>30</v>
      </c>
      <c r="H8" s="250">
        <f t="shared" ref="H8:H17" si="2">F8*G8</f>
        <v>30</v>
      </c>
      <c r="I8" s="243">
        <v>600</v>
      </c>
      <c r="J8" s="243">
        <f t="shared" ref="J8:J17" si="3">I8*F8</f>
        <v>600</v>
      </c>
      <c r="K8" s="243">
        <f t="shared" ref="K8:K17" si="4">J8*1.16</f>
        <v>696</v>
      </c>
      <c r="M8" s="243">
        <v>0</v>
      </c>
      <c r="N8" s="243">
        <f>$H$8</f>
        <v>30</v>
      </c>
      <c r="O8" s="243">
        <f t="shared" ref="O8:Z8" si="5">$H$8</f>
        <v>30</v>
      </c>
      <c r="P8" s="243">
        <f t="shared" si="5"/>
        <v>30</v>
      </c>
      <c r="Q8" s="243">
        <f t="shared" si="5"/>
        <v>30</v>
      </c>
      <c r="R8" s="243">
        <f t="shared" si="5"/>
        <v>30</v>
      </c>
      <c r="S8" s="243">
        <f t="shared" si="5"/>
        <v>30</v>
      </c>
      <c r="T8" s="243">
        <f t="shared" si="5"/>
        <v>30</v>
      </c>
      <c r="U8" s="243">
        <f t="shared" si="5"/>
        <v>30</v>
      </c>
      <c r="V8" s="243">
        <f t="shared" si="5"/>
        <v>30</v>
      </c>
      <c r="W8" s="243">
        <f t="shared" si="5"/>
        <v>30</v>
      </c>
      <c r="X8" s="243">
        <f t="shared" si="5"/>
        <v>30</v>
      </c>
      <c r="Y8" s="243">
        <f t="shared" si="5"/>
        <v>30</v>
      </c>
      <c r="Z8" s="243">
        <f t="shared" si="5"/>
        <v>30</v>
      </c>
    </row>
    <row r="9" spans="1:104" ht="28" customHeight="1" x14ac:dyDescent="0.35">
      <c r="A9" s="12"/>
      <c r="B9" s="231" t="s">
        <v>114</v>
      </c>
      <c r="C9" s="231"/>
      <c r="D9" s="297"/>
      <c r="E9" s="237"/>
      <c r="F9" s="220">
        <v>1</v>
      </c>
      <c r="G9" s="238">
        <f t="shared" si="1"/>
        <v>45</v>
      </c>
      <c r="H9" s="250">
        <f t="shared" si="2"/>
        <v>45</v>
      </c>
      <c r="I9" s="243">
        <v>900</v>
      </c>
      <c r="J9" s="243">
        <f t="shared" si="3"/>
        <v>900</v>
      </c>
      <c r="K9" s="243">
        <f t="shared" si="4"/>
        <v>1044</v>
      </c>
      <c r="M9" s="243">
        <v>0</v>
      </c>
      <c r="N9" s="243">
        <f>$H$9</f>
        <v>45</v>
      </c>
      <c r="O9" s="243">
        <f t="shared" ref="O9:Z9" si="6">$H$9</f>
        <v>45</v>
      </c>
      <c r="P9" s="243">
        <f t="shared" si="6"/>
        <v>45</v>
      </c>
      <c r="Q9" s="243">
        <f t="shared" si="6"/>
        <v>45</v>
      </c>
      <c r="R9" s="243">
        <f t="shared" si="6"/>
        <v>45</v>
      </c>
      <c r="S9" s="243">
        <f t="shared" si="6"/>
        <v>45</v>
      </c>
      <c r="T9" s="243">
        <f t="shared" si="6"/>
        <v>45</v>
      </c>
      <c r="U9" s="243">
        <f t="shared" si="6"/>
        <v>45</v>
      </c>
      <c r="V9" s="243">
        <f t="shared" si="6"/>
        <v>45</v>
      </c>
      <c r="W9" s="243">
        <f t="shared" si="6"/>
        <v>45</v>
      </c>
      <c r="X9" s="243">
        <f t="shared" si="6"/>
        <v>45</v>
      </c>
      <c r="Y9" s="243">
        <f t="shared" si="6"/>
        <v>45</v>
      </c>
      <c r="Z9" s="243">
        <f t="shared" si="6"/>
        <v>45</v>
      </c>
    </row>
    <row r="10" spans="1:104" ht="28" customHeight="1" x14ac:dyDescent="0.35">
      <c r="A10" s="12"/>
      <c r="B10" s="231" t="s">
        <v>114</v>
      </c>
      <c r="C10" s="231"/>
      <c r="D10" s="297"/>
      <c r="E10" s="237"/>
      <c r="F10" s="220">
        <v>1</v>
      </c>
      <c r="G10" s="238">
        <f t="shared" si="1"/>
        <v>45</v>
      </c>
      <c r="H10" s="250">
        <f t="shared" si="2"/>
        <v>45</v>
      </c>
      <c r="I10" s="243">
        <v>900</v>
      </c>
      <c r="J10" s="243">
        <f t="shared" si="3"/>
        <v>900</v>
      </c>
      <c r="K10" s="243">
        <f t="shared" si="4"/>
        <v>1044</v>
      </c>
      <c r="M10" s="243">
        <v>0</v>
      </c>
      <c r="N10" s="243">
        <f>$H$10</f>
        <v>45</v>
      </c>
      <c r="O10" s="243">
        <f t="shared" ref="O10:Z10" si="7">$H$10</f>
        <v>45</v>
      </c>
      <c r="P10" s="243">
        <f t="shared" si="7"/>
        <v>45</v>
      </c>
      <c r="Q10" s="243">
        <f t="shared" si="7"/>
        <v>45</v>
      </c>
      <c r="R10" s="243">
        <f t="shared" si="7"/>
        <v>45</v>
      </c>
      <c r="S10" s="243">
        <f t="shared" si="7"/>
        <v>45</v>
      </c>
      <c r="T10" s="243">
        <f t="shared" si="7"/>
        <v>45</v>
      </c>
      <c r="U10" s="243">
        <f t="shared" si="7"/>
        <v>45</v>
      </c>
      <c r="V10" s="243">
        <f t="shared" si="7"/>
        <v>45</v>
      </c>
      <c r="W10" s="243">
        <f t="shared" si="7"/>
        <v>45</v>
      </c>
      <c r="X10" s="243">
        <f t="shared" si="7"/>
        <v>45</v>
      </c>
      <c r="Y10" s="243">
        <f t="shared" si="7"/>
        <v>45</v>
      </c>
      <c r="Z10" s="243">
        <f t="shared" si="7"/>
        <v>45</v>
      </c>
    </row>
    <row r="11" spans="1:104" ht="28" customHeight="1" x14ac:dyDescent="0.35">
      <c r="A11" s="12"/>
      <c r="B11" s="231" t="s">
        <v>114</v>
      </c>
      <c r="C11" s="231"/>
      <c r="D11" s="297"/>
      <c r="E11" s="237"/>
      <c r="F11" s="220">
        <v>1</v>
      </c>
      <c r="G11" s="238">
        <f t="shared" si="1"/>
        <v>45</v>
      </c>
      <c r="H11" s="250">
        <f t="shared" si="2"/>
        <v>45</v>
      </c>
      <c r="I11" s="243">
        <v>900</v>
      </c>
      <c r="J11" s="243">
        <f t="shared" si="3"/>
        <v>900</v>
      </c>
      <c r="K11" s="243">
        <f t="shared" si="4"/>
        <v>1044</v>
      </c>
      <c r="M11" s="243">
        <v>0</v>
      </c>
      <c r="N11" s="243">
        <f>$H$11</f>
        <v>45</v>
      </c>
      <c r="O11" s="243">
        <f t="shared" ref="O11:Z11" si="8">$H$11</f>
        <v>45</v>
      </c>
      <c r="P11" s="243">
        <f t="shared" si="8"/>
        <v>45</v>
      </c>
      <c r="Q11" s="243">
        <f t="shared" si="8"/>
        <v>45</v>
      </c>
      <c r="R11" s="243">
        <f t="shared" si="8"/>
        <v>45</v>
      </c>
      <c r="S11" s="243">
        <f t="shared" si="8"/>
        <v>45</v>
      </c>
      <c r="T11" s="243">
        <f t="shared" si="8"/>
        <v>45</v>
      </c>
      <c r="U11" s="243">
        <f t="shared" si="8"/>
        <v>45</v>
      </c>
      <c r="V11" s="243">
        <f t="shared" si="8"/>
        <v>45</v>
      </c>
      <c r="W11" s="243">
        <f t="shared" si="8"/>
        <v>45</v>
      </c>
      <c r="X11" s="243">
        <f t="shared" si="8"/>
        <v>45</v>
      </c>
      <c r="Y11" s="243">
        <f t="shared" si="8"/>
        <v>45</v>
      </c>
      <c r="Z11" s="243">
        <f t="shared" si="8"/>
        <v>45</v>
      </c>
    </row>
    <row r="12" spans="1:104" ht="28" customHeight="1" x14ac:dyDescent="0.35">
      <c r="A12" s="12"/>
      <c r="B12" s="231" t="s">
        <v>114</v>
      </c>
      <c r="C12" s="231"/>
      <c r="D12" s="297"/>
      <c r="E12" s="237"/>
      <c r="F12" s="220">
        <v>1</v>
      </c>
      <c r="G12" s="238">
        <f t="shared" si="1"/>
        <v>45</v>
      </c>
      <c r="H12" s="250">
        <f t="shared" si="2"/>
        <v>45</v>
      </c>
      <c r="I12" s="243">
        <v>900</v>
      </c>
      <c r="J12" s="243">
        <f t="shared" si="3"/>
        <v>900</v>
      </c>
      <c r="K12" s="243">
        <f t="shared" si="4"/>
        <v>1044</v>
      </c>
      <c r="M12" s="243">
        <v>0</v>
      </c>
      <c r="N12" s="243">
        <f>$H$12</f>
        <v>45</v>
      </c>
      <c r="O12" s="243">
        <f t="shared" ref="O12:Z12" si="9">$H$12</f>
        <v>45</v>
      </c>
      <c r="P12" s="243">
        <f t="shared" si="9"/>
        <v>45</v>
      </c>
      <c r="Q12" s="243">
        <f t="shared" si="9"/>
        <v>45</v>
      </c>
      <c r="R12" s="243">
        <f t="shared" si="9"/>
        <v>45</v>
      </c>
      <c r="S12" s="243">
        <f t="shared" si="9"/>
        <v>45</v>
      </c>
      <c r="T12" s="243">
        <f t="shared" si="9"/>
        <v>45</v>
      </c>
      <c r="U12" s="243">
        <f t="shared" si="9"/>
        <v>45</v>
      </c>
      <c r="V12" s="243">
        <f t="shared" si="9"/>
        <v>45</v>
      </c>
      <c r="W12" s="243">
        <f t="shared" si="9"/>
        <v>45</v>
      </c>
      <c r="X12" s="243">
        <f t="shared" si="9"/>
        <v>45</v>
      </c>
      <c r="Y12" s="243">
        <f t="shared" si="9"/>
        <v>45</v>
      </c>
      <c r="Z12" s="243">
        <f t="shared" si="9"/>
        <v>45</v>
      </c>
    </row>
    <row r="13" spans="1:104" ht="28" customHeight="1" x14ac:dyDescent="0.35">
      <c r="A13" s="12"/>
      <c r="B13" s="231" t="s">
        <v>114</v>
      </c>
      <c r="C13" s="231"/>
      <c r="D13" s="297"/>
      <c r="E13" s="237"/>
      <c r="F13" s="220">
        <v>1</v>
      </c>
      <c r="G13" s="238">
        <f t="shared" si="1"/>
        <v>45</v>
      </c>
      <c r="H13" s="250">
        <f t="shared" si="2"/>
        <v>45</v>
      </c>
      <c r="I13" s="243">
        <v>900</v>
      </c>
      <c r="J13" s="243">
        <f t="shared" si="3"/>
        <v>900</v>
      </c>
      <c r="K13" s="243">
        <f t="shared" si="4"/>
        <v>1044</v>
      </c>
      <c r="M13" s="243">
        <v>0</v>
      </c>
      <c r="N13" s="243">
        <f>$H$13</f>
        <v>45</v>
      </c>
      <c r="O13" s="243">
        <f t="shared" ref="O13:Z13" si="10">$H$13</f>
        <v>45</v>
      </c>
      <c r="P13" s="243">
        <f t="shared" si="10"/>
        <v>45</v>
      </c>
      <c r="Q13" s="243">
        <f t="shared" si="10"/>
        <v>45</v>
      </c>
      <c r="R13" s="243">
        <f t="shared" si="10"/>
        <v>45</v>
      </c>
      <c r="S13" s="243">
        <f t="shared" si="10"/>
        <v>45</v>
      </c>
      <c r="T13" s="243">
        <f t="shared" si="10"/>
        <v>45</v>
      </c>
      <c r="U13" s="243">
        <f t="shared" si="10"/>
        <v>45</v>
      </c>
      <c r="V13" s="243">
        <f t="shared" si="10"/>
        <v>45</v>
      </c>
      <c r="W13" s="243">
        <f t="shared" si="10"/>
        <v>45</v>
      </c>
      <c r="X13" s="243">
        <f t="shared" si="10"/>
        <v>45</v>
      </c>
      <c r="Y13" s="243">
        <f t="shared" si="10"/>
        <v>45</v>
      </c>
      <c r="Z13" s="243">
        <f t="shared" si="10"/>
        <v>45</v>
      </c>
    </row>
    <row r="14" spans="1:104" ht="28" customHeight="1" x14ac:dyDescent="0.35">
      <c r="A14" s="12"/>
      <c r="B14" s="231" t="s">
        <v>114</v>
      </c>
      <c r="C14" s="231"/>
      <c r="D14" s="297"/>
      <c r="E14" s="237"/>
      <c r="F14" s="220">
        <v>1</v>
      </c>
      <c r="G14" s="238">
        <f t="shared" si="1"/>
        <v>45</v>
      </c>
      <c r="H14" s="250">
        <f t="shared" si="2"/>
        <v>45</v>
      </c>
      <c r="I14" s="243">
        <v>900</v>
      </c>
      <c r="J14" s="243">
        <f t="shared" si="3"/>
        <v>900</v>
      </c>
      <c r="K14" s="243">
        <f t="shared" si="4"/>
        <v>1044</v>
      </c>
      <c r="M14" s="243">
        <v>0</v>
      </c>
      <c r="N14" s="243">
        <f>$H$14</f>
        <v>45</v>
      </c>
      <c r="O14" s="243">
        <f t="shared" ref="O14:Z14" si="11">$H$14</f>
        <v>45</v>
      </c>
      <c r="P14" s="243">
        <f t="shared" si="11"/>
        <v>45</v>
      </c>
      <c r="Q14" s="243">
        <f t="shared" si="11"/>
        <v>45</v>
      </c>
      <c r="R14" s="243">
        <f t="shared" si="11"/>
        <v>45</v>
      </c>
      <c r="S14" s="243">
        <f t="shared" si="11"/>
        <v>45</v>
      </c>
      <c r="T14" s="243">
        <f t="shared" si="11"/>
        <v>45</v>
      </c>
      <c r="U14" s="243">
        <f t="shared" si="11"/>
        <v>45</v>
      </c>
      <c r="V14" s="243">
        <f t="shared" si="11"/>
        <v>45</v>
      </c>
      <c r="W14" s="243">
        <f t="shared" si="11"/>
        <v>45</v>
      </c>
      <c r="X14" s="243">
        <f t="shared" si="11"/>
        <v>45</v>
      </c>
      <c r="Y14" s="243">
        <f t="shared" si="11"/>
        <v>45</v>
      </c>
      <c r="Z14" s="243">
        <f t="shared" si="11"/>
        <v>45</v>
      </c>
    </row>
    <row r="15" spans="1:104" ht="28" customHeight="1" x14ac:dyDescent="0.35">
      <c r="A15" s="12"/>
      <c r="B15" s="231" t="s">
        <v>114</v>
      </c>
      <c r="C15" s="237"/>
      <c r="D15" s="237"/>
      <c r="E15" s="237"/>
      <c r="F15" s="220">
        <v>1</v>
      </c>
      <c r="G15" s="238">
        <f t="shared" si="1"/>
        <v>45</v>
      </c>
      <c r="H15" s="250">
        <f t="shared" si="2"/>
        <v>45</v>
      </c>
      <c r="I15" s="243">
        <v>900</v>
      </c>
      <c r="J15" s="243">
        <f t="shared" si="3"/>
        <v>900</v>
      </c>
      <c r="K15" s="243">
        <f t="shared" si="4"/>
        <v>1044</v>
      </c>
      <c r="M15" s="243">
        <v>0</v>
      </c>
      <c r="N15" s="243">
        <f>$H$15</f>
        <v>45</v>
      </c>
      <c r="O15" s="243">
        <f t="shared" ref="O15:Z15" si="12">$H$15</f>
        <v>45</v>
      </c>
      <c r="P15" s="243">
        <f t="shared" si="12"/>
        <v>45</v>
      </c>
      <c r="Q15" s="243">
        <f t="shared" si="12"/>
        <v>45</v>
      </c>
      <c r="R15" s="243">
        <f t="shared" si="12"/>
        <v>45</v>
      </c>
      <c r="S15" s="243">
        <f t="shared" si="12"/>
        <v>45</v>
      </c>
      <c r="T15" s="243">
        <f t="shared" si="12"/>
        <v>45</v>
      </c>
      <c r="U15" s="243">
        <f t="shared" si="12"/>
        <v>45</v>
      </c>
      <c r="V15" s="243">
        <f t="shared" si="12"/>
        <v>45</v>
      </c>
      <c r="W15" s="243">
        <f t="shared" si="12"/>
        <v>45</v>
      </c>
      <c r="X15" s="243">
        <f t="shared" si="12"/>
        <v>45</v>
      </c>
      <c r="Y15" s="243">
        <f t="shared" si="12"/>
        <v>45</v>
      </c>
      <c r="Z15" s="243">
        <f t="shared" si="12"/>
        <v>45</v>
      </c>
    </row>
    <row r="16" spans="1:104" ht="28" customHeight="1" x14ac:dyDescent="0.35">
      <c r="A16" s="12"/>
      <c r="B16" s="231" t="s">
        <v>114</v>
      </c>
      <c r="C16" s="237"/>
      <c r="D16" s="237"/>
      <c r="E16" s="237"/>
      <c r="F16" s="220">
        <v>1</v>
      </c>
      <c r="G16" s="238">
        <f t="shared" si="1"/>
        <v>30</v>
      </c>
      <c r="H16" s="250">
        <f t="shared" si="2"/>
        <v>30</v>
      </c>
      <c r="I16" s="243">
        <v>600</v>
      </c>
      <c r="J16" s="243">
        <f t="shared" si="3"/>
        <v>600</v>
      </c>
      <c r="K16" s="243">
        <f t="shared" si="4"/>
        <v>696</v>
      </c>
      <c r="M16" s="243">
        <v>0</v>
      </c>
      <c r="N16" s="243">
        <f>$H$16</f>
        <v>30</v>
      </c>
      <c r="O16" s="243">
        <f t="shared" ref="O16:Z16" si="13">$H$16</f>
        <v>30</v>
      </c>
      <c r="P16" s="243">
        <f t="shared" si="13"/>
        <v>30</v>
      </c>
      <c r="Q16" s="243">
        <f t="shared" si="13"/>
        <v>30</v>
      </c>
      <c r="R16" s="243">
        <f t="shared" si="13"/>
        <v>30</v>
      </c>
      <c r="S16" s="243">
        <f t="shared" si="13"/>
        <v>30</v>
      </c>
      <c r="T16" s="243">
        <f t="shared" si="13"/>
        <v>30</v>
      </c>
      <c r="U16" s="243">
        <f t="shared" si="13"/>
        <v>30</v>
      </c>
      <c r="V16" s="243">
        <f t="shared" si="13"/>
        <v>30</v>
      </c>
      <c r="W16" s="243">
        <f t="shared" si="13"/>
        <v>30</v>
      </c>
      <c r="X16" s="243">
        <f t="shared" si="13"/>
        <v>30</v>
      </c>
      <c r="Y16" s="243">
        <f t="shared" si="13"/>
        <v>30</v>
      </c>
      <c r="Z16" s="243">
        <f t="shared" si="13"/>
        <v>30</v>
      </c>
    </row>
    <row r="17" spans="1:26" ht="28" customHeight="1" x14ac:dyDescent="0.35">
      <c r="A17" s="12"/>
      <c r="B17" s="231" t="s">
        <v>114</v>
      </c>
      <c r="C17" s="237"/>
      <c r="D17" s="237"/>
      <c r="E17" s="237"/>
      <c r="F17" s="220">
        <v>0</v>
      </c>
      <c r="G17" s="238">
        <f t="shared" si="1"/>
        <v>0</v>
      </c>
      <c r="H17" s="250">
        <f t="shared" si="2"/>
        <v>0</v>
      </c>
      <c r="I17" s="243">
        <v>850</v>
      </c>
      <c r="J17" s="243">
        <f t="shared" si="3"/>
        <v>0</v>
      </c>
      <c r="K17" s="243">
        <f t="shared" si="4"/>
        <v>0</v>
      </c>
      <c r="M17" s="243">
        <v>0</v>
      </c>
      <c r="N17" s="243">
        <f>$H$17</f>
        <v>0</v>
      </c>
      <c r="O17" s="243">
        <f t="shared" ref="O17:Z17" si="14">$H$17</f>
        <v>0</v>
      </c>
      <c r="P17" s="243">
        <f t="shared" si="14"/>
        <v>0</v>
      </c>
      <c r="Q17" s="243">
        <f t="shared" si="14"/>
        <v>0</v>
      </c>
      <c r="R17" s="243">
        <f t="shared" si="14"/>
        <v>0</v>
      </c>
      <c r="S17" s="243">
        <f t="shared" si="14"/>
        <v>0</v>
      </c>
      <c r="T17" s="243">
        <f t="shared" si="14"/>
        <v>0</v>
      </c>
      <c r="U17" s="243">
        <f t="shared" si="14"/>
        <v>0</v>
      </c>
      <c r="V17" s="243">
        <f t="shared" si="14"/>
        <v>0</v>
      </c>
      <c r="W17" s="243">
        <f t="shared" si="14"/>
        <v>0</v>
      </c>
      <c r="X17" s="243">
        <f t="shared" si="14"/>
        <v>0</v>
      </c>
      <c r="Y17" s="243">
        <f t="shared" si="14"/>
        <v>0</v>
      </c>
      <c r="Z17" s="243">
        <f t="shared" si="14"/>
        <v>0</v>
      </c>
    </row>
    <row r="18" spans="1:26" ht="28" customHeight="1" x14ac:dyDescent="0.35">
      <c r="D18" s="46"/>
      <c r="E18" s="47"/>
      <c r="F18" s="47"/>
    </row>
    <row r="19" spans="1:26" ht="28" customHeight="1" x14ac:dyDescent="0.35">
      <c r="D19" s="46"/>
      <c r="E19" s="47"/>
      <c r="F19" s="47"/>
      <c r="J19" s="325" t="s">
        <v>402</v>
      </c>
      <c r="K19" s="326"/>
      <c r="L19" s="95"/>
      <c r="M19" s="210">
        <f>SUM(M7:M17)</f>
        <v>0</v>
      </c>
      <c r="N19" s="210">
        <f t="shared" ref="N19:Z19" si="15">SUM(N7:N17)</f>
        <v>405</v>
      </c>
      <c r="O19" s="210">
        <f t="shared" si="15"/>
        <v>405</v>
      </c>
      <c r="P19" s="210">
        <f t="shared" si="15"/>
        <v>405</v>
      </c>
      <c r="Q19" s="210">
        <f t="shared" si="15"/>
        <v>405</v>
      </c>
      <c r="R19" s="210">
        <f t="shared" si="15"/>
        <v>405</v>
      </c>
      <c r="S19" s="210">
        <f t="shared" si="15"/>
        <v>405</v>
      </c>
      <c r="T19" s="210">
        <f t="shared" si="15"/>
        <v>405</v>
      </c>
      <c r="U19" s="210">
        <f t="shared" si="15"/>
        <v>405</v>
      </c>
      <c r="V19" s="210">
        <f t="shared" si="15"/>
        <v>405</v>
      </c>
      <c r="W19" s="210">
        <f t="shared" si="15"/>
        <v>405</v>
      </c>
      <c r="X19" s="210">
        <f t="shared" si="15"/>
        <v>405</v>
      </c>
      <c r="Y19" s="210">
        <f t="shared" si="15"/>
        <v>405</v>
      </c>
      <c r="Z19" s="210">
        <f t="shared" si="15"/>
        <v>405</v>
      </c>
    </row>
    <row r="20" spans="1:26" ht="28" customHeight="1" x14ac:dyDescent="0.35">
      <c r="D20" s="46"/>
      <c r="E20" s="47"/>
      <c r="F20" s="47"/>
      <c r="J20" s="327" t="s">
        <v>397</v>
      </c>
      <c r="K20" s="328"/>
      <c r="L20" s="95"/>
      <c r="M20" s="211">
        <f>M19*$K$25</f>
        <v>0</v>
      </c>
      <c r="N20" s="211">
        <f t="shared" ref="N20:Z20" si="16">N19*$K$25</f>
        <v>8100</v>
      </c>
      <c r="O20" s="211">
        <f t="shared" si="16"/>
        <v>8100</v>
      </c>
      <c r="P20" s="211">
        <f t="shared" si="16"/>
        <v>8100</v>
      </c>
      <c r="Q20" s="211">
        <f t="shared" si="16"/>
        <v>8100</v>
      </c>
      <c r="R20" s="211">
        <f t="shared" si="16"/>
        <v>8100</v>
      </c>
      <c r="S20" s="211">
        <f t="shared" si="16"/>
        <v>8100</v>
      </c>
      <c r="T20" s="211">
        <f t="shared" si="16"/>
        <v>8100</v>
      </c>
      <c r="U20" s="211">
        <f t="shared" si="16"/>
        <v>8100</v>
      </c>
      <c r="V20" s="211">
        <f t="shared" si="16"/>
        <v>8100</v>
      </c>
      <c r="W20" s="211">
        <f t="shared" si="16"/>
        <v>8100</v>
      </c>
      <c r="X20" s="211">
        <f t="shared" si="16"/>
        <v>8100</v>
      </c>
      <c r="Y20" s="211">
        <f t="shared" si="16"/>
        <v>8100</v>
      </c>
      <c r="Z20" s="211">
        <f t="shared" si="16"/>
        <v>8100</v>
      </c>
    </row>
    <row r="21" spans="1:26" ht="28" customHeight="1" x14ac:dyDescent="0.35">
      <c r="D21" s="46"/>
      <c r="E21" s="47"/>
      <c r="F21" s="47"/>
      <c r="J21" s="325" t="s">
        <v>403</v>
      </c>
      <c r="K21" s="326"/>
      <c r="L21" s="95"/>
      <c r="M21" s="210">
        <f>SUM(M19:Z19)</f>
        <v>5265</v>
      </c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28" customHeight="1" x14ac:dyDescent="0.35">
      <c r="D22" s="46"/>
      <c r="E22" s="47"/>
      <c r="F22" s="47"/>
      <c r="I22" s="48"/>
      <c r="J22" s="327" t="s">
        <v>256</v>
      </c>
      <c r="K22" s="328"/>
      <c r="L22" s="95"/>
      <c r="M22" s="226">
        <f>SUM(M20:Z20)</f>
        <v>105300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28" customHeight="1" x14ac:dyDescent="0.35">
      <c r="D23" s="46"/>
      <c r="E23" s="47"/>
      <c r="F23" s="47"/>
      <c r="I23" s="48"/>
    </row>
    <row r="24" spans="1:26" ht="28" customHeight="1" x14ac:dyDescent="0.35">
      <c r="D24" s="46"/>
      <c r="E24" s="47"/>
      <c r="F24" s="47"/>
      <c r="I24" s="48"/>
      <c r="J24" s="300" t="str">
        <f>NOMINA!S24</f>
        <v>PREMISAS</v>
      </c>
      <c r="K24" s="301"/>
    </row>
    <row r="25" spans="1:26" ht="28" customHeight="1" x14ac:dyDescent="0.35">
      <c r="D25" s="46"/>
      <c r="E25" s="47"/>
      <c r="F25" s="47"/>
      <c r="I25" s="48"/>
      <c r="J25" s="212" t="str">
        <f>NOMINA!S25</f>
        <v>PARIDAD</v>
      </c>
      <c r="K25" s="198">
        <f>NOMINA!T25</f>
        <v>20</v>
      </c>
    </row>
    <row r="26" spans="1:26" ht="28" customHeight="1" x14ac:dyDescent="0.35">
      <c r="D26" s="46"/>
      <c r="E26" s="47"/>
      <c r="F26" s="47"/>
      <c r="I26" s="48"/>
      <c r="J26" s="213" t="str">
        <f>NOMINA!S26</f>
        <v xml:space="preserve">MES </v>
      </c>
      <c r="K26" s="199">
        <f>NOMINA!T26</f>
        <v>30.4</v>
      </c>
    </row>
    <row r="27" spans="1:26" ht="28" customHeight="1" x14ac:dyDescent="0.35">
      <c r="D27" s="46"/>
      <c r="E27" s="47"/>
      <c r="F27" s="47"/>
      <c r="I27" s="48"/>
      <c r="J27" s="214" t="str">
        <f>NOMINA!S27</f>
        <v>CRÉDITO</v>
      </c>
      <c r="K27" s="200">
        <f>NOMINA!T27</f>
        <v>45</v>
      </c>
    </row>
    <row r="28" spans="1:26" ht="28" customHeight="1" x14ac:dyDescent="0.35">
      <c r="D28" s="46"/>
      <c r="E28" s="47"/>
      <c r="F28" s="47"/>
      <c r="I28" s="48"/>
      <c r="J28" s="215" t="str">
        <f>NOMINA!S28</f>
        <v>GAS LP</v>
      </c>
      <c r="K28" s="201">
        <f>NOMINA!T28</f>
        <v>10.5</v>
      </c>
    </row>
    <row r="29" spans="1:26" ht="28" customHeight="1" x14ac:dyDescent="0.35">
      <c r="D29" s="46"/>
      <c r="E29" s="47"/>
      <c r="F29" s="47"/>
      <c r="I29" s="48"/>
      <c r="J29" s="216" t="str">
        <f>NOMINA!S29</f>
        <v>GASOLINA</v>
      </c>
      <c r="K29" s="202">
        <f>NOMINA!T29</f>
        <v>22</v>
      </c>
      <c r="M29" s="10"/>
    </row>
    <row r="30" spans="1:26" ht="28" customHeight="1" x14ac:dyDescent="0.35">
      <c r="J30" s="253" t="str">
        <f>NOMINA!S30</f>
        <v>DIESEL</v>
      </c>
      <c r="K30" s="254">
        <f>NOMINA!T30</f>
        <v>23</v>
      </c>
      <c r="M30" s="10"/>
    </row>
    <row r="31" spans="1:26" ht="28" customHeight="1" x14ac:dyDescent="0.35">
      <c r="I31" s="48"/>
      <c r="J31" s="329" t="s">
        <v>345</v>
      </c>
      <c r="K31" s="330"/>
      <c r="M31" s="10"/>
    </row>
    <row r="32" spans="1:26" ht="28" customHeight="1" thickBot="1" x14ac:dyDescent="0.4">
      <c r="I32" s="10"/>
      <c r="J32" s="331"/>
      <c r="K32" s="332"/>
      <c r="M32" s="10"/>
    </row>
    <row r="33" spans="1:26" ht="28" customHeight="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ht="28" customHeight="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ht="28" customHeigh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ht="28" customHeight="1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255"/>
      <c r="S36"/>
      <c r="T36"/>
      <c r="U36"/>
      <c r="V36"/>
      <c r="W36"/>
      <c r="X36"/>
      <c r="Y36"/>
      <c r="Z36"/>
    </row>
    <row r="37" spans="1:26" ht="28" customHeight="1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ht="28" customHeight="1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ht="28" customHeight="1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ht="28" customHeight="1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ht="28" customHeight="1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ht="28" customHeight="1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ht="28" customHeight="1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28" customHeight="1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ht="28" customHeight="1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ht="28" customHeight="1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</sheetData>
  <mergeCells count="17">
    <mergeCell ref="J22:K22"/>
    <mergeCell ref="J24:K24"/>
    <mergeCell ref="J31:K32"/>
    <mergeCell ref="G4:G6"/>
    <mergeCell ref="H4:H6"/>
    <mergeCell ref="I4:I6"/>
    <mergeCell ref="J4:J6"/>
    <mergeCell ref="K4:K5"/>
    <mergeCell ref="J19:K19"/>
    <mergeCell ref="J20:K20"/>
    <mergeCell ref="J21:K21"/>
    <mergeCell ref="B2:C2"/>
    <mergeCell ref="C4:C6"/>
    <mergeCell ref="B4:B6"/>
    <mergeCell ref="F4:F6"/>
    <mergeCell ref="E4:E6"/>
    <mergeCell ref="D4:D6"/>
  </mergeCells>
  <phoneticPr fontId="8" type="noConversion"/>
  <hyperlinks>
    <hyperlink ref="J31" r:id="rId1" xr:uid="{75AC0A46-A533-9745-90B2-DA7E4F83AFEC}"/>
  </hyperlinks>
  <printOptions horizontalCentered="1"/>
  <pageMargins left="0.25" right="0.25" top="0.75" bottom="0.75" header="0.3" footer="0.3"/>
  <pageSetup paperSize="3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Z25"/>
  <sheetViews>
    <sheetView zoomScale="90" zoomScaleNormal="9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C7" sqref="C7:D9"/>
    </sheetView>
  </sheetViews>
  <sheetFormatPr baseColWidth="10" defaultColWidth="10.5" defaultRowHeight="26" customHeight="1" x14ac:dyDescent="0.35"/>
  <cols>
    <col min="1" max="1" width="3.33203125" style="2" customWidth="1"/>
    <col min="2" max="2" width="20.5" style="2" bestFit="1" customWidth="1"/>
    <col min="3" max="3" width="31.6640625" style="2" bestFit="1" customWidth="1"/>
    <col min="4" max="4" width="19.6640625" style="2" bestFit="1" customWidth="1"/>
    <col min="5" max="5" width="9" style="2" bestFit="1" customWidth="1"/>
    <col min="6" max="6" width="11.5" style="2" bestFit="1" customWidth="1"/>
    <col min="7" max="7" width="12.5" style="2" bestFit="1" customWidth="1"/>
    <col min="8" max="8" width="16.5" style="2" bestFit="1" customWidth="1"/>
    <col min="9" max="9" width="13.83203125" style="2" bestFit="1" customWidth="1"/>
    <col min="10" max="10" width="16.83203125" style="2" bestFit="1" customWidth="1"/>
    <col min="11" max="11" width="19.6640625" style="2" customWidth="1"/>
    <col min="12" max="12" width="1.83203125" style="2" customWidth="1"/>
    <col min="13" max="13" width="16" style="2" customWidth="1"/>
    <col min="14" max="26" width="15" style="2" bestFit="1" customWidth="1"/>
    <col min="27" max="16384" width="10.5" style="2"/>
  </cols>
  <sheetData>
    <row r="1" spans="1:104" ht="26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6" customHeight="1" x14ac:dyDescent="0.35">
      <c r="A2" s="12"/>
      <c r="B2" s="44" t="s">
        <v>92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6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26" customHeight="1" x14ac:dyDescent="0.35">
      <c r="A4" s="12"/>
      <c r="B4" s="345" t="s">
        <v>263</v>
      </c>
      <c r="C4" s="324" t="s">
        <v>1</v>
      </c>
      <c r="D4" s="324" t="s">
        <v>19</v>
      </c>
      <c r="E4" s="324" t="s">
        <v>23</v>
      </c>
      <c r="F4" s="324" t="s">
        <v>2</v>
      </c>
      <c r="G4" s="324" t="s">
        <v>239</v>
      </c>
      <c r="H4" s="324" t="s">
        <v>344</v>
      </c>
      <c r="I4" s="324" t="s">
        <v>240</v>
      </c>
      <c r="J4" s="324" t="s">
        <v>256</v>
      </c>
      <c r="K4" s="333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4" ht="26" customHeight="1" x14ac:dyDescent="0.35">
      <c r="A5" s="12"/>
      <c r="B5" s="324"/>
      <c r="C5" s="324"/>
      <c r="D5" s="324"/>
      <c r="E5" s="324"/>
      <c r="F5" s="324"/>
      <c r="G5" s="324"/>
      <c r="H5" s="324" t="s">
        <v>344</v>
      </c>
      <c r="I5" s="324" t="s">
        <v>240</v>
      </c>
      <c r="J5" s="324" t="s">
        <v>256</v>
      </c>
      <c r="K5" s="333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4" ht="26" customHeight="1" x14ac:dyDescent="0.35">
      <c r="A6" s="12"/>
      <c r="B6" s="324"/>
      <c r="C6" s="324"/>
      <c r="D6" s="324"/>
      <c r="E6" s="324"/>
      <c r="F6" s="324"/>
      <c r="G6" s="324"/>
      <c r="H6" s="324" t="s">
        <v>242</v>
      </c>
      <c r="I6" s="324" t="s">
        <v>243</v>
      </c>
      <c r="J6" s="324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4" ht="26" customHeight="1" x14ac:dyDescent="0.35">
      <c r="A7" s="12"/>
      <c r="B7" s="231" t="s">
        <v>92</v>
      </c>
      <c r="C7" s="237"/>
      <c r="D7" s="237"/>
      <c r="E7" s="237"/>
      <c r="F7" s="220">
        <v>4</v>
      </c>
      <c r="G7" s="238">
        <f>J7/$K$18</f>
        <v>12</v>
      </c>
      <c r="H7" s="250">
        <f t="shared" ref="H7:H9" si="0">F7*G7</f>
        <v>48</v>
      </c>
      <c r="I7" s="243">
        <v>60</v>
      </c>
      <c r="J7" s="243">
        <f>I7*F7</f>
        <v>240</v>
      </c>
      <c r="K7" s="243">
        <f>J7*1.16</f>
        <v>278.39999999999998</v>
      </c>
      <c r="M7" s="243">
        <v>0</v>
      </c>
      <c r="N7" s="243">
        <f>$H$7</f>
        <v>48</v>
      </c>
      <c r="O7" s="243">
        <f t="shared" ref="O7:Z7" si="1">$H$7</f>
        <v>48</v>
      </c>
      <c r="P7" s="243">
        <f t="shared" si="1"/>
        <v>48</v>
      </c>
      <c r="Q7" s="243">
        <f t="shared" si="1"/>
        <v>48</v>
      </c>
      <c r="R7" s="243">
        <f t="shared" si="1"/>
        <v>48</v>
      </c>
      <c r="S7" s="243">
        <f t="shared" si="1"/>
        <v>48</v>
      </c>
      <c r="T7" s="243">
        <f t="shared" si="1"/>
        <v>48</v>
      </c>
      <c r="U7" s="243">
        <f t="shared" si="1"/>
        <v>48</v>
      </c>
      <c r="V7" s="243">
        <f t="shared" si="1"/>
        <v>48</v>
      </c>
      <c r="W7" s="243">
        <f t="shared" si="1"/>
        <v>48</v>
      </c>
      <c r="X7" s="243">
        <f t="shared" si="1"/>
        <v>48</v>
      </c>
      <c r="Y7" s="243">
        <f t="shared" si="1"/>
        <v>48</v>
      </c>
      <c r="Z7" s="243">
        <f t="shared" si="1"/>
        <v>48</v>
      </c>
    </row>
    <row r="8" spans="1:104" ht="26" customHeight="1" x14ac:dyDescent="0.35">
      <c r="A8" s="12"/>
      <c r="B8" s="231" t="s">
        <v>92</v>
      </c>
      <c r="C8" s="237"/>
      <c r="D8" s="237"/>
      <c r="E8" s="237"/>
      <c r="F8" s="220">
        <v>4</v>
      </c>
      <c r="G8" s="238">
        <f>J8/$K$18</f>
        <v>12</v>
      </c>
      <c r="H8" s="250">
        <f t="shared" si="0"/>
        <v>48</v>
      </c>
      <c r="I8" s="243">
        <v>60</v>
      </c>
      <c r="J8" s="243">
        <f t="shared" ref="J8:J10" si="2">I8*F8</f>
        <v>240</v>
      </c>
      <c r="K8" s="243">
        <f t="shared" ref="K8:K10" si="3">J8*1.16</f>
        <v>278.39999999999998</v>
      </c>
      <c r="M8" s="243">
        <v>0</v>
      </c>
      <c r="N8" s="243">
        <f>$H$8</f>
        <v>48</v>
      </c>
      <c r="O8" s="243">
        <f t="shared" ref="O8:Z8" si="4">$H$8</f>
        <v>48</v>
      </c>
      <c r="P8" s="243">
        <f t="shared" si="4"/>
        <v>48</v>
      </c>
      <c r="Q8" s="243">
        <f t="shared" si="4"/>
        <v>48</v>
      </c>
      <c r="R8" s="243">
        <f t="shared" si="4"/>
        <v>48</v>
      </c>
      <c r="S8" s="243">
        <f t="shared" si="4"/>
        <v>48</v>
      </c>
      <c r="T8" s="243">
        <f t="shared" si="4"/>
        <v>48</v>
      </c>
      <c r="U8" s="243">
        <f t="shared" si="4"/>
        <v>48</v>
      </c>
      <c r="V8" s="243">
        <f t="shared" si="4"/>
        <v>48</v>
      </c>
      <c r="W8" s="243">
        <f t="shared" si="4"/>
        <v>48</v>
      </c>
      <c r="X8" s="243">
        <f t="shared" si="4"/>
        <v>48</v>
      </c>
      <c r="Y8" s="243">
        <f t="shared" si="4"/>
        <v>48</v>
      </c>
      <c r="Z8" s="243">
        <f t="shared" si="4"/>
        <v>48</v>
      </c>
    </row>
    <row r="9" spans="1:104" ht="26" customHeight="1" x14ac:dyDescent="0.35">
      <c r="A9" s="12"/>
      <c r="B9" s="231" t="s">
        <v>92</v>
      </c>
      <c r="C9" s="237"/>
      <c r="D9" s="237"/>
      <c r="E9" s="237"/>
      <c r="F9" s="220">
        <v>4</v>
      </c>
      <c r="G9" s="238">
        <f>J9/$K$18</f>
        <v>12</v>
      </c>
      <c r="H9" s="250">
        <f t="shared" si="0"/>
        <v>48</v>
      </c>
      <c r="I9" s="243">
        <v>60</v>
      </c>
      <c r="J9" s="243">
        <f t="shared" si="2"/>
        <v>240</v>
      </c>
      <c r="K9" s="243">
        <f t="shared" si="3"/>
        <v>278.39999999999998</v>
      </c>
      <c r="M9" s="243">
        <v>0</v>
      </c>
      <c r="N9" s="243">
        <f>$H$9</f>
        <v>48</v>
      </c>
      <c r="O9" s="243">
        <f t="shared" ref="O9:Z9" si="5">$H$9</f>
        <v>48</v>
      </c>
      <c r="P9" s="243">
        <f t="shared" si="5"/>
        <v>48</v>
      </c>
      <c r="Q9" s="243">
        <f t="shared" si="5"/>
        <v>48</v>
      </c>
      <c r="R9" s="243">
        <f t="shared" si="5"/>
        <v>48</v>
      </c>
      <c r="S9" s="243">
        <f t="shared" si="5"/>
        <v>48</v>
      </c>
      <c r="T9" s="243">
        <f t="shared" si="5"/>
        <v>48</v>
      </c>
      <c r="U9" s="243">
        <f t="shared" si="5"/>
        <v>48</v>
      </c>
      <c r="V9" s="243">
        <f t="shared" si="5"/>
        <v>48</v>
      </c>
      <c r="W9" s="243">
        <f t="shared" si="5"/>
        <v>48</v>
      </c>
      <c r="X9" s="243">
        <f t="shared" si="5"/>
        <v>48</v>
      </c>
      <c r="Y9" s="243">
        <f t="shared" si="5"/>
        <v>48</v>
      </c>
      <c r="Z9" s="243">
        <f t="shared" si="5"/>
        <v>48</v>
      </c>
    </row>
    <row r="10" spans="1:104" ht="26" customHeight="1" x14ac:dyDescent="0.35">
      <c r="A10" s="12"/>
      <c r="B10" s="231" t="s">
        <v>92</v>
      </c>
      <c r="C10" s="237"/>
      <c r="D10" s="237"/>
      <c r="E10" s="237"/>
      <c r="F10" s="220">
        <v>0</v>
      </c>
      <c r="G10" s="238">
        <v>0</v>
      </c>
      <c r="H10" s="250">
        <v>0</v>
      </c>
      <c r="I10" s="243">
        <v>0</v>
      </c>
      <c r="J10" s="243">
        <f t="shared" si="2"/>
        <v>0</v>
      </c>
      <c r="K10" s="243">
        <f t="shared" si="3"/>
        <v>0</v>
      </c>
      <c r="M10" s="243">
        <v>0</v>
      </c>
      <c r="N10" s="243">
        <f>$H$10</f>
        <v>0</v>
      </c>
      <c r="O10" s="243">
        <f t="shared" ref="O10:Z10" si="6">$H$10</f>
        <v>0</v>
      </c>
      <c r="P10" s="243">
        <f t="shared" si="6"/>
        <v>0</v>
      </c>
      <c r="Q10" s="243">
        <f t="shared" si="6"/>
        <v>0</v>
      </c>
      <c r="R10" s="243">
        <f t="shared" si="6"/>
        <v>0</v>
      </c>
      <c r="S10" s="243">
        <f t="shared" si="6"/>
        <v>0</v>
      </c>
      <c r="T10" s="243">
        <f t="shared" si="6"/>
        <v>0</v>
      </c>
      <c r="U10" s="243">
        <f t="shared" si="6"/>
        <v>0</v>
      </c>
      <c r="V10" s="243">
        <f t="shared" si="6"/>
        <v>0</v>
      </c>
      <c r="W10" s="243">
        <f t="shared" si="6"/>
        <v>0</v>
      </c>
      <c r="X10" s="243">
        <f t="shared" si="6"/>
        <v>0</v>
      </c>
      <c r="Y10" s="243">
        <f t="shared" si="6"/>
        <v>0</v>
      </c>
      <c r="Z10" s="243">
        <f t="shared" si="6"/>
        <v>0</v>
      </c>
    </row>
    <row r="11" spans="1:104" ht="26" customHeight="1" x14ac:dyDescent="0.35">
      <c r="D11" s="46"/>
      <c r="E11" s="47"/>
      <c r="F11" s="47"/>
    </row>
    <row r="12" spans="1:104" ht="26" customHeight="1" x14ac:dyDescent="0.35">
      <c r="D12" s="46"/>
      <c r="E12" s="47"/>
      <c r="F12" s="47"/>
      <c r="J12" s="325" t="s">
        <v>402</v>
      </c>
      <c r="K12" s="326"/>
      <c r="L12" s="95"/>
      <c r="M12" s="210">
        <f t="shared" ref="M12:Z12" si="7">SUM(M7:M10)</f>
        <v>0</v>
      </c>
      <c r="N12" s="210">
        <f t="shared" si="7"/>
        <v>144</v>
      </c>
      <c r="O12" s="210">
        <f t="shared" si="7"/>
        <v>144</v>
      </c>
      <c r="P12" s="210">
        <f t="shared" si="7"/>
        <v>144</v>
      </c>
      <c r="Q12" s="210">
        <f t="shared" si="7"/>
        <v>144</v>
      </c>
      <c r="R12" s="210">
        <f t="shared" si="7"/>
        <v>144</v>
      </c>
      <c r="S12" s="210">
        <f t="shared" si="7"/>
        <v>144</v>
      </c>
      <c r="T12" s="210">
        <f t="shared" si="7"/>
        <v>144</v>
      </c>
      <c r="U12" s="210">
        <f t="shared" si="7"/>
        <v>144</v>
      </c>
      <c r="V12" s="210">
        <f t="shared" si="7"/>
        <v>144</v>
      </c>
      <c r="W12" s="210">
        <f t="shared" si="7"/>
        <v>144</v>
      </c>
      <c r="X12" s="210">
        <f t="shared" si="7"/>
        <v>144</v>
      </c>
      <c r="Y12" s="210">
        <f t="shared" si="7"/>
        <v>144</v>
      </c>
      <c r="Z12" s="210">
        <f t="shared" si="7"/>
        <v>144</v>
      </c>
    </row>
    <row r="13" spans="1:104" ht="26" customHeight="1" x14ac:dyDescent="0.35">
      <c r="D13" s="46"/>
      <c r="E13" s="47"/>
      <c r="F13" s="47"/>
      <c r="J13" s="327" t="s">
        <v>397</v>
      </c>
      <c r="K13" s="328"/>
      <c r="L13" s="95"/>
      <c r="M13" s="211">
        <f>M12*$T$18</f>
        <v>0</v>
      </c>
      <c r="N13" s="211">
        <f>N12*$K$18</f>
        <v>2880</v>
      </c>
      <c r="O13" s="211">
        <f t="shared" ref="O13:Z13" si="8">O12*$K$18</f>
        <v>2880</v>
      </c>
      <c r="P13" s="211">
        <f t="shared" si="8"/>
        <v>2880</v>
      </c>
      <c r="Q13" s="211">
        <f t="shared" si="8"/>
        <v>2880</v>
      </c>
      <c r="R13" s="211">
        <f t="shared" si="8"/>
        <v>2880</v>
      </c>
      <c r="S13" s="211">
        <f t="shared" si="8"/>
        <v>2880</v>
      </c>
      <c r="T13" s="211">
        <f t="shared" si="8"/>
        <v>2880</v>
      </c>
      <c r="U13" s="211">
        <f t="shared" si="8"/>
        <v>2880</v>
      </c>
      <c r="V13" s="211">
        <f t="shared" si="8"/>
        <v>2880</v>
      </c>
      <c r="W13" s="211">
        <f t="shared" si="8"/>
        <v>2880</v>
      </c>
      <c r="X13" s="211">
        <f t="shared" si="8"/>
        <v>2880</v>
      </c>
      <c r="Y13" s="211">
        <f t="shared" si="8"/>
        <v>2880</v>
      </c>
      <c r="Z13" s="211">
        <f t="shared" si="8"/>
        <v>2880</v>
      </c>
    </row>
    <row r="14" spans="1:104" ht="26" customHeight="1" x14ac:dyDescent="0.35">
      <c r="D14" s="46"/>
      <c r="E14" s="47"/>
      <c r="F14" s="47"/>
      <c r="J14" s="325" t="s">
        <v>403</v>
      </c>
      <c r="K14" s="326"/>
      <c r="L14" s="95"/>
      <c r="M14" s="210">
        <f>SUM(M12:Z12)</f>
        <v>1872</v>
      </c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104" ht="26" customHeight="1" x14ac:dyDescent="0.35">
      <c r="D15" s="46"/>
      <c r="E15" s="47"/>
      <c r="F15" s="47"/>
      <c r="I15" s="48"/>
      <c r="J15" s="327" t="s">
        <v>256</v>
      </c>
      <c r="K15" s="328"/>
      <c r="L15" s="95"/>
      <c r="M15" s="226">
        <f>SUM(M13:Z13)</f>
        <v>37440</v>
      </c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104" ht="26" customHeight="1" x14ac:dyDescent="0.35">
      <c r="D16" s="46"/>
      <c r="E16" s="47"/>
      <c r="F16" s="47"/>
      <c r="I16" s="48"/>
    </row>
    <row r="17" spans="4:13" ht="26" customHeight="1" x14ac:dyDescent="0.35">
      <c r="D17" s="46"/>
      <c r="E17" s="47"/>
      <c r="F17" s="47"/>
      <c r="I17" s="48"/>
      <c r="J17" s="300" t="str">
        <f>NOMINA!S24</f>
        <v>PREMISAS</v>
      </c>
      <c r="K17" s="301"/>
    </row>
    <row r="18" spans="4:13" ht="26" customHeight="1" x14ac:dyDescent="0.35">
      <c r="D18" s="46"/>
      <c r="E18" s="47"/>
      <c r="F18" s="47"/>
      <c r="I18" s="48"/>
      <c r="J18" s="212" t="str">
        <f>NOMINA!S25</f>
        <v>PARIDAD</v>
      </c>
      <c r="K18" s="198">
        <f>NOMINA!T25</f>
        <v>20</v>
      </c>
    </row>
    <row r="19" spans="4:13" ht="26" customHeight="1" x14ac:dyDescent="0.35">
      <c r="D19" s="46"/>
      <c r="E19" s="47"/>
      <c r="F19" s="47"/>
      <c r="I19" s="48"/>
      <c r="J19" s="213" t="str">
        <f>NOMINA!S26</f>
        <v xml:space="preserve">MES </v>
      </c>
      <c r="K19" s="199">
        <f>NOMINA!T26</f>
        <v>30.4</v>
      </c>
    </row>
    <row r="20" spans="4:13" ht="26" customHeight="1" x14ac:dyDescent="0.35">
      <c r="D20" s="46"/>
      <c r="E20" s="47"/>
      <c r="F20" s="47"/>
      <c r="I20" s="48"/>
      <c r="J20" s="214" t="str">
        <f>NOMINA!S27</f>
        <v>CRÉDITO</v>
      </c>
      <c r="K20" s="200">
        <f>NOMINA!T27</f>
        <v>45</v>
      </c>
    </row>
    <row r="21" spans="4:13" ht="26" customHeight="1" x14ac:dyDescent="0.35">
      <c r="D21" s="46"/>
      <c r="E21" s="47"/>
      <c r="F21" s="47"/>
      <c r="I21" s="48"/>
      <c r="J21" s="215" t="str">
        <f>NOMINA!S28</f>
        <v>GAS LP</v>
      </c>
      <c r="K21" s="201">
        <f>NOMINA!T28</f>
        <v>10.5</v>
      </c>
    </row>
    <row r="22" spans="4:13" ht="26" customHeight="1" x14ac:dyDescent="0.35">
      <c r="D22" s="46"/>
      <c r="E22" s="47"/>
      <c r="F22" s="47"/>
      <c r="I22" s="48"/>
      <c r="J22" s="216" t="str">
        <f>NOMINA!S29</f>
        <v>GASOLINA</v>
      </c>
      <c r="K22" s="202">
        <f>NOMINA!T29</f>
        <v>22</v>
      </c>
      <c r="M22" s="10"/>
    </row>
    <row r="23" spans="4:13" ht="26" customHeight="1" x14ac:dyDescent="0.35">
      <c r="J23" s="253" t="str">
        <f>NOMINA!S30</f>
        <v>DIESEL</v>
      </c>
      <c r="K23" s="254">
        <f>NOMINA!T30</f>
        <v>23</v>
      </c>
      <c r="M23" s="10"/>
    </row>
    <row r="24" spans="4:13" ht="26" customHeight="1" x14ac:dyDescent="0.35">
      <c r="I24" s="48"/>
      <c r="J24" s="329" t="s">
        <v>345</v>
      </c>
      <c r="K24" s="330"/>
      <c r="M24" s="10"/>
    </row>
    <row r="25" spans="4:13" ht="26" customHeight="1" thickBot="1" x14ac:dyDescent="0.4">
      <c r="I25" s="10"/>
      <c r="J25" s="331"/>
      <c r="K25" s="332"/>
      <c r="M25" s="10"/>
    </row>
  </sheetData>
  <mergeCells count="16">
    <mergeCell ref="J13:K13"/>
    <mergeCell ref="J14:K14"/>
    <mergeCell ref="J15:K15"/>
    <mergeCell ref="J17:K17"/>
    <mergeCell ref="J24:K25"/>
    <mergeCell ref="H4:H6"/>
    <mergeCell ref="I4:I6"/>
    <mergeCell ref="J4:J6"/>
    <mergeCell ref="K4:K5"/>
    <mergeCell ref="J12:K12"/>
    <mergeCell ref="G4:G6"/>
    <mergeCell ref="B4:B6"/>
    <mergeCell ref="C4:C6"/>
    <mergeCell ref="D4:D6"/>
    <mergeCell ref="E4:E6"/>
    <mergeCell ref="F4:F6"/>
  </mergeCells>
  <phoneticPr fontId="8" type="noConversion"/>
  <hyperlinks>
    <hyperlink ref="J24" r:id="rId1" xr:uid="{F2E9A3D0-9110-7F4D-B807-07982755368D}"/>
  </hyperlinks>
  <printOptions horizontalCentered="1"/>
  <pageMargins left="0.25" right="0.25" top="0.75" bottom="0.75" header="0.3" footer="0.3"/>
  <pageSetup paperSize="3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Y52"/>
  <sheetViews>
    <sheetView zoomScale="90" zoomScaleNormal="90" workbookViewId="0">
      <pane xSplit="11" ySplit="6" topLeftCell="L7" activePane="bottomRight" state="frozen"/>
      <selection pane="topRight" activeCell="M1" sqref="M1"/>
      <selection pane="bottomLeft" activeCell="A8" sqref="A8"/>
      <selection pane="bottomRight" activeCell="H16" sqref="H16"/>
    </sheetView>
  </sheetViews>
  <sheetFormatPr baseColWidth="10" defaultColWidth="10.5" defaultRowHeight="22" customHeight="1" x14ac:dyDescent="0.35"/>
  <cols>
    <col min="1" max="1" width="3.83203125" style="2" customWidth="1"/>
    <col min="2" max="2" width="35.83203125" style="5" customWidth="1"/>
    <col min="3" max="3" width="17.83203125" style="2" bestFit="1" customWidth="1"/>
    <col min="4" max="5" width="11.83203125" style="2" bestFit="1" customWidth="1"/>
    <col min="6" max="6" width="11.6640625" style="2" bestFit="1" customWidth="1"/>
    <col min="7" max="7" width="13.6640625" style="2" bestFit="1" customWidth="1"/>
    <col min="8" max="9" width="13.33203125" style="2" bestFit="1" customWidth="1"/>
    <col min="10" max="10" width="13.83203125" style="5" bestFit="1" customWidth="1"/>
    <col min="11" max="11" width="16.1640625" style="5" customWidth="1"/>
    <col min="12" max="12" width="2" style="5" customWidth="1"/>
    <col min="13" max="13" width="15.83203125" style="2" bestFit="1" customWidth="1"/>
    <col min="14" max="26" width="15.5" style="2" bestFit="1" customWidth="1"/>
    <col min="27" max="16384" width="10.5" style="2"/>
  </cols>
  <sheetData>
    <row r="1" spans="1:103" ht="22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ht="22" customHeight="1" x14ac:dyDescent="0.35">
      <c r="A2" s="12"/>
      <c r="B2" s="44" t="s">
        <v>3</v>
      </c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</row>
    <row r="3" spans="1:103" ht="22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</row>
    <row r="4" spans="1:103" ht="22" customHeight="1" x14ac:dyDescent="0.35">
      <c r="A4" s="12"/>
      <c r="B4" s="345" t="s">
        <v>263</v>
      </c>
      <c r="C4" s="324" t="s">
        <v>1</v>
      </c>
      <c r="D4" s="324" t="s">
        <v>23</v>
      </c>
      <c r="E4" s="324" t="s">
        <v>2</v>
      </c>
      <c r="F4" s="324" t="s">
        <v>239</v>
      </c>
      <c r="G4" s="324" t="s">
        <v>344</v>
      </c>
      <c r="H4" s="324" t="s">
        <v>240</v>
      </c>
      <c r="I4" s="324" t="s">
        <v>256</v>
      </c>
      <c r="J4" s="333" t="s">
        <v>398</v>
      </c>
      <c r="K4" s="324" t="s">
        <v>20</v>
      </c>
      <c r="L4" s="2"/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3" ht="22" customHeight="1" x14ac:dyDescent="0.35">
      <c r="A5" s="12"/>
      <c r="B5" s="324"/>
      <c r="C5" s="324"/>
      <c r="D5" s="324"/>
      <c r="E5" s="324"/>
      <c r="F5" s="324"/>
      <c r="G5" s="324" t="s">
        <v>344</v>
      </c>
      <c r="H5" s="324" t="s">
        <v>240</v>
      </c>
      <c r="I5" s="324" t="s">
        <v>256</v>
      </c>
      <c r="J5" s="333"/>
      <c r="K5" s="324"/>
      <c r="L5" s="2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3" ht="22" customHeight="1" x14ac:dyDescent="0.35">
      <c r="A6" s="12"/>
      <c r="B6" s="324"/>
      <c r="C6" s="324"/>
      <c r="D6" s="324"/>
      <c r="E6" s="324"/>
      <c r="F6" s="324"/>
      <c r="G6" s="324" t="s">
        <v>242</v>
      </c>
      <c r="H6" s="324" t="s">
        <v>243</v>
      </c>
      <c r="I6" s="324" t="s">
        <v>243</v>
      </c>
      <c r="J6" s="229" t="s">
        <v>399</v>
      </c>
      <c r="K6" s="324"/>
      <c r="L6" s="2"/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3" ht="22" customHeight="1" x14ac:dyDescent="0.35">
      <c r="A7" s="12"/>
      <c r="B7" s="231" t="s">
        <v>105</v>
      </c>
      <c r="C7" s="237" t="s">
        <v>446</v>
      </c>
      <c r="D7" s="237"/>
      <c r="E7" s="220">
        <v>0</v>
      </c>
      <c r="F7" s="238">
        <f t="shared" ref="F7:F15" si="0">I7/$K$25</f>
        <v>0</v>
      </c>
      <c r="G7" s="250">
        <f>E7*F7</f>
        <v>0</v>
      </c>
      <c r="H7" s="243">
        <v>16000</v>
      </c>
      <c r="I7" s="243">
        <f>H7*E7</f>
        <v>0</v>
      </c>
      <c r="J7" s="243">
        <f>I7*1.16</f>
        <v>0</v>
      </c>
      <c r="K7" s="243">
        <f t="shared" ref="K7:K15" si="1">J7/10</f>
        <v>0</v>
      </c>
      <c r="L7" s="2"/>
      <c r="M7" s="243">
        <v>0</v>
      </c>
      <c r="N7" s="243">
        <f>$G$7</f>
        <v>0</v>
      </c>
      <c r="O7" s="243">
        <f t="shared" ref="O7:Z7" si="2">$G$7</f>
        <v>0</v>
      </c>
      <c r="P7" s="243">
        <f t="shared" si="2"/>
        <v>0</v>
      </c>
      <c r="Q7" s="243">
        <f t="shared" si="2"/>
        <v>0</v>
      </c>
      <c r="R7" s="243">
        <f t="shared" si="2"/>
        <v>0</v>
      </c>
      <c r="S7" s="243">
        <f t="shared" si="2"/>
        <v>0</v>
      </c>
      <c r="T7" s="243">
        <f t="shared" si="2"/>
        <v>0</v>
      </c>
      <c r="U7" s="243">
        <f t="shared" si="2"/>
        <v>0</v>
      </c>
      <c r="V7" s="243">
        <f t="shared" si="2"/>
        <v>0</v>
      </c>
      <c r="W7" s="243">
        <f t="shared" si="2"/>
        <v>0</v>
      </c>
      <c r="X7" s="243">
        <f t="shared" si="2"/>
        <v>0</v>
      </c>
      <c r="Y7" s="243">
        <f t="shared" si="2"/>
        <v>0</v>
      </c>
      <c r="Z7" s="243">
        <f t="shared" si="2"/>
        <v>0</v>
      </c>
    </row>
    <row r="8" spans="1:103" ht="22" customHeight="1" x14ac:dyDescent="0.35">
      <c r="A8" s="12"/>
      <c r="B8" s="231" t="s">
        <v>106</v>
      </c>
      <c r="C8" s="237" t="s">
        <v>446</v>
      </c>
      <c r="D8" s="237"/>
      <c r="E8" s="220">
        <v>0</v>
      </c>
      <c r="F8" s="238">
        <f t="shared" si="0"/>
        <v>0</v>
      </c>
      <c r="G8" s="250">
        <f t="shared" ref="G8:G15" si="3">E8*F8</f>
        <v>0</v>
      </c>
      <c r="H8" s="243">
        <v>6500</v>
      </c>
      <c r="I8" s="243">
        <f t="shared" ref="I8:I15" si="4">H8*E8</f>
        <v>0</v>
      </c>
      <c r="J8" s="243">
        <f t="shared" ref="J8:J15" si="5">I8*1.16</f>
        <v>0</v>
      </c>
      <c r="K8" s="243">
        <f t="shared" si="1"/>
        <v>0</v>
      </c>
      <c r="L8" s="2"/>
      <c r="M8" s="243">
        <v>0</v>
      </c>
      <c r="N8" s="243">
        <f>$G$8</f>
        <v>0</v>
      </c>
      <c r="O8" s="243">
        <f t="shared" ref="O8:Z8" si="6">$G$8</f>
        <v>0</v>
      </c>
      <c r="P8" s="243">
        <f t="shared" si="6"/>
        <v>0</v>
      </c>
      <c r="Q8" s="243">
        <f t="shared" si="6"/>
        <v>0</v>
      </c>
      <c r="R8" s="243">
        <f t="shared" si="6"/>
        <v>0</v>
      </c>
      <c r="S8" s="243">
        <f t="shared" si="6"/>
        <v>0</v>
      </c>
      <c r="T8" s="243">
        <f t="shared" si="6"/>
        <v>0</v>
      </c>
      <c r="U8" s="243">
        <f t="shared" si="6"/>
        <v>0</v>
      </c>
      <c r="V8" s="243">
        <f t="shared" si="6"/>
        <v>0</v>
      </c>
      <c r="W8" s="243">
        <f t="shared" si="6"/>
        <v>0</v>
      </c>
      <c r="X8" s="243">
        <f t="shared" si="6"/>
        <v>0</v>
      </c>
      <c r="Y8" s="243">
        <f t="shared" si="6"/>
        <v>0</v>
      </c>
      <c r="Z8" s="243">
        <f t="shared" si="6"/>
        <v>0</v>
      </c>
    </row>
    <row r="9" spans="1:103" ht="22" customHeight="1" x14ac:dyDescent="0.35">
      <c r="A9" s="12"/>
      <c r="B9" s="231" t="s">
        <v>107</v>
      </c>
      <c r="C9" s="237"/>
      <c r="D9" s="237"/>
      <c r="E9" s="220">
        <v>0</v>
      </c>
      <c r="F9" s="238">
        <f t="shared" si="0"/>
        <v>0</v>
      </c>
      <c r="G9" s="250">
        <f t="shared" si="3"/>
        <v>0</v>
      </c>
      <c r="H9" s="243">
        <v>0</v>
      </c>
      <c r="I9" s="243">
        <f t="shared" si="4"/>
        <v>0</v>
      </c>
      <c r="J9" s="243">
        <f t="shared" si="5"/>
        <v>0</v>
      </c>
      <c r="K9" s="243">
        <f t="shared" si="1"/>
        <v>0</v>
      </c>
      <c r="L9" s="2"/>
      <c r="M9" s="243">
        <v>0</v>
      </c>
      <c r="N9" s="243">
        <f>$G$9</f>
        <v>0</v>
      </c>
      <c r="O9" s="243">
        <f t="shared" ref="O9:Z9" si="7">$G$9</f>
        <v>0</v>
      </c>
      <c r="P9" s="243">
        <f t="shared" si="7"/>
        <v>0</v>
      </c>
      <c r="Q9" s="243">
        <f t="shared" si="7"/>
        <v>0</v>
      </c>
      <c r="R9" s="243">
        <f t="shared" si="7"/>
        <v>0</v>
      </c>
      <c r="S9" s="243">
        <f t="shared" si="7"/>
        <v>0</v>
      </c>
      <c r="T9" s="243">
        <f t="shared" si="7"/>
        <v>0</v>
      </c>
      <c r="U9" s="243">
        <f t="shared" si="7"/>
        <v>0</v>
      </c>
      <c r="V9" s="243">
        <f t="shared" si="7"/>
        <v>0</v>
      </c>
      <c r="W9" s="243">
        <f t="shared" si="7"/>
        <v>0</v>
      </c>
      <c r="X9" s="243">
        <f t="shared" si="7"/>
        <v>0</v>
      </c>
      <c r="Y9" s="243">
        <f t="shared" si="7"/>
        <v>0</v>
      </c>
      <c r="Z9" s="243">
        <f t="shared" si="7"/>
        <v>0</v>
      </c>
    </row>
    <row r="10" spans="1:103" ht="22" customHeight="1" x14ac:dyDescent="0.35">
      <c r="A10" s="12"/>
      <c r="B10" s="231" t="s">
        <v>108</v>
      </c>
      <c r="C10" s="237"/>
      <c r="D10" s="237"/>
      <c r="E10" s="220">
        <v>0</v>
      </c>
      <c r="F10" s="238">
        <f t="shared" si="0"/>
        <v>0</v>
      </c>
      <c r="G10" s="250">
        <f t="shared" si="3"/>
        <v>0</v>
      </c>
      <c r="H10" s="243">
        <v>0</v>
      </c>
      <c r="I10" s="243">
        <f t="shared" si="4"/>
        <v>0</v>
      </c>
      <c r="J10" s="243">
        <f t="shared" si="5"/>
        <v>0</v>
      </c>
      <c r="K10" s="243">
        <f t="shared" si="1"/>
        <v>0</v>
      </c>
      <c r="L10" s="2"/>
      <c r="M10" s="243">
        <v>0</v>
      </c>
      <c r="N10" s="243">
        <f>$G$10</f>
        <v>0</v>
      </c>
      <c r="O10" s="243">
        <f t="shared" ref="O10:Z10" si="8">$G$10</f>
        <v>0</v>
      </c>
      <c r="P10" s="243">
        <f t="shared" si="8"/>
        <v>0</v>
      </c>
      <c r="Q10" s="243">
        <f t="shared" si="8"/>
        <v>0</v>
      </c>
      <c r="R10" s="243">
        <f t="shared" si="8"/>
        <v>0</v>
      </c>
      <c r="S10" s="243">
        <f t="shared" si="8"/>
        <v>0</v>
      </c>
      <c r="T10" s="243">
        <f t="shared" si="8"/>
        <v>0</v>
      </c>
      <c r="U10" s="243">
        <f t="shared" si="8"/>
        <v>0</v>
      </c>
      <c r="V10" s="243">
        <f t="shared" si="8"/>
        <v>0</v>
      </c>
      <c r="W10" s="243">
        <f t="shared" si="8"/>
        <v>0</v>
      </c>
      <c r="X10" s="243">
        <f t="shared" si="8"/>
        <v>0</v>
      </c>
      <c r="Y10" s="243">
        <f t="shared" si="8"/>
        <v>0</v>
      </c>
      <c r="Z10" s="243">
        <f t="shared" si="8"/>
        <v>0</v>
      </c>
    </row>
    <row r="11" spans="1:103" ht="22" customHeight="1" x14ac:dyDescent="0.35">
      <c r="A11" s="12"/>
      <c r="B11" s="231" t="s">
        <v>109</v>
      </c>
      <c r="C11" s="237"/>
      <c r="D11" s="237"/>
      <c r="E11" s="220">
        <v>0</v>
      </c>
      <c r="F11" s="238">
        <f t="shared" si="0"/>
        <v>0</v>
      </c>
      <c r="G11" s="250">
        <f t="shared" si="3"/>
        <v>0</v>
      </c>
      <c r="H11" s="243">
        <v>0</v>
      </c>
      <c r="I11" s="243">
        <f t="shared" si="4"/>
        <v>0</v>
      </c>
      <c r="J11" s="243">
        <f t="shared" si="5"/>
        <v>0</v>
      </c>
      <c r="K11" s="243">
        <f t="shared" si="1"/>
        <v>0</v>
      </c>
      <c r="L11" s="2"/>
      <c r="M11" s="243">
        <v>0</v>
      </c>
      <c r="N11" s="243">
        <f>$G$11</f>
        <v>0</v>
      </c>
      <c r="O11" s="243">
        <f t="shared" ref="O11:Z11" si="9">$G$11</f>
        <v>0</v>
      </c>
      <c r="P11" s="243">
        <f t="shared" si="9"/>
        <v>0</v>
      </c>
      <c r="Q11" s="243">
        <f t="shared" si="9"/>
        <v>0</v>
      </c>
      <c r="R11" s="243">
        <f t="shared" si="9"/>
        <v>0</v>
      </c>
      <c r="S11" s="243">
        <f t="shared" si="9"/>
        <v>0</v>
      </c>
      <c r="T11" s="243">
        <f t="shared" si="9"/>
        <v>0</v>
      </c>
      <c r="U11" s="243">
        <f t="shared" si="9"/>
        <v>0</v>
      </c>
      <c r="V11" s="243">
        <f t="shared" si="9"/>
        <v>0</v>
      </c>
      <c r="W11" s="243">
        <f t="shared" si="9"/>
        <v>0</v>
      </c>
      <c r="X11" s="243">
        <f t="shared" si="9"/>
        <v>0</v>
      </c>
      <c r="Y11" s="243">
        <f t="shared" si="9"/>
        <v>0</v>
      </c>
      <c r="Z11" s="243">
        <f t="shared" si="9"/>
        <v>0</v>
      </c>
    </row>
    <row r="12" spans="1:103" ht="22" customHeight="1" x14ac:dyDescent="0.35">
      <c r="A12" s="12"/>
      <c r="B12" s="231" t="s">
        <v>110</v>
      </c>
      <c r="C12" s="237"/>
      <c r="D12" s="237"/>
      <c r="E12" s="220">
        <v>0</v>
      </c>
      <c r="F12" s="238">
        <f t="shared" si="0"/>
        <v>0</v>
      </c>
      <c r="G12" s="250">
        <f t="shared" si="3"/>
        <v>0</v>
      </c>
      <c r="H12" s="243">
        <v>0</v>
      </c>
      <c r="I12" s="243">
        <f t="shared" si="4"/>
        <v>0</v>
      </c>
      <c r="J12" s="243">
        <f t="shared" si="5"/>
        <v>0</v>
      </c>
      <c r="K12" s="243">
        <f t="shared" si="1"/>
        <v>0</v>
      </c>
      <c r="L12" s="2"/>
      <c r="M12" s="243">
        <v>0</v>
      </c>
      <c r="N12" s="243">
        <f>$G$12</f>
        <v>0</v>
      </c>
      <c r="O12" s="243">
        <f t="shared" ref="O12:Z12" si="10">$G$12</f>
        <v>0</v>
      </c>
      <c r="P12" s="243">
        <f t="shared" si="10"/>
        <v>0</v>
      </c>
      <c r="Q12" s="243">
        <f t="shared" si="10"/>
        <v>0</v>
      </c>
      <c r="R12" s="243">
        <f t="shared" si="10"/>
        <v>0</v>
      </c>
      <c r="S12" s="243">
        <f t="shared" si="10"/>
        <v>0</v>
      </c>
      <c r="T12" s="243">
        <f t="shared" si="10"/>
        <v>0</v>
      </c>
      <c r="U12" s="243">
        <f t="shared" si="10"/>
        <v>0</v>
      </c>
      <c r="V12" s="243">
        <f t="shared" si="10"/>
        <v>0</v>
      </c>
      <c r="W12" s="243">
        <f t="shared" si="10"/>
        <v>0</v>
      </c>
      <c r="X12" s="243">
        <f t="shared" si="10"/>
        <v>0</v>
      </c>
      <c r="Y12" s="243">
        <f t="shared" si="10"/>
        <v>0</v>
      </c>
      <c r="Z12" s="243">
        <f t="shared" si="10"/>
        <v>0</v>
      </c>
    </row>
    <row r="13" spans="1:103" ht="22" customHeight="1" x14ac:dyDescent="0.35">
      <c r="A13" s="12"/>
      <c r="B13" s="231" t="s">
        <v>111</v>
      </c>
      <c r="C13" s="237" t="s">
        <v>447</v>
      </c>
      <c r="D13" s="237"/>
      <c r="E13" s="220">
        <v>0</v>
      </c>
      <c r="F13" s="238">
        <f t="shared" si="0"/>
        <v>0</v>
      </c>
      <c r="G13" s="250">
        <f t="shared" si="3"/>
        <v>0</v>
      </c>
      <c r="H13" s="243">
        <v>650</v>
      </c>
      <c r="I13" s="243">
        <f t="shared" si="4"/>
        <v>0</v>
      </c>
      <c r="J13" s="243">
        <f t="shared" si="5"/>
        <v>0</v>
      </c>
      <c r="K13" s="243">
        <f t="shared" si="1"/>
        <v>0</v>
      </c>
      <c r="L13" s="2"/>
      <c r="M13" s="243">
        <v>0</v>
      </c>
      <c r="N13" s="243">
        <f>$G$13</f>
        <v>0</v>
      </c>
      <c r="O13" s="243">
        <f t="shared" ref="O13:Z13" si="11">$G$13</f>
        <v>0</v>
      </c>
      <c r="P13" s="243">
        <f t="shared" si="11"/>
        <v>0</v>
      </c>
      <c r="Q13" s="243">
        <f t="shared" si="11"/>
        <v>0</v>
      </c>
      <c r="R13" s="243">
        <f t="shared" si="11"/>
        <v>0</v>
      </c>
      <c r="S13" s="243">
        <f t="shared" si="11"/>
        <v>0</v>
      </c>
      <c r="T13" s="243">
        <f t="shared" si="11"/>
        <v>0</v>
      </c>
      <c r="U13" s="243">
        <f t="shared" si="11"/>
        <v>0</v>
      </c>
      <c r="V13" s="243">
        <f t="shared" si="11"/>
        <v>0</v>
      </c>
      <c r="W13" s="243">
        <f t="shared" si="11"/>
        <v>0</v>
      </c>
      <c r="X13" s="243">
        <f t="shared" si="11"/>
        <v>0</v>
      </c>
      <c r="Y13" s="243">
        <f t="shared" si="11"/>
        <v>0</v>
      </c>
      <c r="Z13" s="243">
        <f t="shared" si="11"/>
        <v>0</v>
      </c>
    </row>
    <row r="14" spans="1:103" ht="22" customHeight="1" x14ac:dyDescent="0.35">
      <c r="A14" s="12"/>
      <c r="B14" s="231" t="s">
        <v>112</v>
      </c>
      <c r="C14" s="237" t="s">
        <v>449</v>
      </c>
      <c r="D14" s="237"/>
      <c r="E14" s="220">
        <v>1</v>
      </c>
      <c r="F14" s="238">
        <f t="shared" si="0"/>
        <v>870</v>
      </c>
      <c r="G14" s="250">
        <f t="shared" si="3"/>
        <v>870</v>
      </c>
      <c r="H14" s="243">
        <v>17400</v>
      </c>
      <c r="I14" s="243">
        <f t="shared" si="4"/>
        <v>17400</v>
      </c>
      <c r="J14" s="243">
        <f t="shared" si="5"/>
        <v>20184</v>
      </c>
      <c r="K14" s="243">
        <f t="shared" si="1"/>
        <v>2018.4</v>
      </c>
      <c r="L14" s="2"/>
      <c r="M14" s="243">
        <v>0</v>
      </c>
      <c r="N14" s="243">
        <f>$G$14</f>
        <v>870</v>
      </c>
      <c r="O14" s="243">
        <f t="shared" ref="O14:Z14" si="12">$G$14</f>
        <v>870</v>
      </c>
      <c r="P14" s="243">
        <f t="shared" si="12"/>
        <v>870</v>
      </c>
      <c r="Q14" s="243">
        <f t="shared" si="12"/>
        <v>870</v>
      </c>
      <c r="R14" s="243">
        <f t="shared" si="12"/>
        <v>870</v>
      </c>
      <c r="S14" s="243">
        <f t="shared" si="12"/>
        <v>870</v>
      </c>
      <c r="T14" s="243">
        <f t="shared" si="12"/>
        <v>870</v>
      </c>
      <c r="U14" s="243">
        <f t="shared" si="12"/>
        <v>870</v>
      </c>
      <c r="V14" s="243">
        <f t="shared" si="12"/>
        <v>870</v>
      </c>
      <c r="W14" s="243">
        <f t="shared" si="12"/>
        <v>870</v>
      </c>
      <c r="X14" s="243">
        <f t="shared" si="12"/>
        <v>870</v>
      </c>
      <c r="Y14" s="243">
        <f t="shared" si="12"/>
        <v>870</v>
      </c>
      <c r="Z14" s="243">
        <f t="shared" si="12"/>
        <v>870</v>
      </c>
    </row>
    <row r="15" spans="1:103" ht="22" customHeight="1" x14ac:dyDescent="0.35">
      <c r="A15" s="12"/>
      <c r="B15" s="231" t="s">
        <v>113</v>
      </c>
      <c r="C15" s="237" t="s">
        <v>448</v>
      </c>
      <c r="D15" s="237"/>
      <c r="E15" s="220">
        <v>1</v>
      </c>
      <c r="F15" s="238">
        <f t="shared" si="0"/>
        <v>1150</v>
      </c>
      <c r="G15" s="250">
        <f t="shared" si="3"/>
        <v>1150</v>
      </c>
      <c r="H15" s="243">
        <v>23000</v>
      </c>
      <c r="I15" s="243">
        <f t="shared" si="4"/>
        <v>23000</v>
      </c>
      <c r="J15" s="243">
        <f t="shared" si="5"/>
        <v>26679.999999999996</v>
      </c>
      <c r="K15" s="243">
        <f t="shared" si="1"/>
        <v>2667.9999999999995</v>
      </c>
      <c r="L15" s="2"/>
      <c r="M15" s="243">
        <v>0</v>
      </c>
      <c r="N15" s="243">
        <f>$G$15</f>
        <v>1150</v>
      </c>
      <c r="O15" s="243">
        <f t="shared" ref="O15:Z15" si="13">$G$15</f>
        <v>1150</v>
      </c>
      <c r="P15" s="243">
        <f t="shared" si="13"/>
        <v>1150</v>
      </c>
      <c r="Q15" s="243">
        <f t="shared" si="13"/>
        <v>1150</v>
      </c>
      <c r="R15" s="243">
        <f t="shared" si="13"/>
        <v>1150</v>
      </c>
      <c r="S15" s="243">
        <f t="shared" si="13"/>
        <v>1150</v>
      </c>
      <c r="T15" s="243">
        <f t="shared" si="13"/>
        <v>1150</v>
      </c>
      <c r="U15" s="243">
        <f t="shared" si="13"/>
        <v>1150</v>
      </c>
      <c r="V15" s="243">
        <f t="shared" si="13"/>
        <v>1150</v>
      </c>
      <c r="W15" s="243">
        <f t="shared" si="13"/>
        <v>1150</v>
      </c>
      <c r="X15" s="243">
        <f t="shared" si="13"/>
        <v>1150</v>
      </c>
      <c r="Y15" s="243">
        <f t="shared" si="13"/>
        <v>1150</v>
      </c>
      <c r="Z15" s="243">
        <f t="shared" si="13"/>
        <v>1150</v>
      </c>
    </row>
    <row r="16" spans="1:103" ht="22" customHeight="1" x14ac:dyDescent="0.35">
      <c r="A16" s="12"/>
      <c r="B16" s="231"/>
      <c r="C16" s="237"/>
      <c r="D16" s="237"/>
      <c r="E16" s="220"/>
      <c r="F16" s="238"/>
      <c r="G16" s="250"/>
      <c r="H16" s="243"/>
      <c r="I16" s="243"/>
      <c r="J16" s="243"/>
      <c r="K16" s="243"/>
      <c r="L16" s="2"/>
      <c r="M16" s="243"/>
      <c r="N16" s="243">
        <f>$H$16</f>
        <v>0</v>
      </c>
      <c r="O16" s="243">
        <f t="shared" ref="O16:Z16" si="14">$H$16</f>
        <v>0</v>
      </c>
      <c r="P16" s="243">
        <f t="shared" si="14"/>
        <v>0</v>
      </c>
      <c r="Q16" s="243">
        <f t="shared" si="14"/>
        <v>0</v>
      </c>
      <c r="R16" s="243">
        <f t="shared" si="14"/>
        <v>0</v>
      </c>
      <c r="S16" s="243">
        <f t="shared" si="14"/>
        <v>0</v>
      </c>
      <c r="T16" s="243">
        <f t="shared" si="14"/>
        <v>0</v>
      </c>
      <c r="U16" s="243">
        <f t="shared" si="14"/>
        <v>0</v>
      </c>
      <c r="V16" s="243">
        <f t="shared" si="14"/>
        <v>0</v>
      </c>
      <c r="W16" s="243">
        <f t="shared" si="14"/>
        <v>0</v>
      </c>
      <c r="X16" s="243">
        <f t="shared" si="14"/>
        <v>0</v>
      </c>
      <c r="Y16" s="243">
        <f t="shared" si="14"/>
        <v>0</v>
      </c>
      <c r="Z16" s="243">
        <f t="shared" si="14"/>
        <v>0</v>
      </c>
    </row>
    <row r="17" spans="1:26" ht="22" customHeight="1" x14ac:dyDescent="0.35">
      <c r="A17" s="12"/>
      <c r="B17" s="231"/>
      <c r="C17" s="237"/>
      <c r="D17" s="237"/>
      <c r="E17" s="220"/>
      <c r="F17" s="238"/>
      <c r="G17" s="250"/>
      <c r="H17" s="243"/>
      <c r="I17" s="243"/>
      <c r="J17" s="243"/>
      <c r="K17" s="243"/>
      <c r="L17" s="2"/>
      <c r="M17" s="243"/>
      <c r="N17" s="243">
        <f>$H$17</f>
        <v>0</v>
      </c>
      <c r="O17" s="243">
        <f t="shared" ref="O17:Z17" si="15">$H$17</f>
        <v>0</v>
      </c>
      <c r="P17" s="243">
        <f t="shared" si="15"/>
        <v>0</v>
      </c>
      <c r="Q17" s="243">
        <f t="shared" si="15"/>
        <v>0</v>
      </c>
      <c r="R17" s="243">
        <f t="shared" si="15"/>
        <v>0</v>
      </c>
      <c r="S17" s="243">
        <f t="shared" si="15"/>
        <v>0</v>
      </c>
      <c r="T17" s="243">
        <f t="shared" si="15"/>
        <v>0</v>
      </c>
      <c r="U17" s="243">
        <f t="shared" si="15"/>
        <v>0</v>
      </c>
      <c r="V17" s="243">
        <f t="shared" si="15"/>
        <v>0</v>
      </c>
      <c r="W17" s="243">
        <f t="shared" si="15"/>
        <v>0</v>
      </c>
      <c r="X17" s="243">
        <f t="shared" si="15"/>
        <v>0</v>
      </c>
      <c r="Y17" s="243">
        <f t="shared" si="15"/>
        <v>0</v>
      </c>
      <c r="Z17" s="243">
        <f t="shared" si="15"/>
        <v>0</v>
      </c>
    </row>
    <row r="18" spans="1:26" ht="22" customHeight="1" x14ac:dyDescent="0.35">
      <c r="B18" s="2"/>
      <c r="D18" s="47"/>
      <c r="E18" s="47"/>
      <c r="J18" s="2"/>
      <c r="K18" s="2"/>
      <c r="L18" s="2"/>
    </row>
    <row r="19" spans="1:26" ht="22" customHeight="1" x14ac:dyDescent="0.35">
      <c r="B19" s="2"/>
      <c r="D19" s="47"/>
      <c r="E19" s="47"/>
      <c r="J19" s="325" t="s">
        <v>402</v>
      </c>
      <c r="K19" s="326"/>
      <c r="L19" s="95"/>
      <c r="M19" s="210">
        <f>SUM(M7:M17)</f>
        <v>0</v>
      </c>
      <c r="N19" s="210">
        <f t="shared" ref="N19:Z19" si="16">SUM(N7:N17)</f>
        <v>2020</v>
      </c>
      <c r="O19" s="210">
        <f t="shared" si="16"/>
        <v>2020</v>
      </c>
      <c r="P19" s="210">
        <f t="shared" si="16"/>
        <v>2020</v>
      </c>
      <c r="Q19" s="210">
        <f t="shared" si="16"/>
        <v>2020</v>
      </c>
      <c r="R19" s="210">
        <f t="shared" si="16"/>
        <v>2020</v>
      </c>
      <c r="S19" s="210">
        <f t="shared" si="16"/>
        <v>2020</v>
      </c>
      <c r="T19" s="210">
        <f t="shared" si="16"/>
        <v>2020</v>
      </c>
      <c r="U19" s="210">
        <f t="shared" si="16"/>
        <v>2020</v>
      </c>
      <c r="V19" s="210">
        <f t="shared" si="16"/>
        <v>2020</v>
      </c>
      <c r="W19" s="210">
        <f t="shared" si="16"/>
        <v>2020</v>
      </c>
      <c r="X19" s="210">
        <f t="shared" si="16"/>
        <v>2020</v>
      </c>
      <c r="Y19" s="210">
        <f t="shared" si="16"/>
        <v>2020</v>
      </c>
      <c r="Z19" s="210">
        <f t="shared" si="16"/>
        <v>2020</v>
      </c>
    </row>
    <row r="20" spans="1:26" ht="22" customHeight="1" x14ac:dyDescent="0.35">
      <c r="B20" s="2"/>
      <c r="E20" s="47"/>
      <c r="J20" s="327" t="s">
        <v>397</v>
      </c>
      <c r="K20" s="328"/>
      <c r="L20" s="95"/>
      <c r="M20" s="211">
        <f>M19*$T$25</f>
        <v>0</v>
      </c>
      <c r="N20" s="211">
        <f>N19*$K$25</f>
        <v>40400</v>
      </c>
      <c r="O20" s="211">
        <f t="shared" ref="O20:Z20" si="17">O19*$K$25</f>
        <v>40400</v>
      </c>
      <c r="P20" s="211">
        <f t="shared" si="17"/>
        <v>40400</v>
      </c>
      <c r="Q20" s="211">
        <f t="shared" si="17"/>
        <v>40400</v>
      </c>
      <c r="R20" s="211">
        <f t="shared" si="17"/>
        <v>40400</v>
      </c>
      <c r="S20" s="211">
        <f t="shared" si="17"/>
        <v>40400</v>
      </c>
      <c r="T20" s="211">
        <f t="shared" si="17"/>
        <v>40400</v>
      </c>
      <c r="U20" s="211">
        <f t="shared" si="17"/>
        <v>40400</v>
      </c>
      <c r="V20" s="211">
        <f t="shared" si="17"/>
        <v>40400</v>
      </c>
      <c r="W20" s="211">
        <f t="shared" si="17"/>
        <v>40400</v>
      </c>
      <c r="X20" s="211">
        <f t="shared" si="17"/>
        <v>40400</v>
      </c>
      <c r="Y20" s="211">
        <f t="shared" si="17"/>
        <v>40400</v>
      </c>
      <c r="Z20" s="211">
        <f t="shared" si="17"/>
        <v>40400</v>
      </c>
    </row>
    <row r="21" spans="1:26" ht="22" customHeight="1" x14ac:dyDescent="0.35">
      <c r="B21" s="2"/>
      <c r="E21" s="47"/>
      <c r="J21" s="325" t="s">
        <v>403</v>
      </c>
      <c r="K21" s="326"/>
      <c r="L21" s="95"/>
      <c r="M21" s="210">
        <f>SUM(M19:Z19)</f>
        <v>26260</v>
      </c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22" customHeight="1" x14ac:dyDescent="0.35">
      <c r="B22" s="2"/>
      <c r="E22" s="47"/>
      <c r="J22" s="327" t="s">
        <v>256</v>
      </c>
      <c r="K22" s="328"/>
      <c r="L22" s="95"/>
      <c r="M22" s="226">
        <f>SUM(M20:Z20)</f>
        <v>525200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22" customHeight="1" x14ac:dyDescent="0.35">
      <c r="B23" s="2"/>
      <c r="E23" s="47"/>
      <c r="J23" s="2"/>
      <c r="K23" s="2"/>
      <c r="L23" s="2"/>
    </row>
    <row r="24" spans="1:26" ht="22" customHeight="1" x14ac:dyDescent="0.35">
      <c r="B24" s="2"/>
      <c r="E24" s="47"/>
      <c r="J24" s="300" t="s">
        <v>401</v>
      </c>
      <c r="K24" s="301"/>
      <c r="L24"/>
    </row>
    <row r="25" spans="1:26" ht="22" customHeight="1" x14ac:dyDescent="0.35">
      <c r="B25" s="2"/>
      <c r="E25" s="47"/>
      <c r="J25" s="212" t="str" cm="1">
        <f t="array" ref="J25:K25">'F01 UNIFORMES'!J18:K18</f>
        <v>PARIDAD</v>
      </c>
      <c r="K25" s="198">
        <v>20</v>
      </c>
      <c r="L25"/>
    </row>
    <row r="26" spans="1:26" ht="22" customHeight="1" x14ac:dyDescent="0.35">
      <c r="B26" s="2"/>
      <c r="E26" s="47"/>
      <c r="J26" s="213" t="str" cm="1">
        <f t="array" ref="J26:K26">'F01 UNIFORMES'!J19:K19</f>
        <v xml:space="preserve">MES </v>
      </c>
      <c r="K26" s="199">
        <v>30.4</v>
      </c>
      <c r="L26"/>
    </row>
    <row r="27" spans="1:26" ht="22" customHeight="1" x14ac:dyDescent="0.35">
      <c r="B27" s="2"/>
      <c r="E27" s="47"/>
      <c r="J27" s="214" t="str" cm="1">
        <f t="array" ref="J27:K27">'F01 UNIFORMES'!J20:K20</f>
        <v>CRÉDITO</v>
      </c>
      <c r="K27" s="200">
        <v>45</v>
      </c>
      <c r="L27"/>
    </row>
    <row r="28" spans="1:26" ht="22" customHeight="1" x14ac:dyDescent="0.35">
      <c r="B28" s="2"/>
      <c r="E28" s="47"/>
      <c r="J28" s="215" t="str" cm="1">
        <f t="array" ref="J28:K28">'F01 UNIFORMES'!J21:K21</f>
        <v>GAS LP</v>
      </c>
      <c r="K28" s="201">
        <v>10.5</v>
      </c>
      <c r="L28"/>
    </row>
    <row r="29" spans="1:26" ht="22" customHeight="1" x14ac:dyDescent="0.35">
      <c r="B29" s="2"/>
      <c r="E29" s="47"/>
      <c r="J29" s="216" t="str" cm="1">
        <f t="array" ref="J29:K29">'F01 UNIFORMES'!J22:K22</f>
        <v>GASOLINA</v>
      </c>
      <c r="K29" s="202">
        <v>22</v>
      </c>
      <c r="L29"/>
      <c r="M29" s="10"/>
    </row>
    <row r="30" spans="1:26" ht="22" customHeight="1" x14ac:dyDescent="0.35">
      <c r="B30" s="2"/>
      <c r="J30" s="253" t="str" cm="1">
        <f t="array" ref="J30:K30">'F01 UNIFORMES'!J23:K23</f>
        <v>DIESEL</v>
      </c>
      <c r="K30" s="254">
        <v>23</v>
      </c>
      <c r="L30"/>
      <c r="M30" s="10"/>
    </row>
    <row r="31" spans="1:26" ht="22" customHeight="1" x14ac:dyDescent="0.35">
      <c r="B31" s="2"/>
      <c r="J31" s="346" t="s">
        <v>345</v>
      </c>
      <c r="K31" s="347"/>
      <c r="L31" s="2"/>
      <c r="M31" s="10"/>
    </row>
    <row r="32" spans="1:26" ht="22" customHeight="1" x14ac:dyDescent="0.35">
      <c r="B32" s="2"/>
      <c r="J32" s="348"/>
      <c r="K32" s="349"/>
      <c r="L32" s="2"/>
      <c r="M32" s="10"/>
    </row>
    <row r="33" spans="2:12" ht="22" customHeight="1" x14ac:dyDescent="0.35">
      <c r="B33" s="2"/>
      <c r="J33" s="2"/>
      <c r="K33" s="2"/>
      <c r="L33" s="2"/>
    </row>
    <row r="39" spans="2:12" ht="22" customHeight="1" x14ac:dyDescent="0.35">
      <c r="B39" s="2"/>
    </row>
    <row r="40" spans="2:12" ht="22" customHeight="1" x14ac:dyDescent="0.35">
      <c r="B40" s="2"/>
    </row>
    <row r="41" spans="2:12" ht="22" customHeight="1" x14ac:dyDescent="0.35">
      <c r="B41" s="2"/>
    </row>
    <row r="42" spans="2:12" ht="22" customHeight="1" x14ac:dyDescent="0.35">
      <c r="B42" s="2"/>
    </row>
    <row r="43" spans="2:12" ht="22" customHeight="1" x14ac:dyDescent="0.35">
      <c r="B43" s="2"/>
    </row>
    <row r="44" spans="2:12" ht="22" customHeight="1" x14ac:dyDescent="0.35">
      <c r="B44" s="2"/>
    </row>
    <row r="45" spans="2:12" ht="22" customHeight="1" x14ac:dyDescent="0.35">
      <c r="B45" s="2"/>
    </row>
    <row r="46" spans="2:12" ht="22" customHeight="1" x14ac:dyDescent="0.35">
      <c r="B46" s="2"/>
    </row>
    <row r="47" spans="2:12" ht="22" customHeight="1" x14ac:dyDescent="0.35">
      <c r="B47" s="2"/>
    </row>
    <row r="48" spans="2:12" ht="22" customHeight="1" x14ac:dyDescent="0.35">
      <c r="B48" s="2"/>
    </row>
    <row r="49" spans="2:2" ht="22" customHeight="1" x14ac:dyDescent="0.35">
      <c r="B49" s="2"/>
    </row>
    <row r="50" spans="2:2" ht="22" customHeight="1" x14ac:dyDescent="0.35">
      <c r="B50" s="2"/>
    </row>
    <row r="51" spans="2:2" ht="22" customHeight="1" x14ac:dyDescent="0.35">
      <c r="B51" s="2"/>
    </row>
    <row r="52" spans="2:2" ht="22" customHeight="1" x14ac:dyDescent="0.35">
      <c r="B52" s="2"/>
    </row>
  </sheetData>
  <mergeCells count="16">
    <mergeCell ref="J31:K32"/>
    <mergeCell ref="B4:B6"/>
    <mergeCell ref="C4:C6"/>
    <mergeCell ref="D4:D6"/>
    <mergeCell ref="E4:E6"/>
    <mergeCell ref="J4:J5"/>
    <mergeCell ref="J19:K19"/>
    <mergeCell ref="J20:K20"/>
    <mergeCell ref="J21:K21"/>
    <mergeCell ref="J22:K22"/>
    <mergeCell ref="J24:K24"/>
    <mergeCell ref="K4:K6"/>
    <mergeCell ref="F4:F6"/>
    <mergeCell ref="G4:G6"/>
    <mergeCell ref="H4:H6"/>
    <mergeCell ref="I4:I6"/>
  </mergeCells>
  <phoneticPr fontId="8" type="noConversion"/>
  <hyperlinks>
    <hyperlink ref="J31" r:id="rId1" xr:uid="{F41ED96D-15A3-434C-943B-CC31EF2B8604}"/>
  </hyperlinks>
  <pageMargins left="0.25" right="0.25" top="0.75" bottom="0.75" header="0.3" footer="0.3"/>
  <pageSetup paperSize="3"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U64"/>
  <sheetViews>
    <sheetView zoomScale="80" zoomScaleNormal="80" workbookViewId="0">
      <pane xSplit="10" ySplit="6" topLeftCell="K47" activePane="bottomRight" state="frozen"/>
      <selection pane="topRight" activeCell="K1" sqref="K1"/>
      <selection pane="bottomLeft" activeCell="A7" sqref="A7"/>
      <selection pane="bottomRight" activeCell="E26" sqref="E26"/>
    </sheetView>
  </sheetViews>
  <sheetFormatPr baseColWidth="10" defaultColWidth="10.5" defaultRowHeight="20" customHeight="1" x14ac:dyDescent="0.35"/>
  <cols>
    <col min="1" max="1" width="7.5" style="4" customWidth="1"/>
    <col min="2" max="2" width="37.5" style="4" customWidth="1"/>
    <col min="3" max="3" width="27.5" style="4" bestFit="1" customWidth="1"/>
    <col min="4" max="4" width="13.5" style="52" customWidth="1"/>
    <col min="5" max="5" width="19.1640625" style="52" customWidth="1"/>
    <col min="6" max="7" width="19.1640625" style="4" customWidth="1"/>
    <col min="8" max="8" width="14.1640625" style="52" customWidth="1"/>
    <col min="9" max="9" width="19.6640625" style="52" bestFit="1" customWidth="1"/>
    <col min="10" max="10" width="20.5" style="52" customWidth="1"/>
    <col min="11" max="11" width="2.33203125" style="52" customWidth="1"/>
    <col min="12" max="12" width="15.6640625" style="4" bestFit="1" customWidth="1"/>
    <col min="13" max="25" width="13.5" style="4" bestFit="1" customWidth="1"/>
    <col min="26" max="16384" width="10.5" style="4"/>
  </cols>
  <sheetData>
    <row r="1" spans="1:99" s="2" customFormat="1" ht="20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spans="1:99" s="2" customFormat="1" ht="20" customHeight="1" x14ac:dyDescent="0.35">
      <c r="A2" s="12"/>
      <c r="B2" s="44" t="s">
        <v>12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3" spans="1:99" s="2" customFormat="1" ht="20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</row>
    <row r="4" spans="1:99" ht="26" customHeight="1" x14ac:dyDescent="0.35">
      <c r="A4" s="12"/>
      <c r="B4" s="345" t="s">
        <v>263</v>
      </c>
      <c r="C4" s="324" t="s">
        <v>1</v>
      </c>
      <c r="D4" s="324" t="s">
        <v>23</v>
      </c>
      <c r="E4" s="324" t="s">
        <v>2</v>
      </c>
      <c r="F4" s="324" t="s">
        <v>239</v>
      </c>
      <c r="G4" s="324" t="s">
        <v>344</v>
      </c>
      <c r="H4" s="324" t="s">
        <v>240</v>
      </c>
      <c r="I4" s="324" t="s">
        <v>256</v>
      </c>
      <c r="J4" s="333" t="s">
        <v>398</v>
      </c>
      <c r="K4" s="2"/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</row>
    <row r="5" spans="1:99" ht="26" customHeight="1" x14ac:dyDescent="0.35">
      <c r="A5" s="12"/>
      <c r="B5" s="324"/>
      <c r="C5" s="324"/>
      <c r="D5" s="324"/>
      <c r="E5" s="324"/>
      <c r="F5" s="324"/>
      <c r="G5" s="324" t="s">
        <v>344</v>
      </c>
      <c r="H5" s="324" t="s">
        <v>240</v>
      </c>
      <c r="I5" s="324" t="s">
        <v>256</v>
      </c>
      <c r="J5" s="333"/>
      <c r="K5" s="2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</row>
    <row r="6" spans="1:99" ht="20" customHeight="1" x14ac:dyDescent="0.35">
      <c r="A6" s="12"/>
      <c r="B6" s="335"/>
      <c r="C6" s="335"/>
      <c r="D6" s="335"/>
      <c r="E6" s="335"/>
      <c r="F6" s="335"/>
      <c r="G6" s="335" t="s">
        <v>242</v>
      </c>
      <c r="H6" s="335" t="s">
        <v>243</v>
      </c>
      <c r="I6" s="335" t="s">
        <v>243</v>
      </c>
      <c r="J6" s="257" t="s">
        <v>399</v>
      </c>
      <c r="K6" s="2"/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</row>
    <row r="7" spans="1:99" ht="20" customHeight="1" x14ac:dyDescent="0.35">
      <c r="A7" s="12"/>
      <c r="B7" s="231" t="s">
        <v>160</v>
      </c>
      <c r="C7" s="237" t="s">
        <v>439</v>
      </c>
      <c r="D7" s="237"/>
      <c r="E7" s="220">
        <v>0</v>
      </c>
      <c r="F7" s="238">
        <f>I7/$J$57</f>
        <v>0</v>
      </c>
      <c r="G7" s="250">
        <f>E7*F7</f>
        <v>0</v>
      </c>
      <c r="H7" s="243">
        <v>257.76</v>
      </c>
      <c r="I7" s="243">
        <f>H7*E7</f>
        <v>0</v>
      </c>
      <c r="J7" s="243">
        <f>I7*1.16</f>
        <v>0</v>
      </c>
      <c r="K7" s="2"/>
      <c r="L7" s="243">
        <v>0</v>
      </c>
      <c r="M7" s="243">
        <f>$G$7</f>
        <v>0</v>
      </c>
      <c r="N7" s="243">
        <f t="shared" ref="N7:Y7" si="0">$G$7</f>
        <v>0</v>
      </c>
      <c r="O7" s="243">
        <f t="shared" si="0"/>
        <v>0</v>
      </c>
      <c r="P7" s="243">
        <f t="shared" si="0"/>
        <v>0</v>
      </c>
      <c r="Q7" s="243">
        <f t="shared" si="0"/>
        <v>0</v>
      </c>
      <c r="R7" s="243">
        <f t="shared" si="0"/>
        <v>0</v>
      </c>
      <c r="S7" s="243">
        <f t="shared" si="0"/>
        <v>0</v>
      </c>
      <c r="T7" s="243">
        <f t="shared" si="0"/>
        <v>0</v>
      </c>
      <c r="U7" s="243">
        <f t="shared" si="0"/>
        <v>0</v>
      </c>
      <c r="V7" s="243">
        <f t="shared" si="0"/>
        <v>0</v>
      </c>
      <c r="W7" s="243">
        <f t="shared" si="0"/>
        <v>0</v>
      </c>
      <c r="X7" s="243">
        <f t="shared" si="0"/>
        <v>0</v>
      </c>
      <c r="Y7" s="243">
        <f t="shared" si="0"/>
        <v>0</v>
      </c>
    </row>
    <row r="8" spans="1:99" ht="20" customHeight="1" x14ac:dyDescent="0.35">
      <c r="A8" s="12"/>
      <c r="B8" s="231" t="s">
        <v>160</v>
      </c>
      <c r="C8" s="237" t="s">
        <v>450</v>
      </c>
      <c r="D8" s="237"/>
      <c r="E8" s="220">
        <v>0</v>
      </c>
      <c r="F8" s="238">
        <f t="shared" ref="F8:F9" si="1">I8/$J$57</f>
        <v>0</v>
      </c>
      <c r="G8" s="250">
        <f t="shared" ref="G8:G9" si="2">E8*F8</f>
        <v>0</v>
      </c>
      <c r="H8" s="243">
        <v>731.9</v>
      </c>
      <c r="I8" s="243">
        <f t="shared" ref="I8:I9" si="3">H8*E8</f>
        <v>0</v>
      </c>
      <c r="J8" s="243">
        <f t="shared" ref="J8:J9" si="4">I8*1.16</f>
        <v>0</v>
      </c>
      <c r="K8" s="2"/>
      <c r="L8" s="243">
        <v>0</v>
      </c>
      <c r="M8" s="243">
        <f>$G$8</f>
        <v>0</v>
      </c>
      <c r="N8" s="243">
        <f t="shared" ref="N8:Y8" si="5">$G$8</f>
        <v>0</v>
      </c>
      <c r="O8" s="243">
        <f t="shared" si="5"/>
        <v>0</v>
      </c>
      <c r="P8" s="243">
        <f t="shared" si="5"/>
        <v>0</v>
      </c>
      <c r="Q8" s="243">
        <f t="shared" si="5"/>
        <v>0</v>
      </c>
      <c r="R8" s="243">
        <f t="shared" si="5"/>
        <v>0</v>
      </c>
      <c r="S8" s="243">
        <f t="shared" si="5"/>
        <v>0</v>
      </c>
      <c r="T8" s="243">
        <f t="shared" si="5"/>
        <v>0</v>
      </c>
      <c r="U8" s="243">
        <f t="shared" si="5"/>
        <v>0</v>
      </c>
      <c r="V8" s="243">
        <f t="shared" si="5"/>
        <v>0</v>
      </c>
      <c r="W8" s="243">
        <f t="shared" si="5"/>
        <v>0</v>
      </c>
      <c r="X8" s="243">
        <f t="shared" si="5"/>
        <v>0</v>
      </c>
      <c r="Y8" s="243">
        <f t="shared" si="5"/>
        <v>0</v>
      </c>
    </row>
    <row r="9" spans="1:99" ht="20" customHeight="1" x14ac:dyDescent="0.35">
      <c r="A9" s="12"/>
      <c r="B9" s="231" t="s">
        <v>160</v>
      </c>
      <c r="C9" s="237" t="s">
        <v>451</v>
      </c>
      <c r="D9" s="237"/>
      <c r="E9" s="220">
        <v>0</v>
      </c>
      <c r="F9" s="238">
        <f t="shared" si="1"/>
        <v>0</v>
      </c>
      <c r="G9" s="250">
        <f t="shared" si="2"/>
        <v>0</v>
      </c>
      <c r="H9" s="243">
        <v>283.62</v>
      </c>
      <c r="I9" s="243">
        <f t="shared" si="3"/>
        <v>0</v>
      </c>
      <c r="J9" s="243">
        <f t="shared" si="4"/>
        <v>0</v>
      </c>
      <c r="K9" s="2"/>
      <c r="L9" s="243">
        <v>0</v>
      </c>
      <c r="M9" s="243">
        <f>$G$9</f>
        <v>0</v>
      </c>
      <c r="N9" s="243">
        <f t="shared" ref="N9:Y9" si="6">$G$9</f>
        <v>0</v>
      </c>
      <c r="O9" s="243">
        <f t="shared" si="6"/>
        <v>0</v>
      </c>
      <c r="P9" s="243">
        <f t="shared" si="6"/>
        <v>0</v>
      </c>
      <c r="Q9" s="243">
        <f t="shared" si="6"/>
        <v>0</v>
      </c>
      <c r="R9" s="243">
        <f t="shared" si="6"/>
        <v>0</v>
      </c>
      <c r="S9" s="243">
        <f t="shared" si="6"/>
        <v>0</v>
      </c>
      <c r="T9" s="243">
        <f t="shared" si="6"/>
        <v>0</v>
      </c>
      <c r="U9" s="243">
        <f t="shared" si="6"/>
        <v>0</v>
      </c>
      <c r="V9" s="243">
        <f t="shared" si="6"/>
        <v>0</v>
      </c>
      <c r="W9" s="243">
        <f t="shared" si="6"/>
        <v>0</v>
      </c>
      <c r="X9" s="243">
        <f t="shared" si="6"/>
        <v>0</v>
      </c>
      <c r="Y9" s="243">
        <f t="shared" si="6"/>
        <v>0</v>
      </c>
    </row>
    <row r="10" spans="1:99" ht="20" customHeight="1" x14ac:dyDescent="0.35">
      <c r="A10" s="12"/>
      <c r="B10" s="46"/>
      <c r="C10" s="46"/>
      <c r="F10" s="52"/>
      <c r="G10" s="52"/>
      <c r="H10" s="53"/>
      <c r="I10" s="54"/>
      <c r="K10" s="2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 spans="1:99" ht="20" customHeight="1" x14ac:dyDescent="0.35">
      <c r="A11" s="12"/>
      <c r="C11" s="46"/>
      <c r="D11" s="5"/>
      <c r="E11" s="54"/>
      <c r="F11" s="53"/>
      <c r="G11" s="53"/>
      <c r="H11" s="53"/>
      <c r="I11" s="325" t="s">
        <v>402</v>
      </c>
      <c r="J11" s="326"/>
      <c r="K11" s="95"/>
      <c r="L11" s="210">
        <f>SUM(L7:L9)</f>
        <v>0</v>
      </c>
      <c r="M11" s="210">
        <f t="shared" ref="M11:Y11" si="7">SUM(M7:M9)</f>
        <v>0</v>
      </c>
      <c r="N11" s="210">
        <f t="shared" si="7"/>
        <v>0</v>
      </c>
      <c r="O11" s="210">
        <f t="shared" si="7"/>
        <v>0</v>
      </c>
      <c r="P11" s="210">
        <f t="shared" si="7"/>
        <v>0</v>
      </c>
      <c r="Q11" s="210">
        <f t="shared" si="7"/>
        <v>0</v>
      </c>
      <c r="R11" s="210">
        <f t="shared" si="7"/>
        <v>0</v>
      </c>
      <c r="S11" s="210">
        <f t="shared" si="7"/>
        <v>0</v>
      </c>
      <c r="T11" s="210">
        <f t="shared" si="7"/>
        <v>0</v>
      </c>
      <c r="U11" s="210">
        <f t="shared" si="7"/>
        <v>0</v>
      </c>
      <c r="V11" s="210">
        <f t="shared" si="7"/>
        <v>0</v>
      </c>
      <c r="W11" s="210">
        <f t="shared" si="7"/>
        <v>0</v>
      </c>
      <c r="X11" s="210">
        <f t="shared" si="7"/>
        <v>0</v>
      </c>
      <c r="Y11" s="210">
        <f t="shared" si="7"/>
        <v>0</v>
      </c>
    </row>
    <row r="12" spans="1:99" ht="20" customHeight="1" x14ac:dyDescent="0.35">
      <c r="A12" s="12"/>
      <c r="C12" s="46"/>
      <c r="D12" s="5"/>
      <c r="E12" s="54"/>
      <c r="F12" s="53"/>
      <c r="G12" s="53"/>
      <c r="H12" s="53"/>
      <c r="I12" s="327" t="s">
        <v>397</v>
      </c>
      <c r="J12" s="328"/>
      <c r="K12" s="95"/>
      <c r="L12" s="211">
        <f>L11*$T$25</f>
        <v>0</v>
      </c>
      <c r="M12" s="211">
        <f>M11*$J$57</f>
        <v>0</v>
      </c>
      <c r="N12" s="211">
        <f t="shared" ref="N12:Y12" si="8">N11*$J$57</f>
        <v>0</v>
      </c>
      <c r="O12" s="211">
        <f t="shared" si="8"/>
        <v>0</v>
      </c>
      <c r="P12" s="211">
        <f t="shared" si="8"/>
        <v>0</v>
      </c>
      <c r="Q12" s="211">
        <f t="shared" si="8"/>
        <v>0</v>
      </c>
      <c r="R12" s="211">
        <f t="shared" si="8"/>
        <v>0</v>
      </c>
      <c r="S12" s="211">
        <f t="shared" si="8"/>
        <v>0</v>
      </c>
      <c r="T12" s="211">
        <f t="shared" si="8"/>
        <v>0</v>
      </c>
      <c r="U12" s="211">
        <f t="shared" si="8"/>
        <v>0</v>
      </c>
      <c r="V12" s="211">
        <f t="shared" si="8"/>
        <v>0</v>
      </c>
      <c r="W12" s="211">
        <f t="shared" si="8"/>
        <v>0</v>
      </c>
      <c r="X12" s="211">
        <f t="shared" si="8"/>
        <v>0</v>
      </c>
      <c r="Y12" s="211">
        <f t="shared" si="8"/>
        <v>0</v>
      </c>
    </row>
    <row r="13" spans="1:99" ht="20" customHeight="1" x14ac:dyDescent="0.35">
      <c r="A13" s="12"/>
      <c r="C13" s="46"/>
      <c r="D13" s="5"/>
      <c r="E13" s="54"/>
      <c r="F13" s="53"/>
      <c r="G13" s="53"/>
      <c r="H13" s="53"/>
      <c r="I13" s="325" t="s">
        <v>403</v>
      </c>
      <c r="J13" s="326"/>
      <c r="K13" s="95"/>
      <c r="L13" s="210">
        <f>SUM(L11:Y11)</f>
        <v>0</v>
      </c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</row>
    <row r="14" spans="1:99" ht="20" customHeight="1" x14ac:dyDescent="0.35">
      <c r="A14" s="12"/>
      <c r="C14" s="46"/>
      <c r="D14" s="5"/>
      <c r="E14" s="54"/>
      <c r="F14" s="53"/>
      <c r="G14" s="53"/>
      <c r="H14" s="53"/>
      <c r="I14" s="327" t="s">
        <v>256</v>
      </c>
      <c r="J14" s="328"/>
      <c r="K14" s="95"/>
      <c r="L14" s="226">
        <f>SUM(L12:Y12)</f>
        <v>0</v>
      </c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</row>
    <row r="15" spans="1:99" ht="20" customHeight="1" x14ac:dyDescent="0.35">
      <c r="A15" s="12"/>
      <c r="C15" s="46"/>
      <c r="D15" s="5"/>
      <c r="E15" s="54"/>
      <c r="F15" s="53"/>
      <c r="G15" s="53"/>
      <c r="H15" s="53"/>
      <c r="I15" s="54"/>
      <c r="K15" s="2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 spans="1:99" ht="20" customHeight="1" x14ac:dyDescent="0.35">
      <c r="A16" s="12"/>
      <c r="B16" s="231" t="s">
        <v>161</v>
      </c>
      <c r="C16" s="237" t="s">
        <v>452</v>
      </c>
      <c r="D16" s="237"/>
      <c r="E16" s="220">
        <v>1</v>
      </c>
      <c r="F16" s="238">
        <f>I16/$J$57</f>
        <v>75</v>
      </c>
      <c r="G16" s="250">
        <f>E16*F16</f>
        <v>75</v>
      </c>
      <c r="H16" s="243">
        <v>1500</v>
      </c>
      <c r="I16" s="243">
        <f>H16*E16</f>
        <v>1500</v>
      </c>
      <c r="J16" s="243">
        <f>I16*1.16</f>
        <v>1739.9999999999998</v>
      </c>
      <c r="K16" s="2"/>
      <c r="L16" s="243">
        <v>0</v>
      </c>
      <c r="M16" s="243">
        <f>$G$16</f>
        <v>75</v>
      </c>
      <c r="N16" s="243">
        <f t="shared" ref="N16:Y16" si="9">$G$16</f>
        <v>75</v>
      </c>
      <c r="O16" s="243">
        <f t="shared" si="9"/>
        <v>75</v>
      </c>
      <c r="P16" s="243">
        <f t="shared" si="9"/>
        <v>75</v>
      </c>
      <c r="Q16" s="243">
        <f t="shared" si="9"/>
        <v>75</v>
      </c>
      <c r="R16" s="243">
        <f t="shared" si="9"/>
        <v>75</v>
      </c>
      <c r="S16" s="243">
        <f t="shared" si="9"/>
        <v>75</v>
      </c>
      <c r="T16" s="243">
        <f t="shared" si="9"/>
        <v>75</v>
      </c>
      <c r="U16" s="243">
        <f t="shared" si="9"/>
        <v>75</v>
      </c>
      <c r="V16" s="243">
        <f t="shared" si="9"/>
        <v>75</v>
      </c>
      <c r="W16" s="243">
        <f t="shared" si="9"/>
        <v>75</v>
      </c>
      <c r="X16" s="243">
        <f t="shared" si="9"/>
        <v>75</v>
      </c>
      <c r="Y16" s="243">
        <f t="shared" si="9"/>
        <v>75</v>
      </c>
    </row>
    <row r="17" spans="1:25" ht="20" customHeight="1" x14ac:dyDescent="0.35">
      <c r="A17" s="12"/>
      <c r="B17" s="231" t="s">
        <v>161</v>
      </c>
      <c r="C17" s="237"/>
      <c r="D17" s="237"/>
      <c r="E17" s="220">
        <v>0</v>
      </c>
      <c r="F17" s="238">
        <f t="shared" ref="F17:F18" si="10">I17/$J$57</f>
        <v>0</v>
      </c>
      <c r="G17" s="250">
        <f t="shared" ref="G17:G18" si="11">E17*F17</f>
        <v>0</v>
      </c>
      <c r="H17" s="243">
        <v>0</v>
      </c>
      <c r="I17" s="243">
        <f t="shared" ref="I17:I18" si="12">H17*E17</f>
        <v>0</v>
      </c>
      <c r="J17" s="243">
        <f t="shared" ref="J17:J18" si="13">I17*1.16</f>
        <v>0</v>
      </c>
      <c r="K17" s="2"/>
      <c r="L17" s="243">
        <v>0</v>
      </c>
      <c r="M17" s="243">
        <f>$G$17</f>
        <v>0</v>
      </c>
      <c r="N17" s="243">
        <f t="shared" ref="N17:Y17" si="14">$G$17</f>
        <v>0</v>
      </c>
      <c r="O17" s="243">
        <f t="shared" si="14"/>
        <v>0</v>
      </c>
      <c r="P17" s="243">
        <f t="shared" si="14"/>
        <v>0</v>
      </c>
      <c r="Q17" s="243">
        <f t="shared" si="14"/>
        <v>0</v>
      </c>
      <c r="R17" s="243">
        <f t="shared" si="14"/>
        <v>0</v>
      </c>
      <c r="S17" s="243">
        <f t="shared" si="14"/>
        <v>0</v>
      </c>
      <c r="T17" s="243">
        <f t="shared" si="14"/>
        <v>0</v>
      </c>
      <c r="U17" s="243">
        <f t="shared" si="14"/>
        <v>0</v>
      </c>
      <c r="V17" s="243">
        <f t="shared" si="14"/>
        <v>0</v>
      </c>
      <c r="W17" s="243">
        <f t="shared" si="14"/>
        <v>0</v>
      </c>
      <c r="X17" s="243">
        <f t="shared" si="14"/>
        <v>0</v>
      </c>
      <c r="Y17" s="243">
        <f t="shared" si="14"/>
        <v>0</v>
      </c>
    </row>
    <row r="18" spans="1:25" ht="20" customHeight="1" x14ac:dyDescent="0.35">
      <c r="A18" s="12"/>
      <c r="B18" s="231" t="s">
        <v>161</v>
      </c>
      <c r="C18" s="237"/>
      <c r="D18" s="237"/>
      <c r="E18" s="220">
        <v>0</v>
      </c>
      <c r="F18" s="238">
        <f t="shared" si="10"/>
        <v>0</v>
      </c>
      <c r="G18" s="250">
        <f t="shared" si="11"/>
        <v>0</v>
      </c>
      <c r="H18" s="243">
        <v>0</v>
      </c>
      <c r="I18" s="243">
        <f t="shared" si="12"/>
        <v>0</v>
      </c>
      <c r="J18" s="243">
        <f t="shared" si="13"/>
        <v>0</v>
      </c>
      <c r="K18" s="2"/>
      <c r="L18" s="243">
        <v>0</v>
      </c>
      <c r="M18" s="243">
        <f>$G$18</f>
        <v>0</v>
      </c>
      <c r="N18" s="243">
        <f t="shared" ref="N18:Y18" si="15">$G$18</f>
        <v>0</v>
      </c>
      <c r="O18" s="243">
        <f t="shared" si="15"/>
        <v>0</v>
      </c>
      <c r="P18" s="243">
        <f t="shared" si="15"/>
        <v>0</v>
      </c>
      <c r="Q18" s="243">
        <f t="shared" si="15"/>
        <v>0</v>
      </c>
      <c r="R18" s="243">
        <f t="shared" si="15"/>
        <v>0</v>
      </c>
      <c r="S18" s="243">
        <f t="shared" si="15"/>
        <v>0</v>
      </c>
      <c r="T18" s="243">
        <f t="shared" si="15"/>
        <v>0</v>
      </c>
      <c r="U18" s="243">
        <f t="shared" si="15"/>
        <v>0</v>
      </c>
      <c r="V18" s="243">
        <f t="shared" si="15"/>
        <v>0</v>
      </c>
      <c r="W18" s="243">
        <f t="shared" si="15"/>
        <v>0</v>
      </c>
      <c r="X18" s="243">
        <f t="shared" si="15"/>
        <v>0</v>
      </c>
      <c r="Y18" s="243">
        <f t="shared" si="15"/>
        <v>0</v>
      </c>
    </row>
    <row r="19" spans="1:25" ht="20" customHeight="1" x14ac:dyDescent="0.35">
      <c r="A19" s="12"/>
      <c r="B19" s="46"/>
      <c r="C19" s="46"/>
      <c r="F19" s="52"/>
      <c r="G19" s="52"/>
      <c r="H19" s="53"/>
      <c r="I19" s="54"/>
      <c r="K19" s="2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 spans="1:25" ht="20" customHeight="1" x14ac:dyDescent="0.35">
      <c r="A20" s="12"/>
      <c r="D20" s="4"/>
      <c r="E20" s="4"/>
      <c r="H20" s="4"/>
      <c r="I20" s="325" t="s">
        <v>402</v>
      </c>
      <c r="J20" s="326"/>
      <c r="K20" s="95"/>
      <c r="L20" s="210">
        <f>SUM(L16:L18)</f>
        <v>0</v>
      </c>
      <c r="M20" s="210">
        <f t="shared" ref="M20:Y20" si="16">SUM(M16:M18)</f>
        <v>75</v>
      </c>
      <c r="N20" s="210">
        <f t="shared" si="16"/>
        <v>75</v>
      </c>
      <c r="O20" s="210">
        <f t="shared" si="16"/>
        <v>75</v>
      </c>
      <c r="P20" s="210">
        <f t="shared" si="16"/>
        <v>75</v>
      </c>
      <c r="Q20" s="210">
        <f t="shared" si="16"/>
        <v>75</v>
      </c>
      <c r="R20" s="210">
        <f t="shared" si="16"/>
        <v>75</v>
      </c>
      <c r="S20" s="210">
        <f t="shared" si="16"/>
        <v>75</v>
      </c>
      <c r="T20" s="210">
        <f t="shared" si="16"/>
        <v>75</v>
      </c>
      <c r="U20" s="210">
        <f t="shared" si="16"/>
        <v>75</v>
      </c>
      <c r="V20" s="210">
        <f t="shared" si="16"/>
        <v>75</v>
      </c>
      <c r="W20" s="210">
        <f t="shared" si="16"/>
        <v>75</v>
      </c>
      <c r="X20" s="210">
        <f t="shared" si="16"/>
        <v>75</v>
      </c>
      <c r="Y20" s="210">
        <f t="shared" si="16"/>
        <v>75</v>
      </c>
    </row>
    <row r="21" spans="1:25" ht="20" customHeight="1" x14ac:dyDescent="0.35">
      <c r="A21" s="12"/>
      <c r="D21" s="4"/>
      <c r="E21" s="4"/>
      <c r="H21" s="4"/>
      <c r="I21" s="327" t="s">
        <v>397</v>
      </c>
      <c r="J21" s="328"/>
      <c r="K21" s="95"/>
      <c r="L21" s="211">
        <f>L20*$T$25</f>
        <v>0</v>
      </c>
      <c r="M21" s="211">
        <f>M20*$J$57</f>
        <v>1500</v>
      </c>
      <c r="N21" s="211">
        <f t="shared" ref="N21" si="17">N20*$J$57</f>
        <v>1500</v>
      </c>
      <c r="O21" s="211">
        <f t="shared" ref="O21" si="18">O20*$J$57</f>
        <v>1500</v>
      </c>
      <c r="P21" s="211">
        <f t="shared" ref="P21" si="19">P20*$J$57</f>
        <v>1500</v>
      </c>
      <c r="Q21" s="211">
        <f t="shared" ref="Q21" si="20">Q20*$J$57</f>
        <v>1500</v>
      </c>
      <c r="R21" s="211">
        <f t="shared" ref="R21" si="21">R20*$J$57</f>
        <v>1500</v>
      </c>
      <c r="S21" s="211">
        <f t="shared" ref="S21" si="22">S20*$J$57</f>
        <v>1500</v>
      </c>
      <c r="T21" s="211">
        <f t="shared" ref="T21" si="23">T20*$J$57</f>
        <v>1500</v>
      </c>
      <c r="U21" s="211">
        <f t="shared" ref="U21" si="24">U20*$J$57</f>
        <v>1500</v>
      </c>
      <c r="V21" s="211">
        <f t="shared" ref="V21" si="25">V20*$J$57</f>
        <v>1500</v>
      </c>
      <c r="W21" s="211">
        <f t="shared" ref="W21" si="26">W20*$J$57</f>
        <v>1500</v>
      </c>
      <c r="X21" s="211">
        <f t="shared" ref="X21" si="27">X20*$J$57</f>
        <v>1500</v>
      </c>
      <c r="Y21" s="211">
        <f t="shared" ref="Y21" si="28">Y20*$J$57</f>
        <v>1500</v>
      </c>
    </row>
    <row r="22" spans="1:25" ht="20" customHeight="1" x14ac:dyDescent="0.35">
      <c r="A22" s="12"/>
      <c r="D22" s="4"/>
      <c r="E22" s="4"/>
      <c r="H22" s="4"/>
      <c r="I22" s="325" t="s">
        <v>403</v>
      </c>
      <c r="J22" s="326"/>
      <c r="K22" s="95"/>
      <c r="L22" s="210">
        <f>SUM(L20:Y20)</f>
        <v>975</v>
      </c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</row>
    <row r="23" spans="1:25" ht="20" customHeight="1" x14ac:dyDescent="0.35">
      <c r="A23" s="12"/>
      <c r="D23" s="4"/>
      <c r="E23" s="4"/>
      <c r="H23" s="4"/>
      <c r="I23" s="327" t="s">
        <v>256</v>
      </c>
      <c r="J23" s="328"/>
      <c r="K23" s="95"/>
      <c r="L23" s="226">
        <f>SUM(L21:Y21)</f>
        <v>19500</v>
      </c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</row>
    <row r="24" spans="1:25" ht="20" customHeight="1" x14ac:dyDescent="0.35">
      <c r="A24" s="12"/>
      <c r="D24" s="4"/>
      <c r="E24" s="4"/>
      <c r="H24" s="4"/>
      <c r="I24" s="4"/>
      <c r="J24" s="4"/>
      <c r="K24" s="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20" customHeight="1" x14ac:dyDescent="0.35">
      <c r="A25" s="12"/>
      <c r="B25" s="231" t="s">
        <v>162</v>
      </c>
      <c r="C25" s="237" t="s">
        <v>429</v>
      </c>
      <c r="D25" s="237"/>
      <c r="E25" s="220">
        <v>0</v>
      </c>
      <c r="F25" s="238">
        <f>I25/$J$57</f>
        <v>0</v>
      </c>
      <c r="G25" s="250">
        <f>E25*F25</f>
        <v>0</v>
      </c>
      <c r="H25" s="243">
        <v>11600</v>
      </c>
      <c r="I25" s="243">
        <f>H25*E25</f>
        <v>0</v>
      </c>
      <c r="J25" s="243">
        <f>I25*1.16</f>
        <v>0</v>
      </c>
      <c r="K25" s="2"/>
      <c r="L25" s="243">
        <v>0</v>
      </c>
      <c r="M25" s="243">
        <f>$G$25</f>
        <v>0</v>
      </c>
      <c r="N25" s="243">
        <f t="shared" ref="N25:Y25" si="29">$G$25</f>
        <v>0</v>
      </c>
      <c r="O25" s="243">
        <f t="shared" si="29"/>
        <v>0</v>
      </c>
      <c r="P25" s="243">
        <f t="shared" si="29"/>
        <v>0</v>
      </c>
      <c r="Q25" s="243">
        <f t="shared" si="29"/>
        <v>0</v>
      </c>
      <c r="R25" s="243">
        <f t="shared" si="29"/>
        <v>0</v>
      </c>
      <c r="S25" s="243">
        <f t="shared" si="29"/>
        <v>0</v>
      </c>
      <c r="T25" s="243">
        <f t="shared" si="29"/>
        <v>0</v>
      </c>
      <c r="U25" s="243">
        <f t="shared" si="29"/>
        <v>0</v>
      </c>
      <c r="V25" s="243">
        <f t="shared" si="29"/>
        <v>0</v>
      </c>
      <c r="W25" s="243">
        <f t="shared" si="29"/>
        <v>0</v>
      </c>
      <c r="X25" s="243">
        <f t="shared" si="29"/>
        <v>0</v>
      </c>
      <c r="Y25" s="243">
        <f t="shared" si="29"/>
        <v>0</v>
      </c>
    </row>
    <row r="26" spans="1:25" ht="20" customHeight="1" x14ac:dyDescent="0.35">
      <c r="A26" s="12"/>
      <c r="B26" s="231" t="s">
        <v>162</v>
      </c>
      <c r="C26" s="237" t="s">
        <v>430</v>
      </c>
      <c r="D26" s="237"/>
      <c r="E26" s="220">
        <v>0</v>
      </c>
      <c r="F26" s="238">
        <f t="shared" ref="F26:F27" si="30">I26/$J$57</f>
        <v>0</v>
      </c>
      <c r="G26" s="250">
        <f t="shared" ref="G26:G27" si="31">E26*F26</f>
        <v>0</v>
      </c>
      <c r="H26" s="243">
        <v>0</v>
      </c>
      <c r="I26" s="243">
        <f t="shared" ref="I26:I27" si="32">H26*E26</f>
        <v>0</v>
      </c>
      <c r="J26" s="243">
        <f t="shared" ref="J26:J27" si="33">I26*1.16</f>
        <v>0</v>
      </c>
      <c r="K26" s="2"/>
      <c r="L26" s="243">
        <v>0</v>
      </c>
      <c r="M26" s="243">
        <f>$G$26</f>
        <v>0</v>
      </c>
      <c r="N26" s="243">
        <f t="shared" ref="N26:Y26" si="34">$G$26</f>
        <v>0</v>
      </c>
      <c r="O26" s="243">
        <f t="shared" si="34"/>
        <v>0</v>
      </c>
      <c r="P26" s="243">
        <f t="shared" si="34"/>
        <v>0</v>
      </c>
      <c r="Q26" s="243">
        <f t="shared" si="34"/>
        <v>0</v>
      </c>
      <c r="R26" s="243">
        <f t="shared" si="34"/>
        <v>0</v>
      </c>
      <c r="S26" s="243">
        <f t="shared" si="34"/>
        <v>0</v>
      </c>
      <c r="T26" s="243">
        <f t="shared" si="34"/>
        <v>0</v>
      </c>
      <c r="U26" s="243">
        <f t="shared" si="34"/>
        <v>0</v>
      </c>
      <c r="V26" s="243">
        <f t="shared" si="34"/>
        <v>0</v>
      </c>
      <c r="W26" s="243">
        <f t="shared" si="34"/>
        <v>0</v>
      </c>
      <c r="X26" s="243">
        <f t="shared" si="34"/>
        <v>0</v>
      </c>
      <c r="Y26" s="243">
        <f t="shared" si="34"/>
        <v>0</v>
      </c>
    </row>
    <row r="27" spans="1:25" ht="20" customHeight="1" x14ac:dyDescent="0.35">
      <c r="A27" s="12"/>
      <c r="B27" s="231" t="s">
        <v>162</v>
      </c>
      <c r="C27" s="237"/>
      <c r="D27" s="237"/>
      <c r="E27" s="220">
        <v>0</v>
      </c>
      <c r="F27" s="238">
        <f t="shared" si="30"/>
        <v>0</v>
      </c>
      <c r="G27" s="250">
        <f t="shared" si="31"/>
        <v>0</v>
      </c>
      <c r="H27" s="243">
        <v>0</v>
      </c>
      <c r="I27" s="243">
        <f t="shared" si="32"/>
        <v>0</v>
      </c>
      <c r="J27" s="243">
        <f t="shared" si="33"/>
        <v>0</v>
      </c>
      <c r="K27" s="2"/>
      <c r="L27" s="243">
        <v>0</v>
      </c>
      <c r="M27" s="243">
        <f>$G$27</f>
        <v>0</v>
      </c>
      <c r="N27" s="243">
        <f t="shared" ref="N27:Y27" si="35">$G$27</f>
        <v>0</v>
      </c>
      <c r="O27" s="243">
        <f t="shared" si="35"/>
        <v>0</v>
      </c>
      <c r="P27" s="243">
        <f t="shared" si="35"/>
        <v>0</v>
      </c>
      <c r="Q27" s="243">
        <f t="shared" si="35"/>
        <v>0</v>
      </c>
      <c r="R27" s="243">
        <f t="shared" si="35"/>
        <v>0</v>
      </c>
      <c r="S27" s="243">
        <f t="shared" si="35"/>
        <v>0</v>
      </c>
      <c r="T27" s="243">
        <f t="shared" si="35"/>
        <v>0</v>
      </c>
      <c r="U27" s="243">
        <f t="shared" si="35"/>
        <v>0</v>
      </c>
      <c r="V27" s="243">
        <f t="shared" si="35"/>
        <v>0</v>
      </c>
      <c r="W27" s="243">
        <f t="shared" si="35"/>
        <v>0</v>
      </c>
      <c r="X27" s="243">
        <f t="shared" si="35"/>
        <v>0</v>
      </c>
      <c r="Y27" s="243">
        <f t="shared" si="35"/>
        <v>0</v>
      </c>
    </row>
    <row r="28" spans="1:25" ht="20" customHeight="1" x14ac:dyDescent="0.35">
      <c r="A28" s="12"/>
      <c r="B28" s="46"/>
      <c r="C28" s="46"/>
      <c r="F28" s="52"/>
      <c r="G28" s="52"/>
      <c r="H28" s="53"/>
      <c r="I28" s="54"/>
      <c r="K28" s="2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 spans="1:25" ht="20" customHeight="1" x14ac:dyDescent="0.35">
      <c r="A29" s="12"/>
      <c r="D29" s="4"/>
      <c r="E29" s="4"/>
      <c r="H29" s="4"/>
      <c r="I29" s="325" t="s">
        <v>402</v>
      </c>
      <c r="J29" s="326"/>
      <c r="K29" s="95"/>
      <c r="L29" s="210">
        <f>SUM(L25:L27)</f>
        <v>0</v>
      </c>
      <c r="M29" s="210">
        <f t="shared" ref="M29:Y29" si="36">SUM(M25:M27)</f>
        <v>0</v>
      </c>
      <c r="N29" s="210">
        <f t="shared" si="36"/>
        <v>0</v>
      </c>
      <c r="O29" s="210">
        <f t="shared" si="36"/>
        <v>0</v>
      </c>
      <c r="P29" s="210">
        <f t="shared" si="36"/>
        <v>0</v>
      </c>
      <c r="Q29" s="210">
        <f t="shared" si="36"/>
        <v>0</v>
      </c>
      <c r="R29" s="210">
        <f t="shared" si="36"/>
        <v>0</v>
      </c>
      <c r="S29" s="210">
        <f t="shared" si="36"/>
        <v>0</v>
      </c>
      <c r="T29" s="210">
        <f t="shared" si="36"/>
        <v>0</v>
      </c>
      <c r="U29" s="210">
        <f t="shared" si="36"/>
        <v>0</v>
      </c>
      <c r="V29" s="210">
        <f t="shared" si="36"/>
        <v>0</v>
      </c>
      <c r="W29" s="210">
        <f t="shared" si="36"/>
        <v>0</v>
      </c>
      <c r="X29" s="210">
        <f t="shared" si="36"/>
        <v>0</v>
      </c>
      <c r="Y29" s="210">
        <f t="shared" si="36"/>
        <v>0</v>
      </c>
    </row>
    <row r="30" spans="1:25" ht="20" customHeight="1" x14ac:dyDescent="0.35">
      <c r="A30" s="12"/>
      <c r="D30" s="4"/>
      <c r="E30" s="4"/>
      <c r="H30" s="4"/>
      <c r="I30" s="327" t="s">
        <v>397</v>
      </c>
      <c r="J30" s="328"/>
      <c r="K30" s="95"/>
      <c r="L30" s="211">
        <f>L29*$T$25</f>
        <v>0</v>
      </c>
      <c r="M30" s="211">
        <f>M29*$J$57</f>
        <v>0</v>
      </c>
      <c r="N30" s="211">
        <f t="shared" ref="N30" si="37">N29*$J$57</f>
        <v>0</v>
      </c>
      <c r="O30" s="211">
        <f t="shared" ref="O30" si="38">O29*$J$57</f>
        <v>0</v>
      </c>
      <c r="P30" s="211">
        <f t="shared" ref="P30" si="39">P29*$J$57</f>
        <v>0</v>
      </c>
      <c r="Q30" s="211">
        <f t="shared" ref="Q30" si="40">Q29*$J$57</f>
        <v>0</v>
      </c>
      <c r="R30" s="211">
        <f t="shared" ref="R30" si="41">R29*$J$57</f>
        <v>0</v>
      </c>
      <c r="S30" s="211">
        <f t="shared" ref="S30" si="42">S29*$J$57</f>
        <v>0</v>
      </c>
      <c r="T30" s="211">
        <f t="shared" ref="T30" si="43">T29*$J$57</f>
        <v>0</v>
      </c>
      <c r="U30" s="211">
        <f t="shared" ref="U30" si="44">U29*$J$57</f>
        <v>0</v>
      </c>
      <c r="V30" s="211">
        <f t="shared" ref="V30" si="45">V29*$J$57</f>
        <v>0</v>
      </c>
      <c r="W30" s="211">
        <f t="shared" ref="W30" si="46">W29*$J$57</f>
        <v>0</v>
      </c>
      <c r="X30" s="211">
        <f t="shared" ref="X30" si="47">X29*$J$57</f>
        <v>0</v>
      </c>
      <c r="Y30" s="211">
        <f t="shared" ref="Y30" si="48">Y29*$J$57</f>
        <v>0</v>
      </c>
    </row>
    <row r="31" spans="1:25" ht="20" customHeight="1" x14ac:dyDescent="0.35">
      <c r="A31" s="12"/>
      <c r="D31" s="4"/>
      <c r="E31" s="4"/>
      <c r="H31" s="4"/>
      <c r="I31" s="325" t="s">
        <v>403</v>
      </c>
      <c r="J31" s="326"/>
      <c r="K31" s="95"/>
      <c r="L31" s="210">
        <f>SUM(L29:Y29)</f>
        <v>0</v>
      </c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</row>
    <row r="32" spans="1:25" ht="20" customHeight="1" x14ac:dyDescent="0.35">
      <c r="A32" s="12"/>
      <c r="D32" s="4"/>
      <c r="E32" s="4"/>
      <c r="H32" s="4"/>
      <c r="I32" s="327" t="s">
        <v>256</v>
      </c>
      <c r="J32" s="328"/>
      <c r="K32" s="95"/>
      <c r="L32" s="226">
        <f>SUM(L30:Y30)</f>
        <v>0</v>
      </c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</row>
    <row r="33" spans="1:99" ht="20" customHeight="1" x14ac:dyDescent="0.35">
      <c r="A33" s="12"/>
      <c r="D33" s="4"/>
      <c r="E33" s="4"/>
      <c r="H33" s="4"/>
      <c r="I33" s="4"/>
      <c r="J33" s="4"/>
      <c r="K33" s="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99" ht="20" customHeight="1" x14ac:dyDescent="0.35">
      <c r="A34" s="1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99" ht="20" customHeight="1" x14ac:dyDescent="0.35">
      <c r="A35" s="12"/>
      <c r="D35" s="4"/>
      <c r="E35" s="4"/>
      <c r="H35" s="4"/>
      <c r="I35" s="325" t="s">
        <v>402</v>
      </c>
      <c r="J35" s="326"/>
      <c r="K35" s="95"/>
      <c r="L35" s="210">
        <f>+L29+L20+L11</f>
        <v>0</v>
      </c>
      <c r="M35" s="210">
        <f t="shared" ref="M35:Y35" si="49">+M29+M20+M11</f>
        <v>75</v>
      </c>
      <c r="N35" s="210">
        <f t="shared" si="49"/>
        <v>75</v>
      </c>
      <c r="O35" s="210">
        <f t="shared" si="49"/>
        <v>75</v>
      </c>
      <c r="P35" s="210">
        <f t="shared" si="49"/>
        <v>75</v>
      </c>
      <c r="Q35" s="210">
        <f t="shared" si="49"/>
        <v>75</v>
      </c>
      <c r="R35" s="210">
        <f t="shared" si="49"/>
        <v>75</v>
      </c>
      <c r="S35" s="210">
        <f t="shared" si="49"/>
        <v>75</v>
      </c>
      <c r="T35" s="210">
        <f t="shared" si="49"/>
        <v>75</v>
      </c>
      <c r="U35" s="210">
        <f t="shared" si="49"/>
        <v>75</v>
      </c>
      <c r="V35" s="210">
        <f t="shared" si="49"/>
        <v>75</v>
      </c>
      <c r="W35" s="210">
        <f t="shared" si="49"/>
        <v>75</v>
      </c>
      <c r="X35" s="210">
        <f t="shared" si="49"/>
        <v>75</v>
      </c>
      <c r="Y35" s="210">
        <f t="shared" si="49"/>
        <v>75</v>
      </c>
    </row>
    <row r="36" spans="1:99" ht="20" customHeight="1" x14ac:dyDescent="0.35">
      <c r="A36" s="12"/>
      <c r="D36" s="4"/>
      <c r="E36" s="4"/>
      <c r="H36" s="4"/>
      <c r="I36" s="327" t="s">
        <v>397</v>
      </c>
      <c r="J36" s="328"/>
      <c r="K36" s="95"/>
      <c r="L36" s="211">
        <f>L35*$J$57</f>
        <v>0</v>
      </c>
      <c r="M36" s="211">
        <f t="shared" ref="M36:Y36" si="50">M35*$J$57</f>
        <v>1500</v>
      </c>
      <c r="N36" s="211">
        <f t="shared" si="50"/>
        <v>1500</v>
      </c>
      <c r="O36" s="211">
        <f t="shared" si="50"/>
        <v>1500</v>
      </c>
      <c r="P36" s="211">
        <f t="shared" si="50"/>
        <v>1500</v>
      </c>
      <c r="Q36" s="211">
        <f t="shared" si="50"/>
        <v>1500</v>
      </c>
      <c r="R36" s="211">
        <f t="shared" si="50"/>
        <v>1500</v>
      </c>
      <c r="S36" s="211">
        <f t="shared" si="50"/>
        <v>1500</v>
      </c>
      <c r="T36" s="211">
        <f t="shared" si="50"/>
        <v>1500</v>
      </c>
      <c r="U36" s="211">
        <f t="shared" si="50"/>
        <v>1500</v>
      </c>
      <c r="V36" s="211">
        <f t="shared" si="50"/>
        <v>1500</v>
      </c>
      <c r="W36" s="211">
        <f t="shared" si="50"/>
        <v>1500</v>
      </c>
      <c r="X36" s="211">
        <f t="shared" si="50"/>
        <v>1500</v>
      </c>
      <c r="Y36" s="211">
        <f t="shared" si="50"/>
        <v>1500</v>
      </c>
    </row>
    <row r="37" spans="1:99" ht="20" customHeight="1" x14ac:dyDescent="0.35">
      <c r="A37" s="12"/>
      <c r="D37" s="4"/>
      <c r="E37" s="4"/>
      <c r="H37" s="4"/>
      <c r="I37" s="325" t="s">
        <v>403</v>
      </c>
      <c r="J37" s="326"/>
      <c r="K37" s="95"/>
      <c r="L37" s="210">
        <f>SUM(L35:Y35)</f>
        <v>975</v>
      </c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</row>
    <row r="38" spans="1:99" ht="20" customHeight="1" x14ac:dyDescent="0.35">
      <c r="A38" s="12"/>
      <c r="D38" s="4"/>
      <c r="E38" s="4"/>
      <c r="H38" s="4"/>
      <c r="I38" s="327" t="s">
        <v>256</v>
      </c>
      <c r="J38" s="328"/>
      <c r="K38" s="95"/>
      <c r="L38" s="226">
        <f>SUM(L36:Y36)</f>
        <v>19500</v>
      </c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</row>
    <row r="39" spans="1:99" ht="20" customHeight="1" x14ac:dyDescent="0.35">
      <c r="A39" s="12"/>
      <c r="D39" s="4"/>
      <c r="E39" s="4"/>
      <c r="H39" s="4"/>
      <c r="I39" s="256"/>
      <c r="J39" s="256"/>
      <c r="K39" s="2"/>
      <c r="L39" s="258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</row>
    <row r="40" spans="1:99" ht="20" customHeight="1" x14ac:dyDescent="0.35">
      <c r="A40" s="12"/>
      <c r="D40" s="4"/>
      <c r="E40" s="4"/>
      <c r="H40" s="4"/>
      <c r="I40" s="256"/>
      <c r="J40" s="256"/>
      <c r="K40" s="2"/>
      <c r="L40" s="258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</row>
    <row r="41" spans="1:99" s="2" customFormat="1" ht="20" customHeight="1" x14ac:dyDescent="0.35">
      <c r="A41" s="12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s="2" customFormat="1" ht="20" customHeight="1" x14ac:dyDescent="0.35">
      <c r="A42" s="12"/>
      <c r="B42" s="44" t="s">
        <v>400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s="2" customFormat="1" ht="20" customHeight="1" x14ac:dyDescent="0.35">
      <c r="A43" s="12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ht="20" customHeight="1" x14ac:dyDescent="0.35">
      <c r="A44" s="12"/>
      <c r="B44" s="345" t="s">
        <v>263</v>
      </c>
      <c r="C44" s="324" t="s">
        <v>1</v>
      </c>
      <c r="D44" s="324" t="s">
        <v>23</v>
      </c>
      <c r="E44" s="324" t="s">
        <v>2</v>
      </c>
      <c r="F44" s="324" t="s">
        <v>239</v>
      </c>
      <c r="G44" s="324" t="s">
        <v>344</v>
      </c>
      <c r="H44" s="324" t="s">
        <v>240</v>
      </c>
      <c r="I44" s="324" t="s">
        <v>256</v>
      </c>
      <c r="J44" s="333" t="s">
        <v>398</v>
      </c>
      <c r="K44" s="2"/>
      <c r="L44" s="169" t="s">
        <v>74</v>
      </c>
      <c r="M44" s="170" t="s">
        <v>356</v>
      </c>
      <c r="N44" s="170" t="s">
        <v>357</v>
      </c>
      <c r="O44" s="170" t="s">
        <v>358</v>
      </c>
      <c r="P44" s="170" t="s">
        <v>359</v>
      </c>
      <c r="Q44" s="170" t="s">
        <v>360</v>
      </c>
      <c r="R44" s="170" t="s">
        <v>361</v>
      </c>
      <c r="S44" s="170" t="s">
        <v>362</v>
      </c>
      <c r="T44" s="170" t="s">
        <v>363</v>
      </c>
      <c r="U44" s="170" t="s">
        <v>364</v>
      </c>
      <c r="V44" s="170" t="s">
        <v>365</v>
      </c>
      <c r="W44" s="170" t="s">
        <v>366</v>
      </c>
      <c r="X44" s="170" t="s">
        <v>367</v>
      </c>
      <c r="Y44" s="170" t="s">
        <v>368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99" ht="20" customHeight="1" x14ac:dyDescent="0.35">
      <c r="A45" s="12"/>
      <c r="B45" s="324"/>
      <c r="C45" s="324"/>
      <c r="D45" s="324"/>
      <c r="E45" s="324"/>
      <c r="F45" s="324"/>
      <c r="G45" s="324" t="s">
        <v>344</v>
      </c>
      <c r="H45" s="324" t="s">
        <v>240</v>
      </c>
      <c r="I45" s="324" t="s">
        <v>256</v>
      </c>
      <c r="J45" s="333"/>
      <c r="K45" s="2"/>
      <c r="L45" s="171" t="s">
        <v>251</v>
      </c>
      <c r="M45" s="172" t="s">
        <v>339</v>
      </c>
      <c r="N45" s="172" t="s">
        <v>340</v>
      </c>
      <c r="O45" s="172" t="s">
        <v>341</v>
      </c>
      <c r="P45" s="172" t="s">
        <v>330</v>
      </c>
      <c r="Q45" s="172" t="s">
        <v>331</v>
      </c>
      <c r="R45" s="172" t="s">
        <v>332</v>
      </c>
      <c r="S45" s="172" t="s">
        <v>333</v>
      </c>
      <c r="T45" s="172" t="s">
        <v>334</v>
      </c>
      <c r="U45" s="172" t="s">
        <v>335</v>
      </c>
      <c r="V45" s="172" t="s">
        <v>336</v>
      </c>
      <c r="W45" s="172" t="s">
        <v>337</v>
      </c>
      <c r="X45" s="172" t="s">
        <v>338</v>
      </c>
      <c r="Y45" s="172" t="s">
        <v>339</v>
      </c>
      <c r="Z45" s="2"/>
    </row>
    <row r="46" spans="1:99" ht="20" customHeight="1" x14ac:dyDescent="0.35">
      <c r="A46" s="12"/>
      <c r="B46" s="335"/>
      <c r="C46" s="335"/>
      <c r="D46" s="335"/>
      <c r="E46" s="335"/>
      <c r="F46" s="335"/>
      <c r="G46" s="335" t="s">
        <v>242</v>
      </c>
      <c r="H46" s="335" t="s">
        <v>243</v>
      </c>
      <c r="I46" s="335" t="s">
        <v>243</v>
      </c>
      <c r="J46" s="257" t="s">
        <v>399</v>
      </c>
      <c r="K46" s="2"/>
      <c r="L46" s="207" t="s">
        <v>251</v>
      </c>
      <c r="M46" s="208">
        <v>31</v>
      </c>
      <c r="N46" s="208">
        <v>28</v>
      </c>
      <c r="O46" s="208">
        <v>31</v>
      </c>
      <c r="P46" s="208">
        <v>30</v>
      </c>
      <c r="Q46" s="208">
        <v>31</v>
      </c>
      <c r="R46" s="208">
        <v>30</v>
      </c>
      <c r="S46" s="208">
        <v>31</v>
      </c>
      <c r="T46" s="208">
        <v>31</v>
      </c>
      <c r="U46" s="208">
        <v>30</v>
      </c>
      <c r="V46" s="208">
        <v>31</v>
      </c>
      <c r="W46" s="208">
        <v>30</v>
      </c>
      <c r="X46" s="208">
        <v>31</v>
      </c>
      <c r="Y46" s="208">
        <v>31</v>
      </c>
      <c r="Z46" s="2"/>
    </row>
    <row r="47" spans="1:99" ht="20" customHeight="1" x14ac:dyDescent="0.35">
      <c r="A47" s="12"/>
      <c r="B47" s="231" t="s">
        <v>115</v>
      </c>
      <c r="C47" s="237"/>
      <c r="D47" s="237"/>
      <c r="E47" s="220">
        <v>0</v>
      </c>
      <c r="F47" s="238">
        <f>I47/$J$57</f>
        <v>0</v>
      </c>
      <c r="G47" s="250">
        <f>E47*F47</f>
        <v>0</v>
      </c>
      <c r="H47" s="243">
        <v>0</v>
      </c>
      <c r="I47" s="243">
        <f>H47*E47</f>
        <v>0</v>
      </c>
      <c r="J47" s="243">
        <f>I47*1.16</f>
        <v>0</v>
      </c>
      <c r="K47" s="2"/>
      <c r="L47" s="243">
        <v>0</v>
      </c>
      <c r="M47" s="243">
        <f>$G$47</f>
        <v>0</v>
      </c>
      <c r="N47" s="243">
        <f t="shared" ref="N47:Y47" si="51">$G$47</f>
        <v>0</v>
      </c>
      <c r="O47" s="243">
        <f t="shared" si="51"/>
        <v>0</v>
      </c>
      <c r="P47" s="243">
        <f t="shared" si="51"/>
        <v>0</v>
      </c>
      <c r="Q47" s="243">
        <f t="shared" si="51"/>
        <v>0</v>
      </c>
      <c r="R47" s="243">
        <f t="shared" si="51"/>
        <v>0</v>
      </c>
      <c r="S47" s="243">
        <f t="shared" si="51"/>
        <v>0</v>
      </c>
      <c r="T47" s="243">
        <f t="shared" si="51"/>
        <v>0</v>
      </c>
      <c r="U47" s="243">
        <f t="shared" si="51"/>
        <v>0</v>
      </c>
      <c r="V47" s="243">
        <f t="shared" si="51"/>
        <v>0</v>
      </c>
      <c r="W47" s="243">
        <f t="shared" si="51"/>
        <v>0</v>
      </c>
      <c r="X47" s="243">
        <f t="shared" si="51"/>
        <v>0</v>
      </c>
      <c r="Y47" s="243">
        <f t="shared" si="51"/>
        <v>0</v>
      </c>
    </row>
    <row r="48" spans="1:99" ht="20" customHeight="1" x14ac:dyDescent="0.35">
      <c r="A48" s="12"/>
      <c r="B48" s="231" t="s">
        <v>116</v>
      </c>
      <c r="C48" s="237"/>
      <c r="D48" s="237"/>
      <c r="E48" s="220">
        <v>0</v>
      </c>
      <c r="F48" s="238">
        <f t="shared" ref="F48" si="52">I48/$J$57</f>
        <v>0</v>
      </c>
      <c r="G48" s="250">
        <f t="shared" ref="G48" si="53">E48*F48</f>
        <v>0</v>
      </c>
      <c r="H48" s="243">
        <v>0</v>
      </c>
      <c r="I48" s="243">
        <f t="shared" ref="I48" si="54">H48*E48</f>
        <v>0</v>
      </c>
      <c r="J48" s="243">
        <f t="shared" ref="J48" si="55">I48*1.16</f>
        <v>0</v>
      </c>
      <c r="K48" s="2"/>
      <c r="L48" s="243">
        <v>0</v>
      </c>
      <c r="M48" s="243">
        <f>$G$48</f>
        <v>0</v>
      </c>
      <c r="N48" s="243">
        <f t="shared" ref="N48:Y48" si="56">$G$48</f>
        <v>0</v>
      </c>
      <c r="O48" s="243">
        <f t="shared" si="56"/>
        <v>0</v>
      </c>
      <c r="P48" s="243">
        <f t="shared" si="56"/>
        <v>0</v>
      </c>
      <c r="Q48" s="243">
        <f t="shared" si="56"/>
        <v>0</v>
      </c>
      <c r="R48" s="243">
        <f t="shared" si="56"/>
        <v>0</v>
      </c>
      <c r="S48" s="243">
        <f t="shared" si="56"/>
        <v>0</v>
      </c>
      <c r="T48" s="243">
        <f t="shared" si="56"/>
        <v>0</v>
      </c>
      <c r="U48" s="243">
        <f t="shared" si="56"/>
        <v>0</v>
      </c>
      <c r="V48" s="243">
        <f t="shared" si="56"/>
        <v>0</v>
      </c>
      <c r="W48" s="243">
        <f t="shared" si="56"/>
        <v>0</v>
      </c>
      <c r="X48" s="243">
        <f t="shared" si="56"/>
        <v>0</v>
      </c>
      <c r="Y48" s="243">
        <f t="shared" si="56"/>
        <v>0</v>
      </c>
    </row>
    <row r="49" spans="1:25" ht="20" customHeight="1" x14ac:dyDescent="0.35">
      <c r="A49" s="12"/>
      <c r="D49" s="4"/>
      <c r="E49" s="54"/>
      <c r="F49" s="53"/>
      <c r="G49" s="53"/>
      <c r="H49" s="53"/>
      <c r="I49" s="54"/>
      <c r="K49" s="2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spans="1:25" ht="20" customHeight="1" x14ac:dyDescent="0.35">
      <c r="A50" s="55"/>
      <c r="D50" s="4"/>
      <c r="E50" s="54"/>
      <c r="F50" s="54"/>
      <c r="G50" s="54"/>
      <c r="H50" s="54"/>
      <c r="I50" s="325" t="s">
        <v>402</v>
      </c>
      <c r="J50" s="326"/>
      <c r="K50" s="95"/>
      <c r="L50" s="210">
        <f>SUM(L47:L48)</f>
        <v>0</v>
      </c>
      <c r="M50" s="210">
        <f t="shared" ref="M50:Y50" si="57">SUM(M47:M48)</f>
        <v>0</v>
      </c>
      <c r="N50" s="210">
        <f t="shared" si="57"/>
        <v>0</v>
      </c>
      <c r="O50" s="210">
        <f t="shared" si="57"/>
        <v>0</v>
      </c>
      <c r="P50" s="210">
        <f t="shared" si="57"/>
        <v>0</v>
      </c>
      <c r="Q50" s="210">
        <f t="shared" si="57"/>
        <v>0</v>
      </c>
      <c r="R50" s="210">
        <f t="shared" si="57"/>
        <v>0</v>
      </c>
      <c r="S50" s="210">
        <f t="shared" si="57"/>
        <v>0</v>
      </c>
      <c r="T50" s="210">
        <f t="shared" si="57"/>
        <v>0</v>
      </c>
      <c r="U50" s="210">
        <f t="shared" si="57"/>
        <v>0</v>
      </c>
      <c r="V50" s="210">
        <f t="shared" si="57"/>
        <v>0</v>
      </c>
      <c r="W50" s="210">
        <f t="shared" si="57"/>
        <v>0</v>
      </c>
      <c r="X50" s="210">
        <f t="shared" si="57"/>
        <v>0</v>
      </c>
      <c r="Y50" s="210">
        <f t="shared" si="57"/>
        <v>0</v>
      </c>
    </row>
    <row r="51" spans="1:25" ht="20" customHeight="1" x14ac:dyDescent="0.35">
      <c r="D51" s="4"/>
      <c r="F51" s="52"/>
      <c r="G51" s="52"/>
      <c r="I51" s="327" t="s">
        <v>397</v>
      </c>
      <c r="J51" s="328"/>
      <c r="K51" s="95"/>
      <c r="L51" s="211">
        <f>L50*$J$57</f>
        <v>0</v>
      </c>
      <c r="M51" s="211">
        <f t="shared" ref="M51:Y51" si="58">M50*$J$57</f>
        <v>0</v>
      </c>
      <c r="N51" s="211">
        <f t="shared" si="58"/>
        <v>0</v>
      </c>
      <c r="O51" s="211">
        <f t="shared" si="58"/>
        <v>0</v>
      </c>
      <c r="P51" s="211">
        <f t="shared" si="58"/>
        <v>0</v>
      </c>
      <c r="Q51" s="211">
        <f t="shared" si="58"/>
        <v>0</v>
      </c>
      <c r="R51" s="211">
        <f t="shared" si="58"/>
        <v>0</v>
      </c>
      <c r="S51" s="211">
        <f t="shared" si="58"/>
        <v>0</v>
      </c>
      <c r="T51" s="211">
        <f t="shared" si="58"/>
        <v>0</v>
      </c>
      <c r="U51" s="211">
        <f t="shared" si="58"/>
        <v>0</v>
      </c>
      <c r="V51" s="211">
        <f t="shared" si="58"/>
        <v>0</v>
      </c>
      <c r="W51" s="211">
        <f t="shared" si="58"/>
        <v>0</v>
      </c>
      <c r="X51" s="211">
        <f t="shared" si="58"/>
        <v>0</v>
      </c>
      <c r="Y51" s="211">
        <f t="shared" si="58"/>
        <v>0</v>
      </c>
    </row>
    <row r="52" spans="1:25" ht="20" customHeight="1" x14ac:dyDescent="0.35">
      <c r="D52" s="4"/>
      <c r="F52" s="52"/>
      <c r="G52" s="52"/>
      <c r="I52" s="325" t="s">
        <v>403</v>
      </c>
      <c r="J52" s="326"/>
      <c r="K52" s="95"/>
      <c r="L52" s="210">
        <f>SUM(L50:Y50)</f>
        <v>0</v>
      </c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</row>
    <row r="53" spans="1:25" ht="20" customHeight="1" x14ac:dyDescent="0.35">
      <c r="D53" s="4"/>
      <c r="F53" s="52"/>
      <c r="G53" s="52"/>
      <c r="I53" s="327" t="s">
        <v>256</v>
      </c>
      <c r="J53" s="328"/>
      <c r="K53" s="95"/>
      <c r="L53" s="226">
        <f>SUM(L51:Y51)</f>
        <v>0</v>
      </c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</row>
    <row r="54" spans="1:25" ht="20" customHeight="1" x14ac:dyDescent="0.35">
      <c r="D54" s="4"/>
      <c r="F54" s="52"/>
      <c r="G54" s="52"/>
      <c r="K54" s="2"/>
    </row>
    <row r="55" spans="1:25" ht="20" customHeight="1" x14ac:dyDescent="0.35">
      <c r="D55" s="4"/>
      <c r="I55"/>
      <c r="J55"/>
      <c r="K55" s="2"/>
      <c r="L55"/>
      <c r="M55"/>
      <c r="N55"/>
      <c r="O55"/>
      <c r="P55"/>
      <c r="Q55"/>
      <c r="R55"/>
      <c r="S55"/>
      <c r="T55"/>
      <c r="U55"/>
      <c r="V55"/>
      <c r="W55"/>
    </row>
    <row r="56" spans="1:25" ht="20" customHeight="1" x14ac:dyDescent="0.35">
      <c r="D56" s="4"/>
      <c r="I56" s="259" t="str" cm="1">
        <f t="array" ref="I56:J56">'F02 INMUEBLES Y S'!J24:K24</f>
        <v xml:space="preserve">PREMISAS	</v>
      </c>
      <c r="J56" s="277">
        <v>0</v>
      </c>
      <c r="K56" s="2"/>
      <c r="L56"/>
      <c r="M56"/>
      <c r="N56"/>
      <c r="O56"/>
      <c r="P56"/>
      <c r="Q56"/>
      <c r="R56"/>
      <c r="S56"/>
      <c r="T56"/>
      <c r="U56"/>
      <c r="V56"/>
      <c r="W56"/>
    </row>
    <row r="57" spans="1:25" ht="20" customHeight="1" x14ac:dyDescent="0.35">
      <c r="D57" s="4"/>
      <c r="I57" s="212" t="str" cm="1">
        <f t="array" ref="I57:J57">_xlfn.ANCHORARRAY('F02 INMUEBLES Y S'!J25)</f>
        <v>PARIDAD</v>
      </c>
      <c r="J57" s="198">
        <v>20</v>
      </c>
      <c r="K57" s="2"/>
      <c r="L57"/>
      <c r="M57"/>
      <c r="N57"/>
      <c r="O57"/>
      <c r="P57"/>
      <c r="Q57"/>
      <c r="R57"/>
      <c r="S57"/>
      <c r="T57"/>
      <c r="U57"/>
      <c r="V57"/>
      <c r="W57"/>
    </row>
    <row r="58" spans="1:25" ht="20" customHeight="1" x14ac:dyDescent="0.35">
      <c r="I58" s="213" t="str" cm="1">
        <f t="array" ref="I58:J58">_xlfn.ANCHORARRAY('F02 INMUEBLES Y S'!J26)</f>
        <v xml:space="preserve">MES </v>
      </c>
      <c r="J58" s="199">
        <v>30.4</v>
      </c>
      <c r="K58" s="2"/>
      <c r="L58"/>
      <c r="M58"/>
      <c r="N58"/>
      <c r="O58"/>
      <c r="P58"/>
      <c r="Q58"/>
      <c r="R58"/>
      <c r="S58"/>
      <c r="T58"/>
      <c r="U58"/>
      <c r="V58"/>
      <c r="W58"/>
    </row>
    <row r="59" spans="1:25" ht="20" customHeight="1" x14ac:dyDescent="0.35">
      <c r="I59" s="214" t="str" cm="1">
        <f t="array" ref="I59:J59">_xlfn.ANCHORARRAY('F02 INMUEBLES Y S'!J27)</f>
        <v>CRÉDITO</v>
      </c>
      <c r="J59" s="200">
        <v>45</v>
      </c>
      <c r="K59"/>
      <c r="L59"/>
      <c r="M59"/>
      <c r="N59"/>
      <c r="O59"/>
      <c r="P59"/>
      <c r="Q59"/>
      <c r="R59"/>
      <c r="S59"/>
      <c r="T59"/>
      <c r="U59"/>
      <c r="V59"/>
      <c r="W59"/>
    </row>
    <row r="60" spans="1:25" ht="20" customHeight="1" x14ac:dyDescent="0.35">
      <c r="I60" s="215" t="str" cm="1">
        <f t="array" ref="I60:J60">_xlfn.ANCHORARRAY('F02 INMUEBLES Y S'!J28)</f>
        <v>GAS LP</v>
      </c>
      <c r="J60" s="201">
        <v>10.5</v>
      </c>
      <c r="V60" s="10"/>
      <c r="W60" s="10"/>
    </row>
    <row r="61" spans="1:25" ht="20" customHeight="1" x14ac:dyDescent="0.35">
      <c r="I61" s="216" t="str" cm="1">
        <f t="array" ref="I61:J61">_xlfn.ANCHORARRAY('F02 INMUEBLES Y S'!J29)</f>
        <v>GASOLINA</v>
      </c>
      <c r="J61" s="202">
        <v>22</v>
      </c>
    </row>
    <row r="62" spans="1:25" ht="20" customHeight="1" x14ac:dyDescent="0.35">
      <c r="I62" s="253" t="str" cm="1">
        <f t="array" ref="I62:J62">_xlfn.ANCHORARRAY('F02 INMUEBLES Y S'!J30)</f>
        <v>DIESEL</v>
      </c>
      <c r="J62" s="254">
        <v>23</v>
      </c>
    </row>
    <row r="63" spans="1:25" ht="20" customHeight="1" x14ac:dyDescent="0.35">
      <c r="I63" s="329" t="s">
        <v>345</v>
      </c>
      <c r="J63" s="330"/>
    </row>
    <row r="64" spans="1:25" ht="20" customHeight="1" thickBot="1" x14ac:dyDescent="0.4">
      <c r="I64" s="331"/>
      <c r="J64" s="332"/>
    </row>
  </sheetData>
  <mergeCells count="39">
    <mergeCell ref="I63:J64"/>
    <mergeCell ref="I51:J51"/>
    <mergeCell ref="I52:J52"/>
    <mergeCell ref="I53:J53"/>
    <mergeCell ref="B44:B46"/>
    <mergeCell ref="C44:C46"/>
    <mergeCell ref="D44:D46"/>
    <mergeCell ref="E44:E46"/>
    <mergeCell ref="F44:F46"/>
    <mergeCell ref="G44:G46"/>
    <mergeCell ref="H44:H46"/>
    <mergeCell ref="I44:I46"/>
    <mergeCell ref="J44:J45"/>
    <mergeCell ref="I35:J35"/>
    <mergeCell ref="I36:J36"/>
    <mergeCell ref="I37:J37"/>
    <mergeCell ref="I38:J38"/>
    <mergeCell ref="I50:J50"/>
    <mergeCell ref="I23:J23"/>
    <mergeCell ref="I29:J29"/>
    <mergeCell ref="I30:J30"/>
    <mergeCell ref="I31:J31"/>
    <mergeCell ref="I32:J32"/>
    <mergeCell ref="B4:B6"/>
    <mergeCell ref="I22:J22"/>
    <mergeCell ref="C4:C6"/>
    <mergeCell ref="D4:D6"/>
    <mergeCell ref="E4:E6"/>
    <mergeCell ref="F4:F6"/>
    <mergeCell ref="I12:J12"/>
    <mergeCell ref="I13:J13"/>
    <mergeCell ref="I14:J14"/>
    <mergeCell ref="I20:J20"/>
    <mergeCell ref="I21:J21"/>
    <mergeCell ref="G4:G6"/>
    <mergeCell ref="H4:H6"/>
    <mergeCell ref="I4:I6"/>
    <mergeCell ref="J4:J5"/>
    <mergeCell ref="I11:J11"/>
  </mergeCells>
  <phoneticPr fontId="8" type="noConversion"/>
  <hyperlinks>
    <hyperlink ref="I63" r:id="rId1" xr:uid="{9F002E93-40A5-D645-8A89-E892316F31B0}"/>
  </hyperlinks>
  <pageMargins left="0.25" right="0.25" top="0.75" bottom="0.75" header="0.3" footer="0.3"/>
  <pageSetup paperSize="3" scale="64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G89"/>
  <sheetViews>
    <sheetView zoomScale="93" zoomScaleNormal="93" workbookViewId="0">
      <pane xSplit="16" ySplit="3" topLeftCell="Q4" activePane="bottomRight" state="frozen"/>
      <selection pane="topRight" activeCell="Q1" sqref="Q1"/>
      <selection pane="bottomLeft" activeCell="A4" sqref="A4"/>
      <selection pane="bottomRight" activeCell="K8" sqref="K8"/>
    </sheetView>
  </sheetViews>
  <sheetFormatPr baseColWidth="10" defaultColWidth="10.5" defaultRowHeight="20" customHeight="1" x14ac:dyDescent="0.35"/>
  <cols>
    <col min="1" max="1" width="2.6640625" style="4" customWidth="1"/>
    <col min="2" max="2" width="16.6640625" style="4" customWidth="1"/>
    <col min="3" max="3" width="11.83203125" style="4" customWidth="1"/>
    <col min="4" max="4" width="14" style="4" customWidth="1"/>
    <col min="5" max="5" width="17.5" style="4" bestFit="1" customWidth="1"/>
    <col min="6" max="10" width="11.83203125" style="4" customWidth="1"/>
    <col min="11" max="11" width="2.1640625" style="4" customWidth="1"/>
    <col min="12" max="15" width="15.1640625" style="4" customWidth="1"/>
    <col min="16" max="16" width="18.1640625" style="4" customWidth="1"/>
    <col min="17" max="17" width="2" style="52" customWidth="1"/>
    <col min="18" max="18" width="12.83203125" style="4" bestFit="1" customWidth="1"/>
    <col min="19" max="31" width="12" style="4" bestFit="1" customWidth="1"/>
    <col min="32" max="16384" width="10.5" style="4"/>
  </cols>
  <sheetData>
    <row r="1" spans="1:33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3" ht="20" customHeight="1" x14ac:dyDescent="0.35">
      <c r="A2" s="13"/>
      <c r="B2" s="15" t="s">
        <v>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3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3" s="2" customFormat="1" ht="20" customHeight="1" x14ac:dyDescent="0.35">
      <c r="A4" s="13"/>
      <c r="B4" s="345" t="s">
        <v>1</v>
      </c>
      <c r="C4" s="345" t="s">
        <v>98</v>
      </c>
      <c r="D4" s="345" t="s">
        <v>94</v>
      </c>
      <c r="E4" s="345" t="s">
        <v>95</v>
      </c>
      <c r="F4" s="345" t="s">
        <v>93</v>
      </c>
      <c r="G4" s="345" t="s">
        <v>96</v>
      </c>
      <c r="H4" s="345" t="s">
        <v>97</v>
      </c>
      <c r="I4" s="345" t="s">
        <v>261</v>
      </c>
      <c r="J4" s="345" t="s">
        <v>73</v>
      </c>
      <c r="L4" s="324" t="s">
        <v>239</v>
      </c>
      <c r="M4" s="324" t="s">
        <v>344</v>
      </c>
      <c r="N4" s="324" t="s">
        <v>240</v>
      </c>
      <c r="O4" s="324" t="s">
        <v>256</v>
      </c>
      <c r="P4" s="333" t="s">
        <v>398</v>
      </c>
      <c r="Q4" s="5"/>
      <c r="R4" s="169" t="s">
        <v>74</v>
      </c>
      <c r="S4" s="170" t="s">
        <v>356</v>
      </c>
      <c r="T4" s="170" t="s">
        <v>357</v>
      </c>
      <c r="U4" s="170" t="s">
        <v>358</v>
      </c>
      <c r="V4" s="170" t="s">
        <v>359</v>
      </c>
      <c r="W4" s="170" t="s">
        <v>360</v>
      </c>
      <c r="X4" s="170" t="s">
        <v>361</v>
      </c>
      <c r="Y4" s="170" t="s">
        <v>362</v>
      </c>
      <c r="Z4" s="170" t="s">
        <v>363</v>
      </c>
      <c r="AA4" s="170" t="s">
        <v>364</v>
      </c>
      <c r="AB4" s="170" t="s">
        <v>365</v>
      </c>
      <c r="AC4" s="170" t="s">
        <v>366</v>
      </c>
      <c r="AD4" s="170" t="s">
        <v>367</v>
      </c>
      <c r="AE4" s="170" t="s">
        <v>368</v>
      </c>
    </row>
    <row r="5" spans="1:33" s="2" customFormat="1" ht="20" customHeight="1" x14ac:dyDescent="0.35">
      <c r="A5" s="13"/>
      <c r="B5" s="324"/>
      <c r="C5" s="324"/>
      <c r="D5" s="324"/>
      <c r="E5" s="324"/>
      <c r="F5" s="324"/>
      <c r="G5" s="324"/>
      <c r="H5" s="324"/>
      <c r="I5" s="324"/>
      <c r="J5" s="324"/>
      <c r="L5" s="324"/>
      <c r="M5" s="324" t="s">
        <v>344</v>
      </c>
      <c r="N5" s="324" t="s">
        <v>240</v>
      </c>
      <c r="O5" s="324" t="s">
        <v>256</v>
      </c>
      <c r="P5" s="333"/>
      <c r="Q5" s="56"/>
      <c r="R5" s="171" t="s">
        <v>251</v>
      </c>
      <c r="S5" s="172" t="s">
        <v>339</v>
      </c>
      <c r="T5" s="172" t="s">
        <v>340</v>
      </c>
      <c r="U5" s="172" t="s">
        <v>341</v>
      </c>
      <c r="V5" s="172" t="s">
        <v>330</v>
      </c>
      <c r="W5" s="172" t="s">
        <v>331</v>
      </c>
      <c r="X5" s="172" t="s">
        <v>332</v>
      </c>
      <c r="Y5" s="172" t="s">
        <v>333</v>
      </c>
      <c r="Z5" s="172" t="s">
        <v>334</v>
      </c>
      <c r="AA5" s="172" t="s">
        <v>335</v>
      </c>
      <c r="AB5" s="172" t="s">
        <v>336</v>
      </c>
      <c r="AC5" s="172" t="s">
        <v>337</v>
      </c>
      <c r="AD5" s="172" t="s">
        <v>338</v>
      </c>
      <c r="AE5" s="172" t="s">
        <v>339</v>
      </c>
    </row>
    <row r="6" spans="1:33" s="51" customFormat="1" ht="20" customHeight="1" x14ac:dyDescent="0.35">
      <c r="A6" s="13"/>
      <c r="B6" s="324"/>
      <c r="C6" s="324"/>
      <c r="D6" s="324"/>
      <c r="E6" s="324"/>
      <c r="F6" s="324"/>
      <c r="G6" s="324"/>
      <c r="H6" s="324"/>
      <c r="I6" s="324"/>
      <c r="J6" s="324"/>
      <c r="K6" s="2"/>
      <c r="L6" s="324"/>
      <c r="M6" s="324" t="s">
        <v>242</v>
      </c>
      <c r="N6" s="324" t="s">
        <v>243</v>
      </c>
      <c r="O6" s="324" t="s">
        <v>243</v>
      </c>
      <c r="P6" s="229" t="s">
        <v>399</v>
      </c>
      <c r="Q6" s="56"/>
      <c r="R6" s="207" t="s">
        <v>251</v>
      </c>
      <c r="S6" s="208">
        <v>31</v>
      </c>
      <c r="T6" s="208">
        <v>28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  <c r="AA6" s="208">
        <v>30</v>
      </c>
      <c r="AB6" s="208">
        <v>31</v>
      </c>
      <c r="AC6" s="208">
        <v>30</v>
      </c>
      <c r="AD6" s="208">
        <v>31</v>
      </c>
      <c r="AE6" s="208">
        <v>31</v>
      </c>
      <c r="AF6" s="2"/>
      <c r="AG6" s="2"/>
    </row>
    <row r="7" spans="1:33" s="2" customFormat="1" ht="20" customHeight="1" x14ac:dyDescent="0.35">
      <c r="A7" s="13"/>
      <c r="B7" s="231" t="s">
        <v>453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L7" s="242">
        <f>+O7/$P$36</f>
        <v>0</v>
      </c>
      <c r="M7" s="250">
        <f>L7</f>
        <v>0</v>
      </c>
      <c r="N7" s="242">
        <f>SUM(C7:J7)/12</f>
        <v>0</v>
      </c>
      <c r="O7" s="242">
        <f>+N7</f>
        <v>0</v>
      </c>
      <c r="P7" s="242">
        <f>+O7*1.16</f>
        <v>0</v>
      </c>
      <c r="Q7" s="56"/>
      <c r="R7" s="243">
        <v>0</v>
      </c>
      <c r="S7" s="243">
        <f>$M$7</f>
        <v>0</v>
      </c>
      <c r="T7" s="243">
        <f t="shared" ref="T7:AE7" si="0">$M$7</f>
        <v>0</v>
      </c>
      <c r="U7" s="243">
        <f t="shared" si="0"/>
        <v>0</v>
      </c>
      <c r="V7" s="243">
        <f t="shared" si="0"/>
        <v>0</v>
      </c>
      <c r="W7" s="243">
        <f t="shared" si="0"/>
        <v>0</v>
      </c>
      <c r="X7" s="243">
        <f t="shared" si="0"/>
        <v>0</v>
      </c>
      <c r="Y7" s="243">
        <f t="shared" si="0"/>
        <v>0</v>
      </c>
      <c r="Z7" s="243">
        <f t="shared" si="0"/>
        <v>0</v>
      </c>
      <c r="AA7" s="243">
        <f t="shared" si="0"/>
        <v>0</v>
      </c>
      <c r="AB7" s="243">
        <f t="shared" si="0"/>
        <v>0</v>
      </c>
      <c r="AC7" s="243">
        <f t="shared" si="0"/>
        <v>0</v>
      </c>
      <c r="AD7" s="243">
        <f t="shared" si="0"/>
        <v>0</v>
      </c>
      <c r="AE7" s="243">
        <f t="shared" si="0"/>
        <v>0</v>
      </c>
    </row>
    <row r="8" spans="1:33" s="2" customFormat="1" ht="20" customHeight="1" x14ac:dyDescent="0.35">
      <c r="A8" s="13"/>
      <c r="B8" s="231" t="s">
        <v>454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L8" s="242">
        <f>+O8/$P$36</f>
        <v>0</v>
      </c>
      <c r="M8" s="250">
        <f t="shared" ref="M8:M9" si="1">L8</f>
        <v>0</v>
      </c>
      <c r="N8" s="242">
        <f>SUM(C8:J8)/12</f>
        <v>0</v>
      </c>
      <c r="O8" s="242">
        <f t="shared" ref="O8:O9" si="2">+N8</f>
        <v>0</v>
      </c>
      <c r="P8" s="242">
        <f t="shared" ref="P8:P9" si="3">+O8*1.16</f>
        <v>0</v>
      </c>
      <c r="Q8" s="56"/>
      <c r="R8" s="243">
        <v>0</v>
      </c>
      <c r="S8" s="243">
        <f>$M$8</f>
        <v>0</v>
      </c>
      <c r="T8" s="243">
        <f t="shared" ref="T8:AE8" si="4">$M$8</f>
        <v>0</v>
      </c>
      <c r="U8" s="243">
        <f t="shared" si="4"/>
        <v>0</v>
      </c>
      <c r="V8" s="243">
        <f t="shared" si="4"/>
        <v>0</v>
      </c>
      <c r="W8" s="243">
        <f t="shared" si="4"/>
        <v>0</v>
      </c>
      <c r="X8" s="243">
        <f t="shared" si="4"/>
        <v>0</v>
      </c>
      <c r="Y8" s="243">
        <f t="shared" si="4"/>
        <v>0</v>
      </c>
      <c r="Z8" s="243">
        <f t="shared" si="4"/>
        <v>0</v>
      </c>
      <c r="AA8" s="243">
        <f t="shared" si="4"/>
        <v>0</v>
      </c>
      <c r="AB8" s="243">
        <f t="shared" si="4"/>
        <v>0</v>
      </c>
      <c r="AC8" s="243">
        <f t="shared" si="4"/>
        <v>0</v>
      </c>
      <c r="AD8" s="243">
        <f t="shared" si="4"/>
        <v>0</v>
      </c>
      <c r="AE8" s="243">
        <f t="shared" si="4"/>
        <v>0</v>
      </c>
    </row>
    <row r="9" spans="1:33" s="2" customFormat="1" ht="20" customHeight="1" x14ac:dyDescent="0.35">
      <c r="A9" s="13"/>
      <c r="B9" s="231" t="s">
        <v>281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L9" s="242">
        <f>+O9/$P$36</f>
        <v>0</v>
      </c>
      <c r="M9" s="250">
        <f t="shared" si="1"/>
        <v>0</v>
      </c>
      <c r="N9" s="242">
        <f t="shared" ref="N9" si="5">SUM(C9:J9)/12</f>
        <v>0</v>
      </c>
      <c r="O9" s="242">
        <f t="shared" si="2"/>
        <v>0</v>
      </c>
      <c r="P9" s="242">
        <f t="shared" si="3"/>
        <v>0</v>
      </c>
      <c r="Q9" s="56"/>
      <c r="R9" s="243">
        <v>0</v>
      </c>
      <c r="S9" s="243">
        <f>$M$9</f>
        <v>0</v>
      </c>
      <c r="T9" s="243">
        <f t="shared" ref="T9:AE9" si="6">$M$9</f>
        <v>0</v>
      </c>
      <c r="U9" s="243">
        <f t="shared" si="6"/>
        <v>0</v>
      </c>
      <c r="V9" s="243">
        <f t="shared" si="6"/>
        <v>0</v>
      </c>
      <c r="W9" s="243">
        <f t="shared" si="6"/>
        <v>0</v>
      </c>
      <c r="X9" s="243">
        <f t="shared" si="6"/>
        <v>0</v>
      </c>
      <c r="Y9" s="243">
        <f t="shared" si="6"/>
        <v>0</v>
      </c>
      <c r="Z9" s="243">
        <f t="shared" si="6"/>
        <v>0</v>
      </c>
      <c r="AA9" s="243">
        <f t="shared" si="6"/>
        <v>0</v>
      </c>
      <c r="AB9" s="243">
        <f t="shared" si="6"/>
        <v>0</v>
      </c>
      <c r="AC9" s="243">
        <f t="shared" si="6"/>
        <v>0</v>
      </c>
      <c r="AD9" s="243">
        <f t="shared" si="6"/>
        <v>0</v>
      </c>
      <c r="AE9" s="243">
        <f t="shared" si="6"/>
        <v>0</v>
      </c>
    </row>
    <row r="10" spans="1:33" s="2" customFormat="1" ht="20" customHeight="1" x14ac:dyDescent="0.35">
      <c r="A10" s="13"/>
      <c r="B10" s="5"/>
      <c r="C10" s="57"/>
      <c r="D10" s="57"/>
      <c r="E10" s="57"/>
      <c r="F10" s="57"/>
      <c r="G10" s="58"/>
      <c r="H10" s="45"/>
      <c r="I10" s="45"/>
      <c r="J10" s="59"/>
      <c r="Q10" s="56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</row>
    <row r="11" spans="1:33" s="2" customFormat="1" ht="20" customHeight="1" x14ac:dyDescent="0.35">
      <c r="A11" s="13"/>
      <c r="B11" s="5"/>
      <c r="C11" s="57"/>
      <c r="D11" s="57"/>
      <c r="E11" s="57"/>
      <c r="F11" s="57"/>
      <c r="G11" s="58"/>
      <c r="H11" s="45"/>
      <c r="I11" s="45"/>
      <c r="J11" s="59"/>
      <c r="O11" s="325" t="s">
        <v>402</v>
      </c>
      <c r="P11" s="326"/>
      <c r="Q11" s="95"/>
      <c r="R11" s="210">
        <f>SUM(R7:R10)</f>
        <v>0</v>
      </c>
      <c r="S11" s="210">
        <f t="shared" ref="S11:AE11" si="7">SUM(S7:S10)</f>
        <v>0</v>
      </c>
      <c r="T11" s="210">
        <f t="shared" si="7"/>
        <v>0</v>
      </c>
      <c r="U11" s="210">
        <f t="shared" si="7"/>
        <v>0</v>
      </c>
      <c r="V11" s="210">
        <f t="shared" si="7"/>
        <v>0</v>
      </c>
      <c r="W11" s="210">
        <f t="shared" si="7"/>
        <v>0</v>
      </c>
      <c r="X11" s="210">
        <f t="shared" si="7"/>
        <v>0</v>
      </c>
      <c r="Y11" s="210">
        <f t="shared" si="7"/>
        <v>0</v>
      </c>
      <c r="Z11" s="210">
        <f t="shared" si="7"/>
        <v>0</v>
      </c>
      <c r="AA11" s="210">
        <f t="shared" si="7"/>
        <v>0</v>
      </c>
      <c r="AB11" s="210">
        <f t="shared" si="7"/>
        <v>0</v>
      </c>
      <c r="AC11" s="210">
        <f t="shared" si="7"/>
        <v>0</v>
      </c>
      <c r="AD11" s="210">
        <f t="shared" si="7"/>
        <v>0</v>
      </c>
      <c r="AE11" s="210">
        <f t="shared" si="7"/>
        <v>0</v>
      </c>
      <c r="AF11" s="57"/>
    </row>
    <row r="12" spans="1:33" s="2" customFormat="1" ht="20" customHeight="1" x14ac:dyDescent="0.35">
      <c r="A12" s="13"/>
      <c r="B12" s="5"/>
      <c r="C12" s="57"/>
      <c r="D12" s="57"/>
      <c r="E12" s="57"/>
      <c r="F12" s="57"/>
      <c r="G12" s="58"/>
      <c r="H12" s="45"/>
      <c r="I12" s="45"/>
      <c r="J12" s="59"/>
      <c r="O12" s="327" t="s">
        <v>397</v>
      </c>
      <c r="P12" s="328"/>
      <c r="Q12" s="95"/>
      <c r="R12" s="211">
        <f t="shared" ref="R12:AE12" si="8">R11*$P$36</f>
        <v>0</v>
      </c>
      <c r="S12" s="211">
        <f t="shared" si="8"/>
        <v>0</v>
      </c>
      <c r="T12" s="211">
        <f t="shared" si="8"/>
        <v>0</v>
      </c>
      <c r="U12" s="211">
        <f t="shared" si="8"/>
        <v>0</v>
      </c>
      <c r="V12" s="211">
        <f t="shared" si="8"/>
        <v>0</v>
      </c>
      <c r="W12" s="211">
        <f t="shared" si="8"/>
        <v>0</v>
      </c>
      <c r="X12" s="211">
        <f t="shared" si="8"/>
        <v>0</v>
      </c>
      <c r="Y12" s="211">
        <f t="shared" si="8"/>
        <v>0</v>
      </c>
      <c r="Z12" s="211">
        <f t="shared" si="8"/>
        <v>0</v>
      </c>
      <c r="AA12" s="211">
        <f t="shared" si="8"/>
        <v>0</v>
      </c>
      <c r="AB12" s="211">
        <f t="shared" si="8"/>
        <v>0</v>
      </c>
      <c r="AC12" s="211">
        <f t="shared" si="8"/>
        <v>0</v>
      </c>
      <c r="AD12" s="211">
        <f t="shared" si="8"/>
        <v>0</v>
      </c>
      <c r="AE12" s="211">
        <f t="shared" si="8"/>
        <v>0</v>
      </c>
      <c r="AF12" s="57"/>
    </row>
    <row r="13" spans="1:33" s="2" customFormat="1" ht="20" customHeight="1" x14ac:dyDescent="0.35">
      <c r="A13" s="13"/>
      <c r="B13" s="5"/>
      <c r="C13" s="57"/>
      <c r="D13" s="57"/>
      <c r="E13" s="57"/>
      <c r="F13" s="57"/>
      <c r="G13" s="58"/>
      <c r="H13" s="45"/>
      <c r="I13" s="45"/>
      <c r="J13" s="59"/>
      <c r="O13" s="325" t="s">
        <v>403</v>
      </c>
      <c r="P13" s="326"/>
      <c r="Q13" s="95"/>
      <c r="R13" s="210">
        <f>SUM(R11:AE11)</f>
        <v>0</v>
      </c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57"/>
    </row>
    <row r="14" spans="1:33" s="2" customFormat="1" ht="20" customHeight="1" x14ac:dyDescent="0.35">
      <c r="A14" s="13"/>
      <c r="B14" s="5"/>
      <c r="C14" s="57"/>
      <c r="D14" s="57"/>
      <c r="E14" s="57"/>
      <c r="F14" s="57"/>
      <c r="G14" s="58"/>
      <c r="H14" s="45"/>
      <c r="I14" s="45"/>
      <c r="J14" s="59"/>
      <c r="O14" s="327" t="s">
        <v>256</v>
      </c>
      <c r="P14" s="328"/>
      <c r="Q14" s="95"/>
      <c r="R14" s="226">
        <f>SUM(R12:AE12)</f>
        <v>0</v>
      </c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57"/>
    </row>
    <row r="15" spans="1:33" s="2" customFormat="1" ht="20" customHeight="1" x14ac:dyDescent="0.35">
      <c r="A15" s="13"/>
      <c r="B15" s="5"/>
      <c r="C15" s="57"/>
      <c r="D15" s="57"/>
      <c r="E15" s="57"/>
      <c r="F15" s="57"/>
      <c r="G15" s="58"/>
      <c r="H15" s="45"/>
      <c r="I15" s="45"/>
      <c r="J15" s="59"/>
      <c r="Q15" s="56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</row>
    <row r="16" spans="1:33" s="2" customFormat="1" ht="20" customHeight="1" x14ac:dyDescent="0.35">
      <c r="A16" s="13"/>
      <c r="B16" s="5"/>
      <c r="C16" s="57"/>
      <c r="D16" s="57"/>
      <c r="E16" s="57"/>
      <c r="F16" s="57"/>
      <c r="G16" s="58"/>
      <c r="H16" s="45"/>
      <c r="I16" s="45"/>
      <c r="J16" s="59"/>
      <c r="Q16" s="56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</row>
    <row r="17" spans="1:32" s="2" customFormat="1" ht="20" customHeight="1" x14ac:dyDescent="0.35">
      <c r="A17" s="13"/>
      <c r="B17" s="5"/>
      <c r="C17" s="57"/>
      <c r="D17" s="57"/>
      <c r="E17" s="57"/>
      <c r="F17" s="57"/>
      <c r="G17" s="58"/>
      <c r="H17" s="45"/>
      <c r="I17" s="45"/>
      <c r="J17" s="59"/>
      <c r="Q17" s="56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</row>
    <row r="18" spans="1:32" s="2" customFormat="1" ht="20" customHeight="1" x14ac:dyDescent="0.35">
      <c r="A18" s="13"/>
      <c r="B18" s="345" t="s">
        <v>21</v>
      </c>
      <c r="C18" s="345" t="s">
        <v>22</v>
      </c>
      <c r="D18" s="345" t="s">
        <v>406</v>
      </c>
      <c r="E18" s="345" t="s">
        <v>280</v>
      </c>
      <c r="F18" s="345" t="s">
        <v>405</v>
      </c>
      <c r="I18" s="45"/>
      <c r="J18" s="59"/>
      <c r="L18" s="324" t="s">
        <v>239</v>
      </c>
      <c r="M18" s="324" t="s">
        <v>344</v>
      </c>
      <c r="N18" s="324" t="s">
        <v>240</v>
      </c>
      <c r="O18" s="324" t="s">
        <v>256</v>
      </c>
      <c r="P18" s="333" t="s">
        <v>398</v>
      </c>
      <c r="Q18" s="56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</row>
    <row r="19" spans="1:32" s="2" customFormat="1" ht="20" customHeight="1" x14ac:dyDescent="0.35">
      <c r="A19" s="13"/>
      <c r="B19" s="324"/>
      <c r="C19" s="324"/>
      <c r="D19" s="324"/>
      <c r="E19" s="324"/>
      <c r="F19" s="324"/>
      <c r="I19" s="45"/>
      <c r="J19" s="59"/>
      <c r="L19" s="324"/>
      <c r="M19" s="324" t="s">
        <v>344</v>
      </c>
      <c r="N19" s="324" t="s">
        <v>240</v>
      </c>
      <c r="O19" s="324" t="s">
        <v>256</v>
      </c>
      <c r="P19" s="333"/>
      <c r="Q19" s="56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</row>
    <row r="20" spans="1:32" s="2" customFormat="1" ht="20" customHeight="1" x14ac:dyDescent="0.35">
      <c r="A20" s="13"/>
      <c r="B20" s="324"/>
      <c r="C20" s="324"/>
      <c r="D20" s="324"/>
      <c r="E20" s="324"/>
      <c r="F20" s="324"/>
      <c r="I20" s="45"/>
      <c r="J20" s="59"/>
      <c r="L20" s="324"/>
      <c r="M20" s="324" t="s">
        <v>242</v>
      </c>
      <c r="N20" s="324" t="s">
        <v>243</v>
      </c>
      <c r="O20" s="324" t="s">
        <v>243</v>
      </c>
      <c r="P20" s="229" t="s">
        <v>399</v>
      </c>
      <c r="Q20" s="56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</row>
    <row r="21" spans="1:32" s="2" customFormat="1" ht="20" customHeight="1" x14ac:dyDescent="0.35">
      <c r="A21" s="13"/>
      <c r="B21" s="242" t="s">
        <v>404</v>
      </c>
      <c r="C21" s="242">
        <v>22</v>
      </c>
      <c r="D21" s="260">
        <v>20</v>
      </c>
      <c r="E21" s="260">
        <f>D21*7</f>
        <v>140</v>
      </c>
      <c r="F21" s="260">
        <f>E21*4</f>
        <v>560</v>
      </c>
      <c r="I21" s="45"/>
      <c r="J21" s="59"/>
      <c r="L21" s="242">
        <f>+O21/$P$36</f>
        <v>616</v>
      </c>
      <c r="M21" s="250">
        <f>L21</f>
        <v>616</v>
      </c>
      <c r="N21" s="242">
        <f>+F21*C21</f>
        <v>12320</v>
      </c>
      <c r="O21" s="242">
        <f>N21</f>
        <v>12320</v>
      </c>
      <c r="P21" s="242">
        <f>O21*1.16</f>
        <v>14291.199999999999</v>
      </c>
      <c r="Q21" s="56"/>
      <c r="R21" s="243">
        <v>0</v>
      </c>
      <c r="S21" s="243">
        <f>$M$21</f>
        <v>616</v>
      </c>
      <c r="T21" s="243">
        <f t="shared" ref="T21:AE21" si="9">$M$21</f>
        <v>616</v>
      </c>
      <c r="U21" s="243">
        <f t="shared" si="9"/>
        <v>616</v>
      </c>
      <c r="V21" s="243">
        <f t="shared" si="9"/>
        <v>616</v>
      </c>
      <c r="W21" s="243">
        <f t="shared" si="9"/>
        <v>616</v>
      </c>
      <c r="X21" s="243">
        <f t="shared" si="9"/>
        <v>616</v>
      </c>
      <c r="Y21" s="243">
        <f t="shared" si="9"/>
        <v>616</v>
      </c>
      <c r="Z21" s="243">
        <f t="shared" si="9"/>
        <v>616</v>
      </c>
      <c r="AA21" s="243">
        <f t="shared" si="9"/>
        <v>616</v>
      </c>
      <c r="AB21" s="243">
        <f t="shared" si="9"/>
        <v>616</v>
      </c>
      <c r="AC21" s="243">
        <f t="shared" si="9"/>
        <v>616</v>
      </c>
      <c r="AD21" s="243">
        <f t="shared" si="9"/>
        <v>616</v>
      </c>
      <c r="AE21" s="243">
        <f t="shared" si="9"/>
        <v>616</v>
      </c>
      <c r="AF21" s="57"/>
    </row>
    <row r="22" spans="1:32" s="2" customFormat="1" ht="20" customHeight="1" x14ac:dyDescent="0.35">
      <c r="A22" s="13"/>
      <c r="B22" s="242" t="s">
        <v>404</v>
      </c>
      <c r="C22" s="242">
        <v>22</v>
      </c>
      <c r="D22" s="260">
        <v>20</v>
      </c>
      <c r="E22" s="260">
        <f t="shared" ref="E22" si="10">D22*7</f>
        <v>140</v>
      </c>
      <c r="F22" s="260">
        <f t="shared" ref="F22:F23" si="11">E22*4</f>
        <v>560</v>
      </c>
      <c r="I22" s="45"/>
      <c r="J22" s="59"/>
      <c r="L22" s="242">
        <v>770</v>
      </c>
      <c r="M22" s="250">
        <f t="shared" ref="M22:M23" si="12">L22</f>
        <v>770</v>
      </c>
      <c r="N22" s="242">
        <f t="shared" ref="N22:N23" si="13">+F22*C22</f>
        <v>12320</v>
      </c>
      <c r="O22" s="242">
        <f t="shared" ref="O22:O23" si="14">N22</f>
        <v>12320</v>
      </c>
      <c r="P22" s="242">
        <f t="shared" ref="P22:P23" si="15">O22*1.16</f>
        <v>14291.199999999999</v>
      </c>
      <c r="Q22" s="56"/>
      <c r="R22" s="243">
        <v>0</v>
      </c>
      <c r="S22" s="243">
        <f>$M$22</f>
        <v>770</v>
      </c>
      <c r="T22" s="243">
        <f t="shared" ref="T22:AE22" si="16">$M$22</f>
        <v>770</v>
      </c>
      <c r="U22" s="243">
        <f t="shared" si="16"/>
        <v>770</v>
      </c>
      <c r="V22" s="243">
        <f t="shared" si="16"/>
        <v>770</v>
      </c>
      <c r="W22" s="243">
        <f t="shared" si="16"/>
        <v>770</v>
      </c>
      <c r="X22" s="243">
        <f t="shared" si="16"/>
        <v>770</v>
      </c>
      <c r="Y22" s="243">
        <f t="shared" si="16"/>
        <v>770</v>
      </c>
      <c r="Z22" s="243">
        <f t="shared" si="16"/>
        <v>770</v>
      </c>
      <c r="AA22" s="243">
        <f t="shared" si="16"/>
        <v>770</v>
      </c>
      <c r="AB22" s="243">
        <f t="shared" si="16"/>
        <v>770</v>
      </c>
      <c r="AC22" s="243">
        <f t="shared" si="16"/>
        <v>770</v>
      </c>
      <c r="AD22" s="243">
        <f t="shared" si="16"/>
        <v>770</v>
      </c>
      <c r="AE22" s="243">
        <f t="shared" si="16"/>
        <v>770</v>
      </c>
      <c r="AF22" s="57"/>
    </row>
    <row r="23" spans="1:32" s="2" customFormat="1" ht="20" customHeight="1" x14ac:dyDescent="0.35">
      <c r="A23" s="13"/>
      <c r="B23" s="242" t="s">
        <v>404</v>
      </c>
      <c r="C23" s="242">
        <v>0</v>
      </c>
      <c r="D23" s="260">
        <v>0</v>
      </c>
      <c r="E23" s="260">
        <v>0</v>
      </c>
      <c r="F23" s="260">
        <f t="shared" si="11"/>
        <v>0</v>
      </c>
      <c r="I23" s="45"/>
      <c r="J23" s="59"/>
      <c r="L23" s="242">
        <f>+O23/$P$36</f>
        <v>0</v>
      </c>
      <c r="M23" s="250">
        <f t="shared" si="12"/>
        <v>0</v>
      </c>
      <c r="N23" s="242">
        <f t="shared" si="13"/>
        <v>0</v>
      </c>
      <c r="O23" s="242">
        <f t="shared" si="14"/>
        <v>0</v>
      </c>
      <c r="P23" s="242">
        <f t="shared" si="15"/>
        <v>0</v>
      </c>
      <c r="Q23" s="56"/>
      <c r="R23" s="243">
        <v>0</v>
      </c>
      <c r="S23" s="243">
        <f>$M$23</f>
        <v>0</v>
      </c>
      <c r="T23" s="243">
        <f t="shared" ref="T23:AE23" si="17">$M$23</f>
        <v>0</v>
      </c>
      <c r="U23" s="243">
        <f t="shared" si="17"/>
        <v>0</v>
      </c>
      <c r="V23" s="243">
        <f t="shared" si="17"/>
        <v>0</v>
      </c>
      <c r="W23" s="243">
        <f t="shared" si="17"/>
        <v>0</v>
      </c>
      <c r="X23" s="243">
        <f t="shared" si="17"/>
        <v>0</v>
      </c>
      <c r="Y23" s="243">
        <f t="shared" si="17"/>
        <v>0</v>
      </c>
      <c r="Z23" s="243">
        <f t="shared" si="17"/>
        <v>0</v>
      </c>
      <c r="AA23" s="243">
        <f t="shared" si="17"/>
        <v>0</v>
      </c>
      <c r="AB23" s="243">
        <f t="shared" si="17"/>
        <v>0</v>
      </c>
      <c r="AC23" s="243">
        <f t="shared" si="17"/>
        <v>0</v>
      </c>
      <c r="AD23" s="243">
        <f t="shared" si="17"/>
        <v>0</v>
      </c>
      <c r="AE23" s="243">
        <f t="shared" si="17"/>
        <v>0</v>
      </c>
      <c r="AF23" s="57"/>
    </row>
    <row r="24" spans="1:32" s="2" customFormat="1" ht="20" customHeight="1" x14ac:dyDescent="0.35">
      <c r="A24" s="13"/>
      <c r="B24" s="5"/>
      <c r="C24" s="57"/>
      <c r="D24" s="57"/>
      <c r="E24" s="57"/>
      <c r="F24" s="57"/>
      <c r="H24" s="45"/>
      <c r="I24" s="45"/>
      <c r="J24" s="59"/>
      <c r="L24" s="60"/>
      <c r="M24" s="60"/>
      <c r="N24" s="60"/>
      <c r="O24" s="60"/>
      <c r="P24" s="57"/>
      <c r="Q24" s="56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</row>
    <row r="25" spans="1:32" ht="20" customHeight="1" x14ac:dyDescent="0.35">
      <c r="B25"/>
      <c r="C25"/>
      <c r="D25"/>
      <c r="E25"/>
      <c r="G25" s="2"/>
      <c r="L25" s="60"/>
      <c r="M25" s="60"/>
      <c r="N25" s="60"/>
      <c r="O25" s="325" t="s">
        <v>402</v>
      </c>
      <c r="P25" s="326"/>
      <c r="Q25" s="95"/>
      <c r="R25" s="210">
        <f>SUM(R21:R24)</f>
        <v>0</v>
      </c>
      <c r="S25" s="210">
        <f t="shared" ref="S25" si="18">SUM(S21:S24)</f>
        <v>1386</v>
      </c>
      <c r="T25" s="210">
        <f t="shared" ref="T25" si="19">SUM(T21:T24)</f>
        <v>1386</v>
      </c>
      <c r="U25" s="210">
        <f t="shared" ref="U25" si="20">SUM(U21:U24)</f>
        <v>1386</v>
      </c>
      <c r="V25" s="210">
        <f t="shared" ref="V25" si="21">SUM(V21:V24)</f>
        <v>1386</v>
      </c>
      <c r="W25" s="210">
        <f t="shared" ref="W25" si="22">SUM(W21:W24)</f>
        <v>1386</v>
      </c>
      <c r="X25" s="210">
        <f t="shared" ref="X25" si="23">SUM(X21:X24)</f>
        <v>1386</v>
      </c>
      <c r="Y25" s="210">
        <f t="shared" ref="Y25" si="24">SUM(Y21:Y24)</f>
        <v>1386</v>
      </c>
      <c r="Z25" s="210">
        <f t="shared" ref="Z25" si="25">SUM(Z21:Z24)</f>
        <v>1386</v>
      </c>
      <c r="AA25" s="210">
        <f t="shared" ref="AA25" si="26">SUM(AA21:AA24)</f>
        <v>1386</v>
      </c>
      <c r="AB25" s="210">
        <f t="shared" ref="AB25" si="27">SUM(AB21:AB24)</f>
        <v>1386</v>
      </c>
      <c r="AC25" s="210">
        <f t="shared" ref="AC25" si="28">SUM(AC21:AC24)</f>
        <v>1386</v>
      </c>
      <c r="AD25" s="210">
        <f t="shared" ref="AD25" si="29">SUM(AD21:AD24)</f>
        <v>1386</v>
      </c>
      <c r="AE25" s="210">
        <f t="shared" ref="AE25" si="30">SUM(AE21:AE24)</f>
        <v>1386</v>
      </c>
    </row>
    <row r="26" spans="1:32" s="52" customFormat="1" ht="20" customHeight="1" x14ac:dyDescent="0.35">
      <c r="B26"/>
      <c r="C26"/>
      <c r="D26"/>
      <c r="E26"/>
      <c r="F26" s="4"/>
      <c r="G26" s="4"/>
      <c r="H26" s="4"/>
      <c r="I26" s="4"/>
      <c r="J26" s="4"/>
      <c r="K26" s="4"/>
      <c r="L26" s="60"/>
      <c r="M26" s="60"/>
      <c r="N26" s="60"/>
      <c r="O26" s="327" t="s">
        <v>397</v>
      </c>
      <c r="P26" s="328"/>
      <c r="Q26" s="95"/>
      <c r="R26" s="211">
        <f t="shared" ref="R26:AE26" si="31">R25*$P$36</f>
        <v>0</v>
      </c>
      <c r="S26" s="211">
        <f t="shared" si="31"/>
        <v>27720</v>
      </c>
      <c r="T26" s="211">
        <f t="shared" si="31"/>
        <v>27720</v>
      </c>
      <c r="U26" s="211">
        <f t="shared" si="31"/>
        <v>27720</v>
      </c>
      <c r="V26" s="211">
        <f t="shared" si="31"/>
        <v>27720</v>
      </c>
      <c r="W26" s="211">
        <f t="shared" si="31"/>
        <v>27720</v>
      </c>
      <c r="X26" s="211">
        <f t="shared" si="31"/>
        <v>27720</v>
      </c>
      <c r="Y26" s="211">
        <f t="shared" si="31"/>
        <v>27720</v>
      </c>
      <c r="Z26" s="211">
        <f t="shared" si="31"/>
        <v>27720</v>
      </c>
      <c r="AA26" s="211">
        <f t="shared" si="31"/>
        <v>27720</v>
      </c>
      <c r="AB26" s="211">
        <f t="shared" si="31"/>
        <v>27720</v>
      </c>
      <c r="AC26" s="211">
        <f t="shared" si="31"/>
        <v>27720</v>
      </c>
      <c r="AD26" s="211">
        <f t="shared" si="31"/>
        <v>27720</v>
      </c>
      <c r="AE26" s="211">
        <f t="shared" si="31"/>
        <v>27720</v>
      </c>
    </row>
    <row r="27" spans="1:32" s="52" customFormat="1" ht="20" customHeight="1" x14ac:dyDescent="0.35">
      <c r="B27"/>
      <c r="C27"/>
      <c r="D27"/>
      <c r="E27"/>
      <c r="F27" s="4"/>
      <c r="G27" s="4"/>
      <c r="H27" s="4"/>
      <c r="I27" s="4"/>
      <c r="J27" s="4"/>
      <c r="K27" s="4"/>
      <c r="O27" s="325" t="s">
        <v>403</v>
      </c>
      <c r="P27" s="326"/>
      <c r="Q27" s="95"/>
      <c r="R27" s="210">
        <f>SUM(R25:AE25)</f>
        <v>18018</v>
      </c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2" s="52" customFormat="1" ht="20" customHeight="1" x14ac:dyDescent="0.35">
      <c r="A28" s="51"/>
      <c r="B28"/>
      <c r="C28"/>
      <c r="D28"/>
      <c r="E28"/>
      <c r="F28" s="4"/>
      <c r="G28" s="4"/>
      <c r="H28" s="4"/>
      <c r="I28" s="4"/>
      <c r="J28" s="4"/>
      <c r="K28" s="4"/>
      <c r="O28" s="327" t="s">
        <v>256</v>
      </c>
      <c r="P28" s="328"/>
      <c r="Q28" s="95"/>
      <c r="R28" s="226">
        <f>SUM(R26:AE26)</f>
        <v>360360</v>
      </c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2" ht="20" customHeight="1" x14ac:dyDescent="0.35">
      <c r="A29" s="51"/>
      <c r="B29"/>
      <c r="C29"/>
      <c r="D29"/>
      <c r="E29"/>
      <c r="Q29" s="4"/>
    </row>
    <row r="30" spans="1:32" ht="20" customHeight="1" x14ac:dyDescent="0.35">
      <c r="A30" s="51"/>
      <c r="B30"/>
      <c r="C30"/>
      <c r="D30"/>
      <c r="E30"/>
      <c r="O30" s="325" t="s">
        <v>402</v>
      </c>
      <c r="P30" s="326"/>
      <c r="Q30" s="95"/>
      <c r="R30" s="210">
        <f>+R25+R11</f>
        <v>0</v>
      </c>
      <c r="S30" s="210">
        <f t="shared" ref="S30:AE30" si="32">+S25+S11</f>
        <v>1386</v>
      </c>
      <c r="T30" s="210">
        <f t="shared" si="32"/>
        <v>1386</v>
      </c>
      <c r="U30" s="210">
        <f t="shared" si="32"/>
        <v>1386</v>
      </c>
      <c r="V30" s="210">
        <f t="shared" si="32"/>
        <v>1386</v>
      </c>
      <c r="W30" s="210">
        <f t="shared" si="32"/>
        <v>1386</v>
      </c>
      <c r="X30" s="210">
        <f t="shared" si="32"/>
        <v>1386</v>
      </c>
      <c r="Y30" s="210">
        <f t="shared" si="32"/>
        <v>1386</v>
      </c>
      <c r="Z30" s="210">
        <f t="shared" si="32"/>
        <v>1386</v>
      </c>
      <c r="AA30" s="210">
        <f t="shared" si="32"/>
        <v>1386</v>
      </c>
      <c r="AB30" s="210">
        <f t="shared" si="32"/>
        <v>1386</v>
      </c>
      <c r="AC30" s="210">
        <f t="shared" si="32"/>
        <v>1386</v>
      </c>
      <c r="AD30" s="210">
        <f t="shared" si="32"/>
        <v>1386</v>
      </c>
      <c r="AE30" s="210">
        <f t="shared" si="32"/>
        <v>1386</v>
      </c>
    </row>
    <row r="31" spans="1:32" ht="20" customHeight="1" x14ac:dyDescent="0.35">
      <c r="B31"/>
      <c r="C31"/>
      <c r="D31"/>
      <c r="E31"/>
      <c r="O31" s="327" t="s">
        <v>397</v>
      </c>
      <c r="P31" s="328"/>
      <c r="Q31" s="95"/>
      <c r="R31" s="211">
        <f t="shared" ref="R31:AE31" si="33">R30*$P$36</f>
        <v>0</v>
      </c>
      <c r="S31" s="211">
        <f t="shared" si="33"/>
        <v>27720</v>
      </c>
      <c r="T31" s="211">
        <f t="shared" si="33"/>
        <v>27720</v>
      </c>
      <c r="U31" s="211">
        <f t="shared" si="33"/>
        <v>27720</v>
      </c>
      <c r="V31" s="211">
        <f t="shared" si="33"/>
        <v>27720</v>
      </c>
      <c r="W31" s="211">
        <f t="shared" si="33"/>
        <v>27720</v>
      </c>
      <c r="X31" s="211">
        <f t="shared" si="33"/>
        <v>27720</v>
      </c>
      <c r="Y31" s="211">
        <f t="shared" si="33"/>
        <v>27720</v>
      </c>
      <c r="Z31" s="211">
        <f t="shared" si="33"/>
        <v>27720</v>
      </c>
      <c r="AA31" s="211">
        <f t="shared" si="33"/>
        <v>27720</v>
      </c>
      <c r="AB31" s="211">
        <f t="shared" si="33"/>
        <v>27720</v>
      </c>
      <c r="AC31" s="211">
        <f t="shared" si="33"/>
        <v>27720</v>
      </c>
      <c r="AD31" s="211">
        <f t="shared" si="33"/>
        <v>27720</v>
      </c>
      <c r="AE31" s="211">
        <f t="shared" si="33"/>
        <v>27720</v>
      </c>
    </row>
    <row r="32" spans="1:32" s="52" customFormat="1" ht="20" customHeight="1" x14ac:dyDescent="0.35">
      <c r="B32"/>
      <c r="C32"/>
      <c r="D32"/>
      <c r="E32"/>
      <c r="F32" s="4"/>
      <c r="G32" s="4"/>
      <c r="H32" s="4"/>
      <c r="I32" s="4"/>
      <c r="J32" s="4"/>
      <c r="K32" s="4"/>
      <c r="O32" s="325" t="s">
        <v>403</v>
      </c>
      <c r="P32" s="326"/>
      <c r="Q32" s="95"/>
      <c r="R32" s="210">
        <f>SUM(R30:AE30)</f>
        <v>18018</v>
      </c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2:31" s="52" customFormat="1" ht="20" customHeight="1" x14ac:dyDescent="0.35">
      <c r="B33"/>
      <c r="C33"/>
      <c r="D33"/>
      <c r="E33"/>
      <c r="F33" s="4"/>
      <c r="G33" s="4"/>
      <c r="H33" s="4"/>
      <c r="I33" s="4"/>
      <c r="J33" s="4"/>
      <c r="K33" s="4"/>
      <c r="O33" s="327" t="s">
        <v>256</v>
      </c>
      <c r="P33" s="328"/>
      <c r="Q33" s="95"/>
      <c r="R33" s="226">
        <f>SUM(R31:AE31)</f>
        <v>360360</v>
      </c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2:31" s="52" customFormat="1" ht="20" customHeight="1" x14ac:dyDescent="0.35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2:31" s="52" customFormat="1" ht="20" customHeight="1" x14ac:dyDescent="0.35"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350"/>
      <c r="P35" s="351"/>
    </row>
    <row r="36" spans="2:31" s="52" customFormat="1" ht="20" customHeight="1" x14ac:dyDescent="0.35">
      <c r="D36"/>
      <c r="E36"/>
      <c r="F36"/>
      <c r="G36" s="4"/>
      <c r="H36" s="4"/>
      <c r="I36" s="4"/>
      <c r="J36" s="4"/>
      <c r="K36"/>
      <c r="L36"/>
      <c r="M36"/>
      <c r="N36"/>
      <c r="O36" s="212" t="str">
        <f>'F03 COM Y EQ COM'!I57</f>
        <v>PARIDAD</v>
      </c>
      <c r="P36" s="198">
        <f>'F03 COM Y EQ COM'!J57</f>
        <v>20</v>
      </c>
    </row>
    <row r="37" spans="2:31" s="52" customFormat="1" ht="20" customHeight="1" x14ac:dyDescent="0.35">
      <c r="D37"/>
      <c r="E37"/>
      <c r="F37"/>
      <c r="G37" s="4"/>
      <c r="H37" s="4"/>
      <c r="I37" s="4"/>
      <c r="J37" s="4"/>
      <c r="K37"/>
      <c r="L37"/>
      <c r="M37"/>
      <c r="N37"/>
      <c r="O37" s="213" t="str">
        <f>'F03 COM Y EQ COM'!I58</f>
        <v xml:space="preserve">MES </v>
      </c>
      <c r="P37" s="199">
        <f>'F03 COM Y EQ COM'!J58</f>
        <v>30.4</v>
      </c>
      <c r="AD37" s="4"/>
      <c r="AE37" s="4"/>
    </row>
    <row r="38" spans="2:31" s="52" customFormat="1" ht="20" customHeight="1" x14ac:dyDescent="0.35">
      <c r="B38" s="4"/>
      <c r="C38" s="4"/>
      <c r="D38"/>
      <c r="E38"/>
      <c r="F38"/>
      <c r="G38"/>
      <c r="H38"/>
      <c r="I38"/>
      <c r="J38"/>
      <c r="K38"/>
      <c r="L38"/>
      <c r="M38"/>
      <c r="N38"/>
      <c r="O38" s="214" t="str">
        <f>'F03 COM Y EQ COM'!I59</f>
        <v>CRÉDITO</v>
      </c>
      <c r="P38" s="200">
        <f>'F03 COM Y EQ COM'!J59</f>
        <v>45</v>
      </c>
      <c r="R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2:31" s="52" customFormat="1" ht="20" customHeight="1" x14ac:dyDescent="0.35">
      <c r="B39" s="5"/>
      <c r="C39" s="57" t="s">
        <v>251</v>
      </c>
      <c r="D39"/>
      <c r="E39"/>
      <c r="F39"/>
      <c r="G39"/>
      <c r="H39"/>
      <c r="I39"/>
      <c r="J39"/>
      <c r="K39"/>
      <c r="L39"/>
      <c r="M39"/>
      <c r="N39"/>
      <c r="O39" s="215" t="str">
        <f>'F03 COM Y EQ COM'!I60</f>
        <v>GAS LP</v>
      </c>
      <c r="P39" s="201">
        <f>'F03 COM Y EQ COM'!J60</f>
        <v>10.5</v>
      </c>
      <c r="R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2:31" s="52" customFormat="1" ht="20" customHeight="1" x14ac:dyDescent="0.35">
      <c r="B40" s="5"/>
      <c r="C40" s="57"/>
      <c r="D40"/>
      <c r="E40"/>
      <c r="F40"/>
      <c r="G40"/>
      <c r="H40"/>
      <c r="I40"/>
      <c r="J40"/>
      <c r="K40"/>
      <c r="L40"/>
      <c r="M40"/>
      <c r="N40"/>
      <c r="O40" s="216" t="str">
        <f>'F03 COM Y EQ COM'!I61</f>
        <v>GASOLINA</v>
      </c>
      <c r="P40" s="202">
        <f>'F03 COM Y EQ COM'!J61</f>
        <v>22</v>
      </c>
      <c r="R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2:31" s="52" customFormat="1" ht="20" customHeight="1" x14ac:dyDescent="0.35">
      <c r="B41" s="4"/>
      <c r="C41" s="4"/>
      <c r="D41"/>
      <c r="E41"/>
      <c r="F41"/>
      <c r="G41"/>
      <c r="H41"/>
      <c r="I41"/>
      <c r="J41"/>
      <c r="K41"/>
      <c r="L41"/>
      <c r="M41"/>
      <c r="N41"/>
      <c r="O41" s="253" t="str">
        <f>'F03 COM Y EQ COM'!I62</f>
        <v>DIESEL</v>
      </c>
      <c r="P41" s="254">
        <f>'F03 COM Y EQ COM'!J62</f>
        <v>23</v>
      </c>
      <c r="R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2:31" s="52" customFormat="1" ht="20" customHeight="1" x14ac:dyDescent="0.35">
      <c r="B42" s="4"/>
      <c r="C42" s="4"/>
      <c r="D42"/>
      <c r="E42"/>
      <c r="F42"/>
      <c r="G42"/>
      <c r="H42"/>
      <c r="I42"/>
      <c r="J42"/>
      <c r="K42"/>
      <c r="L42"/>
      <c r="M42"/>
      <c r="N42"/>
      <c r="O42" s="329" t="s">
        <v>345</v>
      </c>
      <c r="P42" s="330"/>
      <c r="R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2:31" s="52" customFormat="1" ht="20" customHeight="1" thickBot="1" x14ac:dyDescent="0.4">
      <c r="B43" s="4"/>
      <c r="C43" s="4"/>
      <c r="D43"/>
      <c r="E43"/>
      <c r="F43"/>
      <c r="G43"/>
      <c r="H43"/>
      <c r="I43"/>
      <c r="J43"/>
      <c r="K43"/>
      <c r="L43"/>
      <c r="M43"/>
      <c r="N43"/>
      <c r="O43" s="331"/>
      <c r="P43" s="332"/>
      <c r="R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2:31" s="52" customFormat="1" ht="20" customHeight="1" x14ac:dyDescent="0.35">
      <c r="B44" s="4"/>
      <c r="C44" s="4"/>
      <c r="D44"/>
      <c r="E44"/>
      <c r="F44"/>
      <c r="G44"/>
      <c r="H44"/>
      <c r="I44"/>
      <c r="J44"/>
      <c r="K44"/>
      <c r="L44"/>
      <c r="M44"/>
      <c r="N4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2:31" s="52" customFormat="1" ht="20" customHeight="1" x14ac:dyDescent="0.35">
      <c r="B45" s="4"/>
      <c r="C45" s="4"/>
      <c r="D45"/>
      <c r="E45"/>
      <c r="F45"/>
      <c r="G45"/>
      <c r="H45"/>
      <c r="I45"/>
      <c r="J45"/>
      <c r="K45"/>
      <c r="L45"/>
      <c r="M45"/>
      <c r="N45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2:31" s="52" customFormat="1" ht="20" customHeight="1" x14ac:dyDescent="0.35">
      <c r="B46" s="4"/>
      <c r="C46" s="4"/>
      <c r="D46"/>
      <c r="E46"/>
      <c r="F46"/>
      <c r="G46"/>
      <c r="H46"/>
      <c r="I46"/>
      <c r="J46"/>
      <c r="K46"/>
      <c r="L46"/>
      <c r="M46"/>
      <c r="N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2:31" s="52" customFormat="1" ht="20" customHeight="1" x14ac:dyDescent="0.35">
      <c r="B47" s="4"/>
      <c r="C47" s="4"/>
      <c r="D47"/>
      <c r="E47"/>
      <c r="F47"/>
      <c r="G47"/>
      <c r="H47"/>
      <c r="I47"/>
      <c r="J47"/>
      <c r="K47"/>
      <c r="L47"/>
      <c r="M47"/>
      <c r="N47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2:31" s="52" customFormat="1" ht="20" customHeight="1" x14ac:dyDescent="0.35">
      <c r="B48" s="4"/>
      <c r="C48" s="4"/>
      <c r="D48"/>
      <c r="E48"/>
      <c r="F48"/>
      <c r="G48"/>
      <c r="H48"/>
      <c r="I48"/>
      <c r="J48"/>
      <c r="K48"/>
      <c r="L48"/>
      <c r="M48"/>
      <c r="N48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2:31" s="52" customFormat="1" ht="20" customHeight="1" x14ac:dyDescent="0.35">
      <c r="B49" s="4"/>
      <c r="C49" s="4"/>
      <c r="D49"/>
      <c r="E49"/>
      <c r="F49"/>
      <c r="G49"/>
      <c r="H49"/>
      <c r="I49"/>
      <c r="J49"/>
      <c r="K49"/>
      <c r="L49"/>
      <c r="M49"/>
      <c r="N49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2:31" s="52" customFormat="1" ht="20" customHeight="1" x14ac:dyDescent="0.35">
      <c r="B50" s="4"/>
      <c r="C50" s="4"/>
      <c r="D50"/>
      <c r="E50"/>
      <c r="F50"/>
      <c r="G50"/>
      <c r="H50"/>
      <c r="I50"/>
      <c r="J50"/>
      <c r="K50"/>
      <c r="L50"/>
      <c r="M50"/>
      <c r="N50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2:31" s="52" customFormat="1" ht="20" customHeight="1" x14ac:dyDescent="0.3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2:31" s="52" customFormat="1" ht="20" customHeight="1" x14ac:dyDescent="0.3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2:31" s="52" customFormat="1" ht="20" customHeight="1" x14ac:dyDescent="0.3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2:31" s="52" customFormat="1" ht="20" customHeight="1" x14ac:dyDescent="0.3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2:31" s="52" customFormat="1" ht="20" customHeight="1" x14ac:dyDescent="0.3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2:31" s="52" customFormat="1" ht="20" customHeight="1" x14ac:dyDescent="0.3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2:31" s="52" customFormat="1" ht="20" customHeight="1" x14ac:dyDescent="0.3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2:31" s="52" customFormat="1" ht="20" customHeight="1" x14ac:dyDescent="0.3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2:31" s="52" customFormat="1" ht="20" customHeight="1" x14ac:dyDescent="0.3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2:31" s="52" customFormat="1" ht="20" customHeight="1" x14ac:dyDescent="0.3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2:31" s="52" customFormat="1" ht="20" customHeight="1" x14ac:dyDescent="0.3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2:31" s="52" customFormat="1" ht="20" customHeight="1" x14ac:dyDescent="0.3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2:31" s="52" customFormat="1" ht="20" customHeight="1" x14ac:dyDescent="0.3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2:31" s="52" customFormat="1" ht="20" customHeight="1" x14ac:dyDescent="0.3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2:31" s="52" customFormat="1" ht="20" customHeight="1" x14ac:dyDescent="0.3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2:31" s="52" customFormat="1" ht="20" customHeight="1" x14ac:dyDescent="0.3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2:31" s="52" customFormat="1" ht="20" customHeight="1" x14ac:dyDescent="0.3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2:31" s="52" customFormat="1" ht="20" customHeight="1" x14ac:dyDescent="0.3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2:31" s="52" customFormat="1" ht="20" customHeight="1" x14ac:dyDescent="0.3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2:31" s="52" customFormat="1" ht="20" customHeight="1" x14ac:dyDescent="0.3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2:31" s="52" customFormat="1" ht="20" customHeight="1" x14ac:dyDescent="0.3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2:31" s="52" customFormat="1" ht="20" customHeight="1" x14ac:dyDescent="0.3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2:31" s="52" customFormat="1" ht="20" customHeight="1" x14ac:dyDescent="0.3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2:31" s="52" customFormat="1" ht="20" customHeight="1" x14ac:dyDescent="0.3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2:31" s="52" customFormat="1" ht="20" customHeight="1" x14ac:dyDescent="0.3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2:31" s="52" customFormat="1" ht="20" customHeight="1" x14ac:dyDescent="0.3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2:31" s="52" customFormat="1" ht="20" customHeight="1" x14ac:dyDescent="0.3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2:31" s="52" customFormat="1" ht="20" customHeight="1" x14ac:dyDescent="0.3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2:31" s="52" customFormat="1" ht="20" customHeight="1" x14ac:dyDescent="0.3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2:31" s="52" customFormat="1" ht="20" customHeight="1" x14ac:dyDescent="0.3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2:31" s="52" customFormat="1" ht="20" customHeight="1" x14ac:dyDescent="0.3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2:31" s="52" customFormat="1" ht="20" customHeight="1" x14ac:dyDescent="0.3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2:31" s="52" customFormat="1" ht="20" customHeight="1" x14ac:dyDescent="0.3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2:31" s="52" customFormat="1" ht="20" customHeight="1" x14ac:dyDescent="0.3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2:31" s="52" customFormat="1" ht="20" customHeight="1" x14ac:dyDescent="0.3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2:31" s="52" customFormat="1" ht="20" customHeight="1" x14ac:dyDescent="0.3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2:31" s="52" customFormat="1" ht="20" customHeight="1" x14ac:dyDescent="0.3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2:31" s="52" customFormat="1" ht="20" customHeight="1" x14ac:dyDescent="0.3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2:31" s="52" customFormat="1" ht="20" customHeight="1" x14ac:dyDescent="0.3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</sheetData>
  <mergeCells count="38">
    <mergeCell ref="O35:P35"/>
    <mergeCell ref="O42:P43"/>
    <mergeCell ref="O11:P11"/>
    <mergeCell ref="O12:P12"/>
    <mergeCell ref="O13:P13"/>
    <mergeCell ref="O14:P14"/>
    <mergeCell ref="O25:P25"/>
    <mergeCell ref="O26:P26"/>
    <mergeCell ref="O27:P27"/>
    <mergeCell ref="O28:P28"/>
    <mergeCell ref="O30:P30"/>
    <mergeCell ref="O31:P31"/>
    <mergeCell ref="O32:P32"/>
    <mergeCell ref="O33:P33"/>
    <mergeCell ref="L18:L20"/>
    <mergeCell ref="M18:M20"/>
    <mergeCell ref="N18:N20"/>
    <mergeCell ref="O18:O20"/>
    <mergeCell ref="P18:P19"/>
    <mergeCell ref="L4:L6"/>
    <mergeCell ref="M4:M6"/>
    <mergeCell ref="N4:N6"/>
    <mergeCell ref="O4:O6"/>
    <mergeCell ref="P4:P5"/>
    <mergeCell ref="D18:D20"/>
    <mergeCell ref="E18:E20"/>
    <mergeCell ref="F18:F20"/>
    <mergeCell ref="B4:B6"/>
    <mergeCell ref="C4:C6"/>
    <mergeCell ref="B18:B20"/>
    <mergeCell ref="C18:C20"/>
    <mergeCell ref="D4:D6"/>
    <mergeCell ref="E4:E6"/>
    <mergeCell ref="J4:J6"/>
    <mergeCell ref="I4:I6"/>
    <mergeCell ref="H4:H6"/>
    <mergeCell ref="G4:G6"/>
    <mergeCell ref="F4:F6"/>
  </mergeCells>
  <phoneticPr fontId="8" type="noConversion"/>
  <hyperlinks>
    <hyperlink ref="O42" r:id="rId1" xr:uid="{17313184-A793-5544-810A-29874ED19035}"/>
  </hyperlinks>
  <pageMargins left="0.25" right="0.25" top="0.75" bottom="0.75" header="0.3" footer="0.3"/>
  <pageSetup paperSize="3" scale="42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40"/>
  <sheetViews>
    <sheetView zoomScale="93" zoomScaleNormal="90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D12" sqref="D12"/>
    </sheetView>
  </sheetViews>
  <sheetFormatPr baseColWidth="10" defaultColWidth="10.5" defaultRowHeight="20" customHeight="1" x14ac:dyDescent="0.35"/>
  <cols>
    <col min="1" max="1" width="4" style="2" customWidth="1"/>
    <col min="2" max="2" width="34.83203125" style="5" bestFit="1" customWidth="1"/>
    <col min="3" max="3" width="15.1640625" style="6" customWidth="1"/>
    <col min="4" max="4" width="12.1640625" style="6" customWidth="1"/>
    <col min="5" max="5" width="16.33203125" style="6" customWidth="1"/>
    <col min="6" max="6" width="10.33203125" style="6" customWidth="1"/>
    <col min="7" max="7" width="11.6640625" style="6" bestFit="1" customWidth="1"/>
    <col min="8" max="8" width="12.33203125" style="6" customWidth="1"/>
    <col min="9" max="9" width="19.83203125" style="61" customWidth="1"/>
    <col min="10" max="10" width="1.5" style="2" customWidth="1"/>
    <col min="11" max="11" width="13.5" style="2" customWidth="1"/>
    <col min="12" max="21" width="12.5" style="2" customWidth="1"/>
    <col min="22" max="24" width="14.1640625" style="2" customWidth="1"/>
    <col min="25" max="16384" width="10.5" style="2"/>
  </cols>
  <sheetData>
    <row r="1" spans="1:26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6" ht="20" customHeight="1" x14ac:dyDescent="0.35">
      <c r="A2" s="13"/>
      <c r="B2" s="15" t="s">
        <v>11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6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6" ht="20" customHeight="1" x14ac:dyDescent="0.35">
      <c r="A4" s="13"/>
      <c r="B4" s="345" t="s">
        <v>263</v>
      </c>
      <c r="C4" s="324" t="s">
        <v>23</v>
      </c>
      <c r="D4" s="324" t="s">
        <v>2</v>
      </c>
      <c r="E4" s="324" t="s">
        <v>239</v>
      </c>
      <c r="F4" s="324" t="s">
        <v>344</v>
      </c>
      <c r="G4" s="324" t="s">
        <v>240</v>
      </c>
      <c r="H4" s="324" t="s">
        <v>256</v>
      </c>
      <c r="I4" s="333" t="s">
        <v>398</v>
      </c>
      <c r="K4" s="169" t="s">
        <v>74</v>
      </c>
      <c r="L4" s="170" t="s">
        <v>356</v>
      </c>
      <c r="M4" s="170" t="s">
        <v>357</v>
      </c>
      <c r="N4" s="170" t="s">
        <v>358</v>
      </c>
      <c r="O4" s="170" t="s">
        <v>359</v>
      </c>
      <c r="P4" s="170" t="s">
        <v>360</v>
      </c>
      <c r="Q4" s="170" t="s">
        <v>361</v>
      </c>
      <c r="R4" s="170" t="s">
        <v>362</v>
      </c>
      <c r="S4" s="170" t="s">
        <v>363</v>
      </c>
      <c r="T4" s="170" t="s">
        <v>364</v>
      </c>
      <c r="U4" s="170" t="s">
        <v>365</v>
      </c>
      <c r="V4" s="170" t="s">
        <v>366</v>
      </c>
      <c r="W4" s="170" t="s">
        <v>367</v>
      </c>
      <c r="X4" s="170" t="s">
        <v>368</v>
      </c>
    </row>
    <row r="5" spans="1:26" s="3" customFormat="1" ht="20" customHeight="1" x14ac:dyDescent="0.35">
      <c r="A5" s="13"/>
      <c r="B5" s="324"/>
      <c r="C5" s="324"/>
      <c r="D5" s="324"/>
      <c r="E5" s="324"/>
      <c r="F5" s="324" t="s">
        <v>344</v>
      </c>
      <c r="G5" s="324" t="s">
        <v>240</v>
      </c>
      <c r="H5" s="324" t="s">
        <v>256</v>
      </c>
      <c r="I5" s="333"/>
      <c r="K5" s="171" t="s">
        <v>251</v>
      </c>
      <c r="L5" s="172" t="s">
        <v>339</v>
      </c>
      <c r="M5" s="172" t="s">
        <v>340</v>
      </c>
      <c r="N5" s="172" t="s">
        <v>341</v>
      </c>
      <c r="O5" s="172" t="s">
        <v>330</v>
      </c>
      <c r="P5" s="172" t="s">
        <v>331</v>
      </c>
      <c r="Q5" s="172" t="s">
        <v>332</v>
      </c>
      <c r="R5" s="172" t="s">
        <v>333</v>
      </c>
      <c r="S5" s="172" t="s">
        <v>334</v>
      </c>
      <c r="T5" s="172" t="s">
        <v>335</v>
      </c>
      <c r="U5" s="172" t="s">
        <v>336</v>
      </c>
      <c r="V5" s="172" t="s">
        <v>337</v>
      </c>
      <c r="W5" s="172" t="s">
        <v>338</v>
      </c>
      <c r="X5" s="172" t="s">
        <v>339</v>
      </c>
      <c r="Y5" s="2"/>
      <c r="Z5" s="2"/>
    </row>
    <row r="6" spans="1:26" s="3" customFormat="1" ht="20" customHeight="1" x14ac:dyDescent="0.35">
      <c r="A6" s="13"/>
      <c r="B6" s="324"/>
      <c r="C6" s="324"/>
      <c r="D6" s="324"/>
      <c r="E6" s="324"/>
      <c r="F6" s="324" t="s">
        <v>242</v>
      </c>
      <c r="G6" s="324" t="s">
        <v>243</v>
      </c>
      <c r="H6" s="324" t="s">
        <v>243</v>
      </c>
      <c r="I6" s="229" t="s">
        <v>399</v>
      </c>
      <c r="K6" s="207" t="s">
        <v>251</v>
      </c>
      <c r="L6" s="208">
        <v>31</v>
      </c>
      <c r="M6" s="208">
        <v>28</v>
      </c>
      <c r="N6" s="208">
        <v>31</v>
      </c>
      <c r="O6" s="208">
        <v>30</v>
      </c>
      <c r="P6" s="208">
        <v>31</v>
      </c>
      <c r="Q6" s="208">
        <v>30</v>
      </c>
      <c r="R6" s="208">
        <v>31</v>
      </c>
      <c r="S6" s="208">
        <v>31</v>
      </c>
      <c r="T6" s="208">
        <v>30</v>
      </c>
      <c r="U6" s="208">
        <v>31</v>
      </c>
      <c r="V6" s="208">
        <v>30</v>
      </c>
      <c r="W6" s="208">
        <v>31</v>
      </c>
      <c r="X6" s="208">
        <v>31</v>
      </c>
      <c r="Y6" s="2"/>
      <c r="Z6" s="2"/>
    </row>
    <row r="7" spans="1:26" ht="20" customHeight="1" x14ac:dyDescent="0.35">
      <c r="A7" s="13"/>
      <c r="B7" s="231" t="s">
        <v>227</v>
      </c>
      <c r="C7" s="237"/>
      <c r="D7" s="220">
        <v>2</v>
      </c>
      <c r="E7" s="243">
        <f>+G7/$I$33</f>
        <v>50</v>
      </c>
      <c r="F7" s="250">
        <f>E7</f>
        <v>50</v>
      </c>
      <c r="G7" s="243">
        <v>1000</v>
      </c>
      <c r="H7" s="243">
        <f>(D7*G7)</f>
        <v>2000</v>
      </c>
      <c r="I7" s="243">
        <f>H7*1.16</f>
        <v>2320</v>
      </c>
      <c r="K7" s="243">
        <v>0</v>
      </c>
      <c r="L7" s="243">
        <f>$F$7</f>
        <v>50</v>
      </c>
      <c r="M7" s="243">
        <f t="shared" ref="M7:X7" si="0">$F$7</f>
        <v>50</v>
      </c>
      <c r="N7" s="243">
        <f t="shared" si="0"/>
        <v>50</v>
      </c>
      <c r="O7" s="243">
        <f t="shared" si="0"/>
        <v>50</v>
      </c>
      <c r="P7" s="243">
        <f t="shared" si="0"/>
        <v>50</v>
      </c>
      <c r="Q7" s="243">
        <f t="shared" si="0"/>
        <v>50</v>
      </c>
      <c r="R7" s="243">
        <f t="shared" si="0"/>
        <v>50</v>
      </c>
      <c r="S7" s="243">
        <f t="shared" si="0"/>
        <v>50</v>
      </c>
      <c r="T7" s="243">
        <f t="shared" si="0"/>
        <v>50</v>
      </c>
      <c r="U7" s="243">
        <f t="shared" si="0"/>
        <v>50</v>
      </c>
      <c r="V7" s="243">
        <f t="shared" si="0"/>
        <v>50</v>
      </c>
      <c r="W7" s="243">
        <f t="shared" si="0"/>
        <v>50</v>
      </c>
      <c r="X7" s="243">
        <f t="shared" si="0"/>
        <v>50</v>
      </c>
    </row>
    <row r="8" spans="1:26" ht="20" customHeight="1" x14ac:dyDescent="0.35">
      <c r="A8" s="13"/>
      <c r="B8" s="231" t="s">
        <v>228</v>
      </c>
      <c r="C8" s="237"/>
      <c r="D8" s="220">
        <v>2</v>
      </c>
      <c r="E8" s="243">
        <f t="shared" ref="E8:E11" si="1">+G8/$I$33</f>
        <v>50</v>
      </c>
      <c r="F8" s="250">
        <f t="shared" ref="F8:F11" si="2">E8</f>
        <v>50</v>
      </c>
      <c r="G8" s="243">
        <v>1000</v>
      </c>
      <c r="H8" s="243">
        <f t="shared" ref="H8:H11" si="3">(D8*G8)</f>
        <v>2000</v>
      </c>
      <c r="I8" s="243">
        <f t="shared" ref="I8:I11" si="4">H8*1.16</f>
        <v>2320</v>
      </c>
      <c r="K8" s="243">
        <v>0</v>
      </c>
      <c r="L8" s="243">
        <f>$F$8</f>
        <v>50</v>
      </c>
      <c r="M8" s="243">
        <f t="shared" ref="M8:X8" si="5">$F$8</f>
        <v>50</v>
      </c>
      <c r="N8" s="243">
        <f t="shared" si="5"/>
        <v>50</v>
      </c>
      <c r="O8" s="243">
        <f t="shared" si="5"/>
        <v>50</v>
      </c>
      <c r="P8" s="243">
        <f t="shared" si="5"/>
        <v>50</v>
      </c>
      <c r="Q8" s="243">
        <f t="shared" si="5"/>
        <v>50</v>
      </c>
      <c r="R8" s="243">
        <f t="shared" si="5"/>
        <v>50</v>
      </c>
      <c r="S8" s="243">
        <f t="shared" si="5"/>
        <v>50</v>
      </c>
      <c r="T8" s="243">
        <f t="shared" si="5"/>
        <v>50</v>
      </c>
      <c r="U8" s="243">
        <f t="shared" si="5"/>
        <v>50</v>
      </c>
      <c r="V8" s="243">
        <f t="shared" si="5"/>
        <v>50</v>
      </c>
      <c r="W8" s="243">
        <f t="shared" si="5"/>
        <v>50</v>
      </c>
      <c r="X8" s="243">
        <f t="shared" si="5"/>
        <v>50</v>
      </c>
    </row>
    <row r="9" spans="1:26" ht="20" customHeight="1" x14ac:dyDescent="0.35">
      <c r="A9" s="13"/>
      <c r="B9" s="231" t="s">
        <v>229</v>
      </c>
      <c r="C9" s="237"/>
      <c r="D9" s="220">
        <v>2</v>
      </c>
      <c r="E9" s="243">
        <f t="shared" si="1"/>
        <v>150</v>
      </c>
      <c r="F9" s="250">
        <f t="shared" si="2"/>
        <v>150</v>
      </c>
      <c r="G9" s="243">
        <v>3000</v>
      </c>
      <c r="H9" s="243">
        <f t="shared" si="3"/>
        <v>6000</v>
      </c>
      <c r="I9" s="243">
        <f t="shared" si="4"/>
        <v>6959.9999999999991</v>
      </c>
      <c r="K9" s="243">
        <v>0</v>
      </c>
      <c r="L9" s="243">
        <f>$F$9</f>
        <v>150</v>
      </c>
      <c r="M9" s="243">
        <f t="shared" ref="M9:X9" si="6">$F$9</f>
        <v>150</v>
      </c>
      <c r="N9" s="243">
        <f t="shared" si="6"/>
        <v>150</v>
      </c>
      <c r="O9" s="243">
        <f t="shared" si="6"/>
        <v>150</v>
      </c>
      <c r="P9" s="243">
        <f t="shared" si="6"/>
        <v>150</v>
      </c>
      <c r="Q9" s="243">
        <f t="shared" si="6"/>
        <v>150</v>
      </c>
      <c r="R9" s="243">
        <f t="shared" si="6"/>
        <v>150</v>
      </c>
      <c r="S9" s="243">
        <f t="shared" si="6"/>
        <v>150</v>
      </c>
      <c r="T9" s="243">
        <f t="shared" si="6"/>
        <v>150</v>
      </c>
      <c r="U9" s="243">
        <f t="shared" si="6"/>
        <v>150</v>
      </c>
      <c r="V9" s="243">
        <f t="shared" si="6"/>
        <v>150</v>
      </c>
      <c r="W9" s="243">
        <f t="shared" si="6"/>
        <v>150</v>
      </c>
      <c r="X9" s="243">
        <f t="shared" si="6"/>
        <v>150</v>
      </c>
    </row>
    <row r="10" spans="1:26" ht="20" customHeight="1" x14ac:dyDescent="0.35">
      <c r="A10" s="13"/>
      <c r="B10" s="231" t="s">
        <v>230</v>
      </c>
      <c r="C10" s="237"/>
      <c r="D10" s="220">
        <v>2</v>
      </c>
      <c r="E10" s="243">
        <f t="shared" si="1"/>
        <v>100</v>
      </c>
      <c r="F10" s="250">
        <f t="shared" si="2"/>
        <v>100</v>
      </c>
      <c r="G10" s="243">
        <v>2000</v>
      </c>
      <c r="H10" s="243">
        <f t="shared" si="3"/>
        <v>4000</v>
      </c>
      <c r="I10" s="243">
        <f t="shared" si="4"/>
        <v>4640</v>
      </c>
      <c r="K10" s="243">
        <v>0</v>
      </c>
      <c r="L10" s="243">
        <f>$F$10</f>
        <v>100</v>
      </c>
      <c r="M10" s="243">
        <f t="shared" ref="M10:X10" si="7">$F$10</f>
        <v>100</v>
      </c>
      <c r="N10" s="243">
        <f t="shared" si="7"/>
        <v>100</v>
      </c>
      <c r="O10" s="243">
        <f t="shared" si="7"/>
        <v>100</v>
      </c>
      <c r="P10" s="243">
        <f t="shared" si="7"/>
        <v>100</v>
      </c>
      <c r="Q10" s="243">
        <f t="shared" si="7"/>
        <v>100</v>
      </c>
      <c r="R10" s="243">
        <f t="shared" si="7"/>
        <v>100</v>
      </c>
      <c r="S10" s="243">
        <f t="shared" si="7"/>
        <v>100</v>
      </c>
      <c r="T10" s="243">
        <f t="shared" si="7"/>
        <v>100</v>
      </c>
      <c r="U10" s="243">
        <f t="shared" si="7"/>
        <v>100</v>
      </c>
      <c r="V10" s="243">
        <f t="shared" si="7"/>
        <v>100</v>
      </c>
      <c r="W10" s="243">
        <f t="shared" si="7"/>
        <v>100</v>
      </c>
      <c r="X10" s="243">
        <f t="shared" si="7"/>
        <v>100</v>
      </c>
    </row>
    <row r="11" spans="1:26" ht="20" customHeight="1" x14ac:dyDescent="0.35">
      <c r="A11" s="13"/>
      <c r="B11" s="231" t="s">
        <v>231</v>
      </c>
      <c r="C11" s="237"/>
      <c r="D11" s="220">
        <v>2</v>
      </c>
      <c r="E11" s="243">
        <f t="shared" si="1"/>
        <v>100</v>
      </c>
      <c r="F11" s="250">
        <f t="shared" si="2"/>
        <v>100</v>
      </c>
      <c r="G11" s="243">
        <v>2000</v>
      </c>
      <c r="H11" s="243">
        <f t="shared" si="3"/>
        <v>4000</v>
      </c>
      <c r="I11" s="243">
        <f t="shared" si="4"/>
        <v>4640</v>
      </c>
      <c r="K11" s="243">
        <v>0</v>
      </c>
      <c r="L11" s="243">
        <f>$F$11</f>
        <v>100</v>
      </c>
      <c r="M11" s="243">
        <f t="shared" ref="M11:X11" si="8">$F$11</f>
        <v>100</v>
      </c>
      <c r="N11" s="243">
        <f t="shared" si="8"/>
        <v>100</v>
      </c>
      <c r="O11" s="243">
        <f t="shared" si="8"/>
        <v>100</v>
      </c>
      <c r="P11" s="243">
        <f t="shared" si="8"/>
        <v>100</v>
      </c>
      <c r="Q11" s="243">
        <f t="shared" si="8"/>
        <v>100</v>
      </c>
      <c r="R11" s="243">
        <f t="shared" si="8"/>
        <v>100</v>
      </c>
      <c r="S11" s="243">
        <f t="shared" si="8"/>
        <v>100</v>
      </c>
      <c r="T11" s="243">
        <f t="shared" si="8"/>
        <v>100</v>
      </c>
      <c r="U11" s="243">
        <f t="shared" si="8"/>
        <v>100</v>
      </c>
      <c r="V11" s="243">
        <f t="shared" si="8"/>
        <v>100</v>
      </c>
      <c r="W11" s="243">
        <f t="shared" si="8"/>
        <v>100</v>
      </c>
      <c r="X11" s="243">
        <f t="shared" si="8"/>
        <v>100</v>
      </c>
    </row>
    <row r="12" spans="1:26" ht="20" customHeight="1" x14ac:dyDescent="0.35">
      <c r="A12" s="13"/>
      <c r="B12" s="2"/>
      <c r="I12" s="6"/>
      <c r="J12" s="61"/>
      <c r="K12" s="6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6" ht="20" customHeight="1" x14ac:dyDescent="0.35">
      <c r="A13" s="13"/>
      <c r="B13" s="2"/>
      <c r="C13" s="2"/>
      <c r="D13" s="2"/>
      <c r="E13" s="2"/>
      <c r="F13" s="2"/>
      <c r="G13" s="2"/>
      <c r="H13" s="325" t="s">
        <v>402</v>
      </c>
      <c r="I13" s="326"/>
      <c r="J13" s="95"/>
      <c r="K13" s="210">
        <f>SUM(K7:K11)</f>
        <v>0</v>
      </c>
      <c r="L13" s="210">
        <f t="shared" ref="L13:X13" si="9">SUM(L7:L11)</f>
        <v>450</v>
      </c>
      <c r="M13" s="210">
        <f t="shared" si="9"/>
        <v>450</v>
      </c>
      <c r="N13" s="210">
        <f t="shared" si="9"/>
        <v>450</v>
      </c>
      <c r="O13" s="210">
        <f t="shared" si="9"/>
        <v>450</v>
      </c>
      <c r="P13" s="210">
        <f t="shared" si="9"/>
        <v>450</v>
      </c>
      <c r="Q13" s="210">
        <f t="shared" si="9"/>
        <v>450</v>
      </c>
      <c r="R13" s="210">
        <f t="shared" si="9"/>
        <v>450</v>
      </c>
      <c r="S13" s="210">
        <f t="shared" si="9"/>
        <v>450</v>
      </c>
      <c r="T13" s="210">
        <f t="shared" si="9"/>
        <v>450</v>
      </c>
      <c r="U13" s="210">
        <f t="shared" si="9"/>
        <v>450</v>
      </c>
      <c r="V13" s="210">
        <f t="shared" si="9"/>
        <v>450</v>
      </c>
      <c r="W13" s="210">
        <f t="shared" si="9"/>
        <v>450</v>
      </c>
      <c r="X13" s="210">
        <f t="shared" si="9"/>
        <v>450</v>
      </c>
    </row>
    <row r="14" spans="1:26" ht="20" customHeight="1" x14ac:dyDescent="0.35">
      <c r="A14" s="13"/>
      <c r="C14" s="2"/>
      <c r="D14" s="2"/>
      <c r="E14" s="2"/>
      <c r="F14" s="2"/>
      <c r="G14" s="2"/>
      <c r="H14" s="327" t="s">
        <v>397</v>
      </c>
      <c r="I14" s="328"/>
      <c r="J14" s="95"/>
      <c r="K14" s="211">
        <f>K13*$I$33</f>
        <v>0</v>
      </c>
      <c r="L14" s="211">
        <f t="shared" ref="L14:X14" si="10">L13*$I$33</f>
        <v>9000</v>
      </c>
      <c r="M14" s="211">
        <f t="shared" si="10"/>
        <v>9000</v>
      </c>
      <c r="N14" s="211">
        <f t="shared" si="10"/>
        <v>9000</v>
      </c>
      <c r="O14" s="211">
        <f t="shared" si="10"/>
        <v>9000</v>
      </c>
      <c r="P14" s="211">
        <f t="shared" si="10"/>
        <v>9000</v>
      </c>
      <c r="Q14" s="211">
        <f t="shared" si="10"/>
        <v>9000</v>
      </c>
      <c r="R14" s="211">
        <f t="shared" si="10"/>
        <v>9000</v>
      </c>
      <c r="S14" s="211">
        <f t="shared" si="10"/>
        <v>9000</v>
      </c>
      <c r="T14" s="211">
        <f t="shared" si="10"/>
        <v>9000</v>
      </c>
      <c r="U14" s="211">
        <f t="shared" si="10"/>
        <v>9000</v>
      </c>
      <c r="V14" s="211">
        <f t="shared" si="10"/>
        <v>9000</v>
      </c>
      <c r="W14" s="211">
        <f t="shared" si="10"/>
        <v>9000</v>
      </c>
      <c r="X14" s="211">
        <f t="shared" si="10"/>
        <v>9000</v>
      </c>
    </row>
    <row r="15" spans="1:26" ht="20" customHeight="1" x14ac:dyDescent="0.35">
      <c r="A15" s="13"/>
      <c r="C15" s="2"/>
      <c r="D15" s="2"/>
      <c r="E15" s="2"/>
      <c r="F15" s="2"/>
      <c r="G15" s="2"/>
      <c r="H15" s="325" t="s">
        <v>403</v>
      </c>
      <c r="I15" s="326"/>
      <c r="J15" s="95"/>
      <c r="K15" s="210">
        <f>SUM(K13:X13)</f>
        <v>5850</v>
      </c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</row>
    <row r="16" spans="1:26" ht="20" customHeight="1" x14ac:dyDescent="0.35">
      <c r="A16" s="13"/>
      <c r="C16" s="2"/>
      <c r="D16" s="2"/>
      <c r="E16" s="2"/>
      <c r="F16" s="2"/>
      <c r="G16" s="2"/>
      <c r="H16" s="327" t="s">
        <v>256</v>
      </c>
      <c r="I16" s="328"/>
      <c r="J16" s="95"/>
      <c r="K16" s="226">
        <f>SUM(K14:X14)</f>
        <v>117000</v>
      </c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</row>
    <row r="17" spans="1:24" ht="20" customHeight="1" x14ac:dyDescent="0.35">
      <c r="A17" s="13"/>
      <c r="C17" s="2"/>
      <c r="D17" s="2"/>
      <c r="E17" s="2"/>
      <c r="F17" s="2"/>
      <c r="G17" s="2"/>
      <c r="H17" s="2"/>
      <c r="I17" s="2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</row>
    <row r="18" spans="1:24" ht="20" customHeight="1" x14ac:dyDescent="0.35">
      <c r="A18" s="13"/>
    </row>
    <row r="19" spans="1:24" s="3" customFormat="1" ht="20" customHeight="1" x14ac:dyDescent="0.35">
      <c r="A19" s="13"/>
      <c r="B19" s="231" t="s">
        <v>237</v>
      </c>
      <c r="C19" s="237"/>
      <c r="D19" s="220">
        <v>1</v>
      </c>
      <c r="E19" s="243">
        <f>+G19/$I$33</f>
        <v>0</v>
      </c>
      <c r="F19" s="250">
        <f>E19</f>
        <v>0</v>
      </c>
      <c r="G19" s="243">
        <v>0</v>
      </c>
      <c r="H19" s="243">
        <f>(D19*G19)</f>
        <v>0</v>
      </c>
      <c r="I19" s="243">
        <f>H19*1.16</f>
        <v>0</v>
      </c>
      <c r="J19" s="2"/>
      <c r="K19" s="243">
        <v>0</v>
      </c>
      <c r="L19" s="243">
        <f>$F$19</f>
        <v>0</v>
      </c>
      <c r="M19" s="243">
        <f t="shared" ref="M19:X19" si="11">$F$19</f>
        <v>0</v>
      </c>
      <c r="N19" s="243">
        <f t="shared" si="11"/>
        <v>0</v>
      </c>
      <c r="O19" s="243">
        <f t="shared" si="11"/>
        <v>0</v>
      </c>
      <c r="P19" s="243">
        <f t="shared" si="11"/>
        <v>0</v>
      </c>
      <c r="Q19" s="243">
        <f t="shared" si="11"/>
        <v>0</v>
      </c>
      <c r="R19" s="243">
        <f t="shared" si="11"/>
        <v>0</v>
      </c>
      <c r="S19" s="243">
        <f t="shared" si="11"/>
        <v>0</v>
      </c>
      <c r="T19" s="243">
        <f t="shared" si="11"/>
        <v>0</v>
      </c>
      <c r="U19" s="243">
        <f t="shared" si="11"/>
        <v>0</v>
      </c>
      <c r="V19" s="243">
        <f t="shared" si="11"/>
        <v>0</v>
      </c>
      <c r="W19" s="243">
        <f t="shared" si="11"/>
        <v>0</v>
      </c>
      <c r="X19" s="243">
        <f t="shared" si="11"/>
        <v>0</v>
      </c>
    </row>
    <row r="20" spans="1:24" s="3" customFormat="1" ht="20" customHeight="1" x14ac:dyDescent="0.35">
      <c r="A20" s="13"/>
      <c r="B20" s="231" t="s">
        <v>238</v>
      </c>
      <c r="C20" s="237"/>
      <c r="D20" s="220">
        <v>1</v>
      </c>
      <c r="E20" s="243">
        <f t="shared" ref="E20" si="12">+G20/$I$33</f>
        <v>0</v>
      </c>
      <c r="F20" s="250">
        <f t="shared" ref="F20" si="13">E20</f>
        <v>0</v>
      </c>
      <c r="G20" s="243">
        <v>0</v>
      </c>
      <c r="H20" s="243">
        <f t="shared" ref="H20" si="14">(D20*G20)</f>
        <v>0</v>
      </c>
      <c r="I20" s="243">
        <f>H20*1.16</f>
        <v>0</v>
      </c>
      <c r="J20" s="2"/>
      <c r="K20" s="243">
        <v>0</v>
      </c>
      <c r="L20" s="243">
        <f>$F$20</f>
        <v>0</v>
      </c>
      <c r="M20" s="243">
        <f t="shared" ref="M20:X20" si="15">$F$20</f>
        <v>0</v>
      </c>
      <c r="N20" s="243">
        <f t="shared" si="15"/>
        <v>0</v>
      </c>
      <c r="O20" s="243">
        <f t="shared" si="15"/>
        <v>0</v>
      </c>
      <c r="P20" s="243">
        <f t="shared" si="15"/>
        <v>0</v>
      </c>
      <c r="Q20" s="243">
        <f t="shared" si="15"/>
        <v>0</v>
      </c>
      <c r="R20" s="243">
        <f t="shared" si="15"/>
        <v>0</v>
      </c>
      <c r="S20" s="243">
        <f t="shared" si="15"/>
        <v>0</v>
      </c>
      <c r="T20" s="243">
        <f t="shared" si="15"/>
        <v>0</v>
      </c>
      <c r="U20" s="243">
        <f t="shared" si="15"/>
        <v>0</v>
      </c>
      <c r="V20" s="243">
        <f t="shared" si="15"/>
        <v>0</v>
      </c>
      <c r="W20" s="243">
        <f t="shared" si="15"/>
        <v>0</v>
      </c>
      <c r="X20" s="243">
        <f t="shared" si="15"/>
        <v>0</v>
      </c>
    </row>
    <row r="22" spans="1:24" ht="20" customHeight="1" x14ac:dyDescent="0.35">
      <c r="C22" s="2"/>
      <c r="D22" s="2"/>
      <c r="E22" s="2"/>
      <c r="F22" s="2"/>
      <c r="G22" s="2"/>
      <c r="H22" s="325" t="s">
        <v>402</v>
      </c>
      <c r="I22" s="326"/>
      <c r="J22" s="95"/>
      <c r="K22" s="210">
        <f>SUM(K19:K20)</f>
        <v>0</v>
      </c>
      <c r="L22" s="210">
        <f t="shared" ref="L22:X22" si="16">SUM(L19:L20)</f>
        <v>0</v>
      </c>
      <c r="M22" s="210">
        <f t="shared" si="16"/>
        <v>0</v>
      </c>
      <c r="N22" s="210">
        <f t="shared" si="16"/>
        <v>0</v>
      </c>
      <c r="O22" s="210">
        <f t="shared" si="16"/>
        <v>0</v>
      </c>
      <c r="P22" s="210">
        <f t="shared" si="16"/>
        <v>0</v>
      </c>
      <c r="Q22" s="210">
        <f t="shared" si="16"/>
        <v>0</v>
      </c>
      <c r="R22" s="210">
        <f t="shared" si="16"/>
        <v>0</v>
      </c>
      <c r="S22" s="210">
        <f t="shared" si="16"/>
        <v>0</v>
      </c>
      <c r="T22" s="210">
        <f t="shared" si="16"/>
        <v>0</v>
      </c>
      <c r="U22" s="210">
        <f t="shared" si="16"/>
        <v>0</v>
      </c>
      <c r="V22" s="210">
        <f t="shared" si="16"/>
        <v>0</v>
      </c>
      <c r="W22" s="210">
        <f t="shared" si="16"/>
        <v>0</v>
      </c>
      <c r="X22" s="210">
        <f t="shared" si="16"/>
        <v>0</v>
      </c>
    </row>
    <row r="23" spans="1:24" ht="20" customHeight="1" x14ac:dyDescent="0.35">
      <c r="C23" s="2"/>
      <c r="D23" s="2"/>
      <c r="E23" s="2"/>
      <c r="F23" s="2"/>
      <c r="G23" s="2"/>
      <c r="H23" s="327" t="s">
        <v>397</v>
      </c>
      <c r="I23" s="328"/>
      <c r="J23" s="95"/>
      <c r="K23" s="211">
        <f>K22*$I$33</f>
        <v>0</v>
      </c>
      <c r="L23" s="211">
        <f t="shared" ref="L23:X23" si="17">L22*$I$33</f>
        <v>0</v>
      </c>
      <c r="M23" s="211">
        <f t="shared" si="17"/>
        <v>0</v>
      </c>
      <c r="N23" s="211">
        <f t="shared" si="17"/>
        <v>0</v>
      </c>
      <c r="O23" s="211">
        <f t="shared" si="17"/>
        <v>0</v>
      </c>
      <c r="P23" s="211">
        <f t="shared" si="17"/>
        <v>0</v>
      </c>
      <c r="Q23" s="211">
        <f t="shared" si="17"/>
        <v>0</v>
      </c>
      <c r="R23" s="211">
        <f t="shared" si="17"/>
        <v>0</v>
      </c>
      <c r="S23" s="211">
        <f t="shared" si="17"/>
        <v>0</v>
      </c>
      <c r="T23" s="211">
        <f t="shared" si="17"/>
        <v>0</v>
      </c>
      <c r="U23" s="211">
        <f t="shared" si="17"/>
        <v>0</v>
      </c>
      <c r="V23" s="211">
        <f t="shared" si="17"/>
        <v>0</v>
      </c>
      <c r="W23" s="211">
        <f t="shared" si="17"/>
        <v>0</v>
      </c>
      <c r="X23" s="211">
        <f t="shared" si="17"/>
        <v>0</v>
      </c>
    </row>
    <row r="24" spans="1:24" ht="20" customHeight="1" x14ac:dyDescent="0.35">
      <c r="C24" s="2"/>
      <c r="D24" s="2"/>
      <c r="E24" s="2"/>
      <c r="F24" s="2"/>
      <c r="G24" s="2"/>
      <c r="H24" s="325" t="s">
        <v>403</v>
      </c>
      <c r="I24" s="326"/>
      <c r="J24" s="95"/>
      <c r="K24" s="210">
        <f>SUM(K22:X22)</f>
        <v>0</v>
      </c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</row>
    <row r="25" spans="1:24" ht="20" customHeight="1" x14ac:dyDescent="0.35">
      <c r="C25" s="2"/>
      <c r="D25" s="2"/>
      <c r="E25" s="2"/>
      <c r="F25" s="2"/>
      <c r="G25" s="2"/>
      <c r="H25" s="327" t="s">
        <v>256</v>
      </c>
      <c r="I25" s="328"/>
      <c r="J25" s="95"/>
      <c r="K25" s="226">
        <f>SUM(K23:X23)</f>
        <v>0</v>
      </c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</row>
    <row r="26" spans="1:24" ht="20" customHeight="1" x14ac:dyDescent="0.35">
      <c r="C26" s="2"/>
      <c r="D26" s="2"/>
      <c r="E26" s="2"/>
      <c r="F26" s="2"/>
      <c r="G26" s="2"/>
      <c r="H26" s="2"/>
      <c r="I26" s="2"/>
      <c r="K26" s="10"/>
    </row>
    <row r="27" spans="1:24" ht="20" customHeight="1" x14ac:dyDescent="0.35">
      <c r="C27" s="2"/>
      <c r="D27" s="2"/>
      <c r="E27" s="2"/>
      <c r="F27" s="2"/>
      <c r="G27" s="2"/>
      <c r="H27" s="325" t="s">
        <v>402</v>
      </c>
      <c r="I27" s="326"/>
      <c r="J27" s="95"/>
      <c r="K27" s="210">
        <f>+K13+K22</f>
        <v>0</v>
      </c>
      <c r="L27" s="210">
        <f t="shared" ref="L27:X27" si="18">+L13+L22</f>
        <v>450</v>
      </c>
      <c r="M27" s="210">
        <f t="shared" si="18"/>
        <v>450</v>
      </c>
      <c r="N27" s="210">
        <f t="shared" si="18"/>
        <v>450</v>
      </c>
      <c r="O27" s="210">
        <f t="shared" si="18"/>
        <v>450</v>
      </c>
      <c r="P27" s="210">
        <f t="shared" si="18"/>
        <v>450</v>
      </c>
      <c r="Q27" s="210">
        <f t="shared" si="18"/>
        <v>450</v>
      </c>
      <c r="R27" s="210">
        <f t="shared" si="18"/>
        <v>450</v>
      </c>
      <c r="S27" s="210">
        <f t="shared" si="18"/>
        <v>450</v>
      </c>
      <c r="T27" s="210">
        <f t="shared" si="18"/>
        <v>450</v>
      </c>
      <c r="U27" s="210">
        <f t="shared" si="18"/>
        <v>450</v>
      </c>
      <c r="V27" s="210">
        <f t="shared" si="18"/>
        <v>450</v>
      </c>
      <c r="W27" s="210">
        <f t="shared" si="18"/>
        <v>450</v>
      </c>
      <c r="X27" s="210">
        <f t="shared" si="18"/>
        <v>450</v>
      </c>
    </row>
    <row r="28" spans="1:24" ht="20" customHeight="1" x14ac:dyDescent="0.35">
      <c r="C28" s="2"/>
      <c r="D28" s="2"/>
      <c r="E28" s="2"/>
      <c r="F28" s="2"/>
      <c r="G28" s="2"/>
      <c r="H28" s="327" t="s">
        <v>397</v>
      </c>
      <c r="I28" s="328"/>
      <c r="J28" s="95"/>
      <c r="K28" s="211">
        <f>K27*$I$33</f>
        <v>0</v>
      </c>
      <c r="L28" s="211">
        <f t="shared" ref="L28:X28" si="19">L27*$I$33</f>
        <v>9000</v>
      </c>
      <c r="M28" s="211">
        <f t="shared" si="19"/>
        <v>9000</v>
      </c>
      <c r="N28" s="211">
        <f t="shared" si="19"/>
        <v>9000</v>
      </c>
      <c r="O28" s="211">
        <f t="shared" si="19"/>
        <v>9000</v>
      </c>
      <c r="P28" s="211">
        <f t="shared" si="19"/>
        <v>9000</v>
      </c>
      <c r="Q28" s="211">
        <f t="shared" si="19"/>
        <v>9000</v>
      </c>
      <c r="R28" s="211">
        <f t="shared" si="19"/>
        <v>9000</v>
      </c>
      <c r="S28" s="211">
        <f t="shared" si="19"/>
        <v>9000</v>
      </c>
      <c r="T28" s="211">
        <f t="shared" si="19"/>
        <v>9000</v>
      </c>
      <c r="U28" s="211">
        <f t="shared" si="19"/>
        <v>9000</v>
      </c>
      <c r="V28" s="211">
        <f t="shared" si="19"/>
        <v>9000</v>
      </c>
      <c r="W28" s="211">
        <f t="shared" si="19"/>
        <v>9000</v>
      </c>
      <c r="X28" s="211">
        <f t="shared" si="19"/>
        <v>9000</v>
      </c>
    </row>
    <row r="29" spans="1:24" ht="20" customHeight="1" x14ac:dyDescent="0.35">
      <c r="C29" s="2"/>
      <c r="D29" s="2"/>
      <c r="E29" s="2"/>
      <c r="F29" s="2"/>
      <c r="G29" s="2"/>
      <c r="H29" s="325" t="s">
        <v>403</v>
      </c>
      <c r="I29" s="326"/>
      <c r="J29" s="95"/>
      <c r="K29" s="210">
        <f>SUM(K27:X27)</f>
        <v>5850</v>
      </c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</row>
    <row r="30" spans="1:24" ht="20" customHeight="1" x14ac:dyDescent="0.35">
      <c r="C30" s="2"/>
      <c r="D30" s="2"/>
      <c r="E30" s="2"/>
      <c r="F30" s="2"/>
      <c r="G30" s="2"/>
      <c r="H30" s="327" t="s">
        <v>256</v>
      </c>
      <c r="I30" s="328"/>
      <c r="J30" s="95"/>
      <c r="K30" s="226">
        <f>SUM(K28:X28)</f>
        <v>117000</v>
      </c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</row>
    <row r="31" spans="1:24" ht="20" customHeight="1" x14ac:dyDescent="0.35">
      <c r="C31" s="2"/>
      <c r="D31" s="2"/>
      <c r="E31" s="2"/>
      <c r="F31" s="2"/>
      <c r="G31" s="2"/>
      <c r="H31" s="2"/>
      <c r="I31" s="2"/>
      <c r="K31" s="10"/>
    </row>
    <row r="32" spans="1:24" ht="20" customHeight="1" x14ac:dyDescent="0.35">
      <c r="C32" s="2"/>
      <c r="H32" s="350"/>
      <c r="I32" s="351"/>
    </row>
    <row r="33" spans="2:21" ht="20" customHeight="1" x14ac:dyDescent="0.35">
      <c r="C33" s="2"/>
      <c r="H33" s="212" t="str">
        <f>'F02 INMUEBLES Y S'!J25</f>
        <v>PARIDAD</v>
      </c>
      <c r="I33" s="198">
        <f>'F02 INMUEBLES Y S'!K25</f>
        <v>20</v>
      </c>
    </row>
    <row r="34" spans="2:21" ht="20" customHeight="1" x14ac:dyDescent="0.35">
      <c r="C34" s="2"/>
      <c r="H34" s="213" t="str">
        <f>'F02 INMUEBLES Y S'!J26</f>
        <v xml:space="preserve">MES </v>
      </c>
      <c r="I34" s="199">
        <f>'F02 INMUEBLES Y S'!K26</f>
        <v>30.4</v>
      </c>
      <c r="K34" s="1"/>
      <c r="L34" s="1"/>
      <c r="M34" s="1"/>
      <c r="N34" s="1"/>
      <c r="O34" s="1"/>
      <c r="P34" s="1"/>
    </row>
    <row r="35" spans="2:21" ht="20" customHeight="1" x14ac:dyDescent="0.35">
      <c r="B35"/>
      <c r="C35"/>
      <c r="D35"/>
      <c r="E35"/>
      <c r="F35"/>
      <c r="G35"/>
      <c r="H35" s="214" t="str">
        <f>'F02 INMUEBLES Y S'!J27</f>
        <v>CRÉDITO</v>
      </c>
      <c r="I35" s="200">
        <f>'F02 INMUEBLES Y S'!K27</f>
        <v>45</v>
      </c>
      <c r="J35"/>
      <c r="K35"/>
      <c r="L35"/>
      <c r="M35"/>
      <c r="N35"/>
      <c r="O35"/>
      <c r="P35"/>
      <c r="Q35"/>
      <c r="R35"/>
      <c r="S35"/>
      <c r="T35"/>
      <c r="U35"/>
    </row>
    <row r="36" spans="2:21" ht="20" customHeight="1" x14ac:dyDescent="0.35">
      <c r="B36"/>
      <c r="C36"/>
      <c r="D36"/>
      <c r="E36"/>
      <c r="F36"/>
      <c r="G36"/>
      <c r="H36" s="215" t="str">
        <f>'F02 INMUEBLES Y S'!J28</f>
        <v>GAS LP</v>
      </c>
      <c r="I36" s="201">
        <f>'F02 INMUEBLES Y S'!K28</f>
        <v>10.5</v>
      </c>
      <c r="J36"/>
      <c r="K36"/>
      <c r="L36"/>
      <c r="M36"/>
      <c r="N36"/>
      <c r="O36"/>
      <c r="P36"/>
      <c r="Q36"/>
      <c r="R36"/>
      <c r="S36"/>
      <c r="T36"/>
      <c r="U36"/>
    </row>
    <row r="37" spans="2:21" ht="20" customHeight="1" x14ac:dyDescent="0.35">
      <c r="B37"/>
      <c r="C37"/>
      <c r="D37"/>
      <c r="E37"/>
      <c r="F37"/>
      <c r="G37"/>
      <c r="H37" s="216" t="str">
        <f>'F02 INMUEBLES Y S'!J29</f>
        <v>GASOLINA</v>
      </c>
      <c r="I37" s="202">
        <f>'F02 INMUEBLES Y S'!K29</f>
        <v>22</v>
      </c>
      <c r="J37"/>
      <c r="K37"/>
      <c r="L37"/>
      <c r="M37"/>
      <c r="N37"/>
      <c r="O37"/>
      <c r="P37"/>
      <c r="Q37"/>
      <c r="R37"/>
      <c r="S37"/>
      <c r="T37"/>
      <c r="U37"/>
    </row>
    <row r="38" spans="2:21" ht="20" customHeight="1" x14ac:dyDescent="0.35">
      <c r="B38"/>
      <c r="C38"/>
      <c r="D38"/>
      <c r="E38"/>
      <c r="F38"/>
      <c r="G38"/>
      <c r="H38" s="253" t="str">
        <f>'F02 INMUEBLES Y S'!J30</f>
        <v>DIESEL</v>
      </c>
      <c r="I38" s="254">
        <f>'F02 INMUEBLES Y S'!K30</f>
        <v>23</v>
      </c>
      <c r="J38"/>
      <c r="K38"/>
      <c r="L38"/>
      <c r="M38"/>
      <c r="N38"/>
      <c r="O38"/>
      <c r="P38"/>
      <c r="Q38"/>
      <c r="R38"/>
      <c r="S38"/>
      <c r="T38"/>
      <c r="U38"/>
    </row>
    <row r="39" spans="2:21" ht="20" customHeight="1" x14ac:dyDescent="0.35">
      <c r="B39"/>
      <c r="C39"/>
      <c r="D39"/>
      <c r="E39"/>
      <c r="F39"/>
      <c r="G39"/>
      <c r="H39" s="329" t="s">
        <v>345</v>
      </c>
      <c r="I39" s="330"/>
      <c r="J39"/>
      <c r="K39"/>
      <c r="L39"/>
      <c r="M39"/>
      <c r="N39"/>
      <c r="O39"/>
      <c r="P39"/>
      <c r="Q39"/>
      <c r="R39"/>
      <c r="S39"/>
      <c r="T39"/>
      <c r="U39"/>
    </row>
    <row r="40" spans="2:21" ht="20" customHeight="1" thickBot="1" x14ac:dyDescent="0.4">
      <c r="H40" s="331"/>
      <c r="I40" s="332"/>
    </row>
  </sheetData>
  <mergeCells count="22">
    <mergeCell ref="B4:B6"/>
    <mergeCell ref="H28:I28"/>
    <mergeCell ref="H29:I29"/>
    <mergeCell ref="H30:I30"/>
    <mergeCell ref="H32:I32"/>
    <mergeCell ref="C4:C6"/>
    <mergeCell ref="I4:I5"/>
    <mergeCell ref="D4:D6"/>
    <mergeCell ref="E4:E6"/>
    <mergeCell ref="F4:F6"/>
    <mergeCell ref="G4:G6"/>
    <mergeCell ref="H4:H6"/>
    <mergeCell ref="H39:I40"/>
    <mergeCell ref="H13:I13"/>
    <mergeCell ref="H14:I14"/>
    <mergeCell ref="H15:I15"/>
    <mergeCell ref="H16:I16"/>
    <mergeCell ref="H22:I22"/>
    <mergeCell ref="H23:I23"/>
    <mergeCell ref="H24:I24"/>
    <mergeCell ref="H25:I25"/>
    <mergeCell ref="H27:I27"/>
  </mergeCells>
  <phoneticPr fontId="8" type="noConversion"/>
  <hyperlinks>
    <hyperlink ref="H39" r:id="rId1" xr:uid="{B0C6C534-6123-334B-A38F-5A62B2B9F27B}"/>
  </hyperlinks>
  <pageMargins left="0.25" right="0.25" top="0.75" bottom="0.75" header="0.3" footer="0.3"/>
  <pageSetup paperSize="3" scale="7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P56"/>
  <sheetViews>
    <sheetView zoomScale="90" zoomScaleNormal="90" workbookViewId="0">
      <pane xSplit="10" ySplit="6" topLeftCell="K24" activePane="bottomRight" state="frozen"/>
      <selection pane="topRight" activeCell="K1" sqref="K1"/>
      <selection pane="bottomLeft" activeCell="A8" sqref="A8"/>
      <selection pane="bottomRight" activeCell="H35" sqref="H35"/>
    </sheetView>
  </sheetViews>
  <sheetFormatPr baseColWidth="10" defaultColWidth="10.5" defaultRowHeight="20" customHeight="1" x14ac:dyDescent="0.35"/>
  <cols>
    <col min="1" max="1" width="3.5" customWidth="1"/>
    <col min="2" max="2" width="47.83203125" customWidth="1"/>
    <col min="3" max="3" width="20.6640625" customWidth="1"/>
    <col min="4" max="4" width="9" customWidth="1"/>
    <col min="5" max="5" width="11.1640625" customWidth="1"/>
    <col min="6" max="6" width="18" bestFit="1" customWidth="1"/>
    <col min="7" max="8" width="13.33203125" customWidth="1"/>
    <col min="9" max="9" width="14" style="66" customWidth="1"/>
    <col min="10" max="10" width="16.5" customWidth="1"/>
    <col min="11" max="11" width="1.5" customWidth="1"/>
    <col min="12" max="12" width="13.6640625" bestFit="1" customWidth="1"/>
    <col min="13" max="13" width="12.5" bestFit="1" customWidth="1"/>
    <col min="14" max="14" width="12.5" customWidth="1"/>
    <col min="15" max="15" width="12.5" bestFit="1" customWidth="1"/>
    <col min="16" max="16" width="12.33203125" customWidth="1"/>
    <col min="17" max="17" width="13.83203125" bestFit="1" customWidth="1"/>
    <col min="18" max="18" width="12.33203125" bestFit="1" customWidth="1"/>
    <col min="19" max="19" width="13.5" bestFit="1" customWidth="1"/>
    <col min="20" max="22" width="12.5" bestFit="1" customWidth="1"/>
    <col min="23" max="23" width="13.83203125" bestFit="1" customWidth="1"/>
    <col min="24" max="24" width="12.5" customWidth="1"/>
    <col min="25" max="25" width="12.1640625" bestFit="1" customWidth="1"/>
  </cols>
  <sheetData>
    <row r="1" spans="1:42" ht="20" customHeight="1" x14ac:dyDescent="0.3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42" ht="20" customHeight="1" x14ac:dyDescent="0.35">
      <c r="A2" s="62"/>
      <c r="B2" s="62" t="s">
        <v>18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42" ht="20" customHeight="1" x14ac:dyDescent="0.3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42" ht="20" customHeight="1" x14ac:dyDescent="0.35">
      <c r="A4" s="62"/>
      <c r="B4" s="352" t="s">
        <v>407</v>
      </c>
      <c r="C4" s="352" t="s">
        <v>408</v>
      </c>
      <c r="D4" s="352" t="s">
        <v>23</v>
      </c>
      <c r="E4" s="352" t="s">
        <v>244</v>
      </c>
      <c r="F4" s="352" t="s">
        <v>239</v>
      </c>
      <c r="G4" s="352" t="s">
        <v>344</v>
      </c>
      <c r="H4" s="352" t="s">
        <v>240</v>
      </c>
      <c r="I4" s="352" t="s">
        <v>256</v>
      </c>
      <c r="J4" s="353" t="s">
        <v>398</v>
      </c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  <c r="AA4" s="2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28" customHeight="1" x14ac:dyDescent="0.35">
      <c r="A5" s="62"/>
      <c r="B5" s="336"/>
      <c r="C5" s="336"/>
      <c r="D5" s="336"/>
      <c r="E5" s="336" t="s">
        <v>244</v>
      </c>
      <c r="F5" s="336"/>
      <c r="G5" s="336" t="s">
        <v>344</v>
      </c>
      <c r="H5" s="336" t="s">
        <v>240</v>
      </c>
      <c r="I5" s="336" t="s">
        <v>256</v>
      </c>
      <c r="J5" s="354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  <c r="AA5" s="2"/>
    </row>
    <row r="6" spans="1:42" ht="20" customHeight="1" x14ac:dyDescent="0.35">
      <c r="A6" s="62"/>
      <c r="B6" s="337"/>
      <c r="C6" s="337"/>
      <c r="D6" s="337"/>
      <c r="E6" s="337"/>
      <c r="F6" s="337"/>
      <c r="G6" s="337" t="s">
        <v>242</v>
      </c>
      <c r="H6" s="337" t="s">
        <v>243</v>
      </c>
      <c r="I6" s="337" t="s">
        <v>243</v>
      </c>
      <c r="J6" s="229" t="s">
        <v>399</v>
      </c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  <c r="AA6" s="2"/>
    </row>
    <row r="7" spans="1:42" s="64" customFormat="1" ht="20" customHeight="1" x14ac:dyDescent="0.35">
      <c r="A7" s="62"/>
      <c r="B7" s="231" t="s">
        <v>257</v>
      </c>
      <c r="C7" s="220" t="s">
        <v>283</v>
      </c>
      <c r="D7" s="220"/>
      <c r="E7" s="220">
        <v>1</v>
      </c>
      <c r="F7" s="243">
        <f t="shared" ref="F7:F41" si="0">+H7/$J$49</f>
        <v>100</v>
      </c>
      <c r="G7" s="250">
        <f>F7</f>
        <v>100</v>
      </c>
      <c r="H7" s="243">
        <v>2000</v>
      </c>
      <c r="I7" s="243">
        <f t="shared" ref="I7:I41" si="1">(E7*H7)</f>
        <v>2000</v>
      </c>
      <c r="J7" s="243">
        <f t="shared" ref="J7:J41" si="2">I7*1.16</f>
        <v>2320</v>
      </c>
      <c r="K7" s="63">
        <f t="shared" ref="K7:K41" si="3">G7</f>
        <v>100</v>
      </c>
      <c r="L7" s="243">
        <v>0</v>
      </c>
      <c r="M7" s="243">
        <f>+$G$7</f>
        <v>100</v>
      </c>
      <c r="N7" s="243">
        <f t="shared" ref="N7:Y7" si="4">+$G$7</f>
        <v>100</v>
      </c>
      <c r="O7" s="243">
        <f t="shared" si="4"/>
        <v>100</v>
      </c>
      <c r="P7" s="243">
        <f t="shared" si="4"/>
        <v>100</v>
      </c>
      <c r="Q7" s="243">
        <f t="shared" si="4"/>
        <v>100</v>
      </c>
      <c r="R7" s="243">
        <f t="shared" si="4"/>
        <v>100</v>
      </c>
      <c r="S7" s="243">
        <f t="shared" si="4"/>
        <v>100</v>
      </c>
      <c r="T7" s="243">
        <f t="shared" si="4"/>
        <v>100</v>
      </c>
      <c r="U7" s="243">
        <f t="shared" si="4"/>
        <v>100</v>
      </c>
      <c r="V7" s="243">
        <f t="shared" si="4"/>
        <v>100</v>
      </c>
      <c r="W7" s="243">
        <f t="shared" si="4"/>
        <v>100</v>
      </c>
      <c r="X7" s="243">
        <f t="shared" si="4"/>
        <v>100</v>
      </c>
      <c r="Y7" s="243">
        <f t="shared" si="4"/>
        <v>100</v>
      </c>
    </row>
    <row r="8" spans="1:42" s="64" customFormat="1" ht="20" customHeight="1" x14ac:dyDescent="0.35">
      <c r="A8" s="62"/>
      <c r="B8" s="231" t="s">
        <v>258</v>
      </c>
      <c r="C8" s="220" t="s">
        <v>456</v>
      </c>
      <c r="D8" s="220"/>
      <c r="E8" s="220">
        <v>1</v>
      </c>
      <c r="F8" s="243">
        <f t="shared" si="0"/>
        <v>0</v>
      </c>
      <c r="G8" s="250">
        <f t="shared" ref="G8:G41" si="5">F8</f>
        <v>0</v>
      </c>
      <c r="H8" s="243">
        <v>0</v>
      </c>
      <c r="I8" s="243">
        <f t="shared" si="1"/>
        <v>0</v>
      </c>
      <c r="J8" s="243">
        <f t="shared" si="2"/>
        <v>0</v>
      </c>
      <c r="K8" s="63">
        <f t="shared" si="3"/>
        <v>0</v>
      </c>
      <c r="L8" s="243">
        <v>0</v>
      </c>
      <c r="M8" s="243">
        <f>+$G$8</f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f t="shared" ref="S8:Y8" si="6">+$G$8</f>
        <v>0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43">
        <f t="shared" si="6"/>
        <v>0</v>
      </c>
    </row>
    <row r="9" spans="1:42" s="64" customFormat="1" ht="20" customHeight="1" x14ac:dyDescent="0.35">
      <c r="A9" s="62"/>
      <c r="B9" s="231" t="s">
        <v>126</v>
      </c>
      <c r="C9" s="220" t="s">
        <v>457</v>
      </c>
      <c r="D9" s="220"/>
      <c r="E9" s="220">
        <v>1</v>
      </c>
      <c r="F9" s="243">
        <f t="shared" si="0"/>
        <v>0</v>
      </c>
      <c r="G9" s="250">
        <f t="shared" si="5"/>
        <v>0</v>
      </c>
      <c r="H9" s="243">
        <v>0</v>
      </c>
      <c r="I9" s="243">
        <f t="shared" si="1"/>
        <v>0</v>
      </c>
      <c r="J9" s="243">
        <f t="shared" si="2"/>
        <v>0</v>
      </c>
      <c r="K9" s="63">
        <f t="shared" si="3"/>
        <v>0</v>
      </c>
      <c r="L9" s="243">
        <v>0</v>
      </c>
      <c r="M9" s="243">
        <f>+$G$9</f>
        <v>0</v>
      </c>
      <c r="N9" s="243">
        <v>0</v>
      </c>
      <c r="O9" s="243">
        <v>0</v>
      </c>
      <c r="P9" s="243">
        <f t="shared" ref="P9:Y9" si="7">+$G$9</f>
        <v>0</v>
      </c>
      <c r="Q9" s="243">
        <v>0</v>
      </c>
      <c r="R9" s="243">
        <v>0</v>
      </c>
      <c r="S9" s="243">
        <f t="shared" si="7"/>
        <v>0</v>
      </c>
      <c r="T9" s="243">
        <v>0</v>
      </c>
      <c r="U9" s="243">
        <v>0</v>
      </c>
      <c r="V9" s="243">
        <f t="shared" si="7"/>
        <v>0</v>
      </c>
      <c r="W9" s="243">
        <v>0</v>
      </c>
      <c r="X9" s="243">
        <v>0</v>
      </c>
      <c r="Y9" s="243">
        <f t="shared" si="7"/>
        <v>0</v>
      </c>
    </row>
    <row r="10" spans="1:42" s="64" customFormat="1" ht="20" customHeight="1" x14ac:dyDescent="0.35">
      <c r="A10" s="62"/>
      <c r="B10" s="231" t="s">
        <v>127</v>
      </c>
      <c r="C10" s="220"/>
      <c r="D10" s="220"/>
      <c r="E10" s="220">
        <v>1</v>
      </c>
      <c r="F10" s="243">
        <f t="shared" si="0"/>
        <v>0</v>
      </c>
      <c r="G10" s="250">
        <f t="shared" si="5"/>
        <v>0</v>
      </c>
      <c r="H10" s="243">
        <v>0</v>
      </c>
      <c r="I10" s="243">
        <f t="shared" si="1"/>
        <v>0</v>
      </c>
      <c r="J10" s="243">
        <f t="shared" si="2"/>
        <v>0</v>
      </c>
      <c r="K10" s="63">
        <f t="shared" si="3"/>
        <v>0</v>
      </c>
      <c r="L10" s="243">
        <v>0</v>
      </c>
      <c r="M10" s="243">
        <f>+$G$10</f>
        <v>0</v>
      </c>
      <c r="N10" s="243">
        <f t="shared" ref="N10:Y10" si="8">+$G$10</f>
        <v>0</v>
      </c>
      <c r="O10" s="243">
        <f t="shared" si="8"/>
        <v>0</v>
      </c>
      <c r="P10" s="243">
        <f t="shared" si="8"/>
        <v>0</v>
      </c>
      <c r="Q10" s="243">
        <f t="shared" si="8"/>
        <v>0</v>
      </c>
      <c r="R10" s="243">
        <f t="shared" si="8"/>
        <v>0</v>
      </c>
      <c r="S10" s="243">
        <f t="shared" si="8"/>
        <v>0</v>
      </c>
      <c r="T10" s="243">
        <f t="shared" si="8"/>
        <v>0</v>
      </c>
      <c r="U10" s="243">
        <f t="shared" si="8"/>
        <v>0</v>
      </c>
      <c r="V10" s="243">
        <f t="shared" si="8"/>
        <v>0</v>
      </c>
      <c r="W10" s="243">
        <f t="shared" si="8"/>
        <v>0</v>
      </c>
      <c r="X10" s="243">
        <f t="shared" si="8"/>
        <v>0</v>
      </c>
      <c r="Y10" s="243">
        <f t="shared" si="8"/>
        <v>0</v>
      </c>
    </row>
    <row r="11" spans="1:42" s="64" customFormat="1" ht="20" customHeight="1" x14ac:dyDescent="0.35">
      <c r="A11" s="62"/>
      <c r="B11" s="231" t="s">
        <v>128</v>
      </c>
      <c r="C11" s="220"/>
      <c r="D11" s="220"/>
      <c r="E11" s="220">
        <v>1</v>
      </c>
      <c r="F11" s="243">
        <f t="shared" si="0"/>
        <v>0</v>
      </c>
      <c r="G11" s="250">
        <f t="shared" si="5"/>
        <v>0</v>
      </c>
      <c r="H11" s="243">
        <v>0</v>
      </c>
      <c r="I11" s="243">
        <f t="shared" si="1"/>
        <v>0</v>
      </c>
      <c r="J11" s="243">
        <f t="shared" si="2"/>
        <v>0</v>
      </c>
      <c r="K11" s="63">
        <f t="shared" si="3"/>
        <v>0</v>
      </c>
      <c r="L11" s="243">
        <v>0</v>
      </c>
      <c r="M11" s="243">
        <f>+$G$11</f>
        <v>0</v>
      </c>
      <c r="N11" s="243">
        <f t="shared" ref="N11:Y11" si="9">+$G$11</f>
        <v>0</v>
      </c>
      <c r="O11" s="243">
        <f t="shared" si="9"/>
        <v>0</v>
      </c>
      <c r="P11" s="243">
        <f t="shared" si="9"/>
        <v>0</v>
      </c>
      <c r="Q11" s="243">
        <f t="shared" si="9"/>
        <v>0</v>
      </c>
      <c r="R11" s="243">
        <f t="shared" si="9"/>
        <v>0</v>
      </c>
      <c r="S11" s="243">
        <f t="shared" si="9"/>
        <v>0</v>
      </c>
      <c r="T11" s="243">
        <f t="shared" si="9"/>
        <v>0</v>
      </c>
      <c r="U11" s="243">
        <f t="shared" si="9"/>
        <v>0</v>
      </c>
      <c r="V11" s="243">
        <f t="shared" si="9"/>
        <v>0</v>
      </c>
      <c r="W11" s="243">
        <f t="shared" si="9"/>
        <v>0</v>
      </c>
      <c r="X11" s="243">
        <f t="shared" si="9"/>
        <v>0</v>
      </c>
      <c r="Y11" s="243">
        <f t="shared" si="9"/>
        <v>0</v>
      </c>
    </row>
    <row r="12" spans="1:42" s="64" customFormat="1" ht="20" customHeight="1" x14ac:dyDescent="0.35">
      <c r="A12" s="62"/>
      <c r="B12" s="231" t="s">
        <v>129</v>
      </c>
      <c r="C12" s="220" t="s">
        <v>458</v>
      </c>
      <c r="D12" s="220"/>
      <c r="E12" s="220">
        <v>1</v>
      </c>
      <c r="F12" s="243">
        <f t="shared" si="0"/>
        <v>0</v>
      </c>
      <c r="G12" s="250">
        <f t="shared" si="5"/>
        <v>0</v>
      </c>
      <c r="H12" s="243">
        <v>0</v>
      </c>
      <c r="I12" s="243">
        <f t="shared" si="1"/>
        <v>0</v>
      </c>
      <c r="J12" s="243">
        <f t="shared" si="2"/>
        <v>0</v>
      </c>
      <c r="K12" s="63">
        <f t="shared" si="3"/>
        <v>0</v>
      </c>
      <c r="L12" s="243">
        <v>0</v>
      </c>
      <c r="M12" s="243">
        <f>+$G$12</f>
        <v>0</v>
      </c>
      <c r="N12" s="243">
        <f t="shared" ref="N12:Y12" si="10">+$G$12</f>
        <v>0</v>
      </c>
      <c r="O12" s="243">
        <f t="shared" si="10"/>
        <v>0</v>
      </c>
      <c r="P12" s="243">
        <f t="shared" si="10"/>
        <v>0</v>
      </c>
      <c r="Q12" s="243">
        <f t="shared" si="10"/>
        <v>0</v>
      </c>
      <c r="R12" s="243">
        <f t="shared" si="10"/>
        <v>0</v>
      </c>
      <c r="S12" s="243">
        <f t="shared" si="10"/>
        <v>0</v>
      </c>
      <c r="T12" s="243">
        <f t="shared" si="10"/>
        <v>0</v>
      </c>
      <c r="U12" s="243">
        <f t="shared" si="10"/>
        <v>0</v>
      </c>
      <c r="V12" s="243">
        <f t="shared" si="10"/>
        <v>0</v>
      </c>
      <c r="W12" s="243">
        <f t="shared" si="10"/>
        <v>0</v>
      </c>
      <c r="X12" s="243">
        <f t="shared" si="10"/>
        <v>0</v>
      </c>
      <c r="Y12" s="243">
        <f t="shared" si="10"/>
        <v>0</v>
      </c>
    </row>
    <row r="13" spans="1:42" s="64" customFormat="1" ht="20" customHeight="1" x14ac:dyDescent="0.35">
      <c r="A13" s="62"/>
      <c r="B13" s="231" t="s">
        <v>130</v>
      </c>
      <c r="C13" s="220" t="s">
        <v>459</v>
      </c>
      <c r="D13" s="220"/>
      <c r="E13" s="220">
        <v>1</v>
      </c>
      <c r="F13" s="243">
        <f t="shared" si="0"/>
        <v>0</v>
      </c>
      <c r="G13" s="250">
        <f t="shared" si="5"/>
        <v>0</v>
      </c>
      <c r="H13" s="243">
        <v>0</v>
      </c>
      <c r="I13" s="243">
        <f t="shared" si="1"/>
        <v>0</v>
      </c>
      <c r="J13" s="243">
        <f t="shared" si="2"/>
        <v>0</v>
      </c>
      <c r="K13" s="63">
        <f t="shared" si="3"/>
        <v>0</v>
      </c>
      <c r="L13" s="243">
        <v>0</v>
      </c>
      <c r="M13" s="243">
        <f>+$G$13</f>
        <v>0</v>
      </c>
      <c r="N13" s="243">
        <v>0</v>
      </c>
      <c r="O13" s="243">
        <f t="shared" ref="O13:Y13" si="11">+$G$13</f>
        <v>0</v>
      </c>
      <c r="P13" s="243">
        <v>0</v>
      </c>
      <c r="Q13" s="243">
        <f t="shared" si="11"/>
        <v>0</v>
      </c>
      <c r="R13" s="243">
        <v>0</v>
      </c>
      <c r="S13" s="243">
        <f t="shared" si="11"/>
        <v>0</v>
      </c>
      <c r="T13" s="243">
        <v>0</v>
      </c>
      <c r="U13" s="243">
        <f t="shared" si="11"/>
        <v>0</v>
      </c>
      <c r="V13" s="243">
        <v>0</v>
      </c>
      <c r="W13" s="243">
        <f t="shared" si="11"/>
        <v>0</v>
      </c>
      <c r="X13" s="243">
        <v>0</v>
      </c>
      <c r="Y13" s="243">
        <f t="shared" si="11"/>
        <v>0</v>
      </c>
    </row>
    <row r="14" spans="1:42" s="64" customFormat="1" ht="20" customHeight="1" x14ac:dyDescent="0.35">
      <c r="A14" s="62"/>
      <c r="B14" s="231" t="s">
        <v>131</v>
      </c>
      <c r="C14" s="220" t="s">
        <v>460</v>
      </c>
      <c r="D14" s="220"/>
      <c r="E14" s="220">
        <v>1</v>
      </c>
      <c r="F14" s="243">
        <f t="shared" si="0"/>
        <v>0</v>
      </c>
      <c r="G14" s="250">
        <f t="shared" si="5"/>
        <v>0</v>
      </c>
      <c r="H14" s="243">
        <v>0</v>
      </c>
      <c r="I14" s="243">
        <f t="shared" si="1"/>
        <v>0</v>
      </c>
      <c r="J14" s="243">
        <f t="shared" si="2"/>
        <v>0</v>
      </c>
      <c r="K14" s="63">
        <f t="shared" si="3"/>
        <v>0</v>
      </c>
      <c r="L14" s="243">
        <v>0</v>
      </c>
      <c r="M14" s="243">
        <f>+$G$14</f>
        <v>0</v>
      </c>
      <c r="N14" s="243">
        <f t="shared" ref="N14:Y14" si="12">+$G$14</f>
        <v>0</v>
      </c>
      <c r="O14" s="243">
        <f t="shared" si="12"/>
        <v>0</v>
      </c>
      <c r="P14" s="243">
        <f t="shared" si="12"/>
        <v>0</v>
      </c>
      <c r="Q14" s="243">
        <f t="shared" si="12"/>
        <v>0</v>
      </c>
      <c r="R14" s="243">
        <f t="shared" si="12"/>
        <v>0</v>
      </c>
      <c r="S14" s="243">
        <f t="shared" si="12"/>
        <v>0</v>
      </c>
      <c r="T14" s="243">
        <f t="shared" si="12"/>
        <v>0</v>
      </c>
      <c r="U14" s="243">
        <f t="shared" si="12"/>
        <v>0</v>
      </c>
      <c r="V14" s="243">
        <f t="shared" si="12"/>
        <v>0</v>
      </c>
      <c r="W14" s="243">
        <f t="shared" si="12"/>
        <v>0</v>
      </c>
      <c r="X14" s="243">
        <f t="shared" si="12"/>
        <v>0</v>
      </c>
      <c r="Y14" s="243">
        <f t="shared" si="12"/>
        <v>0</v>
      </c>
    </row>
    <row r="15" spans="1:42" s="64" customFormat="1" ht="20" customHeight="1" x14ac:dyDescent="0.35">
      <c r="A15" s="62"/>
      <c r="B15" s="231" t="s">
        <v>132</v>
      </c>
      <c r="C15" s="220"/>
      <c r="D15" s="220"/>
      <c r="E15" s="220">
        <v>0</v>
      </c>
      <c r="F15" s="243">
        <f t="shared" si="0"/>
        <v>0</v>
      </c>
      <c r="G15" s="250">
        <f t="shared" si="5"/>
        <v>0</v>
      </c>
      <c r="H15" s="243">
        <v>0</v>
      </c>
      <c r="I15" s="243">
        <f t="shared" si="1"/>
        <v>0</v>
      </c>
      <c r="J15" s="243">
        <f t="shared" si="2"/>
        <v>0</v>
      </c>
      <c r="K15" s="63">
        <f t="shared" si="3"/>
        <v>0</v>
      </c>
      <c r="L15" s="243">
        <v>0</v>
      </c>
      <c r="M15" s="243">
        <f>+$G$15</f>
        <v>0</v>
      </c>
      <c r="N15" s="243">
        <f t="shared" ref="N15:Y15" si="13">+$G$15</f>
        <v>0</v>
      </c>
      <c r="O15" s="243">
        <f t="shared" si="13"/>
        <v>0</v>
      </c>
      <c r="P15" s="243">
        <f t="shared" si="13"/>
        <v>0</v>
      </c>
      <c r="Q15" s="243">
        <f t="shared" si="13"/>
        <v>0</v>
      </c>
      <c r="R15" s="243">
        <f t="shared" si="13"/>
        <v>0</v>
      </c>
      <c r="S15" s="243">
        <f t="shared" si="13"/>
        <v>0</v>
      </c>
      <c r="T15" s="243">
        <f t="shared" si="13"/>
        <v>0</v>
      </c>
      <c r="U15" s="243">
        <f t="shared" si="13"/>
        <v>0</v>
      </c>
      <c r="V15" s="243">
        <f t="shared" si="13"/>
        <v>0</v>
      </c>
      <c r="W15" s="243">
        <f t="shared" si="13"/>
        <v>0</v>
      </c>
      <c r="X15" s="243">
        <f t="shared" si="13"/>
        <v>0</v>
      </c>
      <c r="Y15" s="243">
        <f t="shared" si="13"/>
        <v>0</v>
      </c>
    </row>
    <row r="16" spans="1:42" s="64" customFormat="1" ht="20" customHeight="1" x14ac:dyDescent="0.35">
      <c r="A16" s="62"/>
      <c r="B16" s="231" t="s">
        <v>133</v>
      </c>
      <c r="C16" s="220" t="s">
        <v>455</v>
      </c>
      <c r="D16" s="220"/>
      <c r="E16" s="220">
        <v>1</v>
      </c>
      <c r="F16" s="243">
        <f t="shared" si="0"/>
        <v>0</v>
      </c>
      <c r="G16" s="250">
        <f t="shared" si="5"/>
        <v>0</v>
      </c>
      <c r="H16" s="243">
        <v>0</v>
      </c>
      <c r="I16" s="243">
        <f t="shared" si="1"/>
        <v>0</v>
      </c>
      <c r="J16" s="243">
        <f t="shared" si="2"/>
        <v>0</v>
      </c>
      <c r="K16" s="63">
        <f t="shared" si="3"/>
        <v>0</v>
      </c>
      <c r="L16" s="243">
        <v>0</v>
      </c>
      <c r="M16" s="243">
        <f>+$G$16</f>
        <v>0</v>
      </c>
      <c r="N16" s="243">
        <v>0</v>
      </c>
      <c r="O16" s="243">
        <v>0</v>
      </c>
      <c r="P16" s="243">
        <v>0</v>
      </c>
      <c r="Q16" s="243">
        <v>0</v>
      </c>
      <c r="R16" s="243">
        <f t="shared" ref="R16:Y16" si="14">+$G$16</f>
        <v>0</v>
      </c>
      <c r="S16" s="243">
        <v>0</v>
      </c>
      <c r="T16" s="243">
        <v>0</v>
      </c>
      <c r="U16" s="243">
        <v>0</v>
      </c>
      <c r="V16" s="243">
        <v>0</v>
      </c>
      <c r="W16" s="243">
        <v>0</v>
      </c>
      <c r="X16" s="243">
        <f t="shared" si="14"/>
        <v>0</v>
      </c>
      <c r="Y16" s="243">
        <f t="shared" si="14"/>
        <v>0</v>
      </c>
    </row>
    <row r="17" spans="1:25" s="64" customFormat="1" ht="20" customHeight="1" x14ac:dyDescent="0.35">
      <c r="A17" s="62"/>
      <c r="B17" s="231" t="s">
        <v>134</v>
      </c>
      <c r="C17" s="220"/>
      <c r="D17" s="220"/>
      <c r="E17" s="220">
        <v>1</v>
      </c>
      <c r="F17" s="243">
        <f t="shared" si="0"/>
        <v>0</v>
      </c>
      <c r="G17" s="250">
        <f t="shared" si="5"/>
        <v>0</v>
      </c>
      <c r="H17" s="243">
        <v>0</v>
      </c>
      <c r="I17" s="243">
        <f t="shared" si="1"/>
        <v>0</v>
      </c>
      <c r="J17" s="243">
        <f t="shared" si="2"/>
        <v>0</v>
      </c>
      <c r="K17" s="63">
        <f t="shared" si="3"/>
        <v>0</v>
      </c>
      <c r="L17" s="243">
        <v>0</v>
      </c>
      <c r="M17" s="243">
        <f>+$G$17</f>
        <v>0</v>
      </c>
      <c r="N17" s="243">
        <f t="shared" ref="N17:Y17" si="15">+$G$17</f>
        <v>0</v>
      </c>
      <c r="O17" s="243">
        <f t="shared" si="15"/>
        <v>0</v>
      </c>
      <c r="P17" s="243">
        <f t="shared" si="15"/>
        <v>0</v>
      </c>
      <c r="Q17" s="243">
        <f t="shared" si="15"/>
        <v>0</v>
      </c>
      <c r="R17" s="243">
        <f t="shared" si="15"/>
        <v>0</v>
      </c>
      <c r="S17" s="243">
        <f t="shared" si="15"/>
        <v>0</v>
      </c>
      <c r="T17" s="243">
        <f t="shared" si="15"/>
        <v>0</v>
      </c>
      <c r="U17" s="243">
        <f t="shared" si="15"/>
        <v>0</v>
      </c>
      <c r="V17" s="243">
        <f t="shared" si="15"/>
        <v>0</v>
      </c>
      <c r="W17" s="243">
        <f t="shared" si="15"/>
        <v>0</v>
      </c>
      <c r="X17" s="243">
        <f t="shared" si="15"/>
        <v>0</v>
      </c>
      <c r="Y17" s="243">
        <f t="shared" si="15"/>
        <v>0</v>
      </c>
    </row>
    <row r="18" spans="1:25" s="64" customFormat="1" ht="20" customHeight="1" x14ac:dyDescent="0.35">
      <c r="A18" s="62"/>
      <c r="B18" s="231" t="s">
        <v>135</v>
      </c>
      <c r="C18" s="220" t="s">
        <v>461</v>
      </c>
      <c r="D18" s="220"/>
      <c r="E18" s="220">
        <v>1</v>
      </c>
      <c r="F18" s="243">
        <f t="shared" si="0"/>
        <v>203</v>
      </c>
      <c r="G18" s="250">
        <f t="shared" si="5"/>
        <v>203</v>
      </c>
      <c r="H18" s="243">
        <v>4060</v>
      </c>
      <c r="I18" s="243">
        <f t="shared" si="1"/>
        <v>4060</v>
      </c>
      <c r="J18" s="243">
        <f t="shared" si="2"/>
        <v>4709.5999999999995</v>
      </c>
      <c r="K18" s="63">
        <f t="shared" si="3"/>
        <v>203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f t="shared" ref="R18" si="16">+$G$18</f>
        <v>203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X18" s="243">
        <v>0</v>
      </c>
      <c r="Y18" s="243">
        <v>0</v>
      </c>
    </row>
    <row r="19" spans="1:25" s="64" customFormat="1" ht="20" customHeight="1" x14ac:dyDescent="0.35">
      <c r="A19" s="62"/>
      <c r="B19" s="231" t="s">
        <v>136</v>
      </c>
      <c r="C19" s="220" t="s">
        <v>431</v>
      </c>
      <c r="D19" s="220"/>
      <c r="E19" s="220">
        <v>1</v>
      </c>
      <c r="F19" s="243">
        <f t="shared" si="0"/>
        <v>10</v>
      </c>
      <c r="G19" s="250">
        <f t="shared" si="5"/>
        <v>10</v>
      </c>
      <c r="H19" s="243">
        <v>200</v>
      </c>
      <c r="I19" s="243">
        <f t="shared" si="1"/>
        <v>200</v>
      </c>
      <c r="J19" s="243">
        <f t="shared" si="2"/>
        <v>231.99999999999997</v>
      </c>
      <c r="K19" s="63">
        <f t="shared" si="3"/>
        <v>10</v>
      </c>
      <c r="L19" s="243">
        <v>0</v>
      </c>
      <c r="M19" s="243">
        <f>+$G$19</f>
        <v>10</v>
      </c>
      <c r="N19" s="243">
        <f t="shared" ref="N19:Y19" si="17">+$G$19</f>
        <v>10</v>
      </c>
      <c r="O19" s="243">
        <f t="shared" si="17"/>
        <v>10</v>
      </c>
      <c r="P19" s="243">
        <f t="shared" si="17"/>
        <v>10</v>
      </c>
      <c r="Q19" s="243">
        <f t="shared" si="17"/>
        <v>10</v>
      </c>
      <c r="R19" s="243">
        <f t="shared" si="17"/>
        <v>10</v>
      </c>
      <c r="S19" s="243">
        <f t="shared" si="17"/>
        <v>10</v>
      </c>
      <c r="T19" s="243">
        <f t="shared" si="17"/>
        <v>10</v>
      </c>
      <c r="U19" s="243">
        <f t="shared" si="17"/>
        <v>10</v>
      </c>
      <c r="V19" s="243">
        <f t="shared" si="17"/>
        <v>10</v>
      </c>
      <c r="W19" s="243">
        <f t="shared" si="17"/>
        <v>10</v>
      </c>
      <c r="X19" s="243">
        <f t="shared" si="17"/>
        <v>10</v>
      </c>
      <c r="Y19" s="243">
        <f t="shared" si="17"/>
        <v>10</v>
      </c>
    </row>
    <row r="20" spans="1:25" s="64" customFormat="1" ht="20" customHeight="1" x14ac:dyDescent="0.35">
      <c r="A20" s="62"/>
      <c r="B20" s="231" t="s">
        <v>137</v>
      </c>
      <c r="C20" s="220"/>
      <c r="D20" s="220"/>
      <c r="E20" s="220">
        <v>1</v>
      </c>
      <c r="F20" s="243">
        <f t="shared" si="0"/>
        <v>0</v>
      </c>
      <c r="G20" s="250">
        <f t="shared" si="5"/>
        <v>0</v>
      </c>
      <c r="H20" s="243">
        <v>0</v>
      </c>
      <c r="I20" s="243">
        <f t="shared" si="1"/>
        <v>0</v>
      </c>
      <c r="J20" s="243">
        <f t="shared" si="2"/>
        <v>0</v>
      </c>
      <c r="K20" s="63">
        <f t="shared" si="3"/>
        <v>0</v>
      </c>
      <c r="L20" s="243">
        <v>0</v>
      </c>
      <c r="M20" s="243">
        <f>+$G$20</f>
        <v>0</v>
      </c>
      <c r="N20" s="243">
        <f t="shared" ref="N20:Y20" si="18">+$G$20</f>
        <v>0</v>
      </c>
      <c r="O20" s="243">
        <f t="shared" si="18"/>
        <v>0</v>
      </c>
      <c r="P20" s="243">
        <f t="shared" si="18"/>
        <v>0</v>
      </c>
      <c r="Q20" s="243">
        <f t="shared" si="18"/>
        <v>0</v>
      </c>
      <c r="R20" s="243">
        <f t="shared" si="18"/>
        <v>0</v>
      </c>
      <c r="S20" s="243">
        <f t="shared" si="18"/>
        <v>0</v>
      </c>
      <c r="T20" s="243">
        <f t="shared" si="18"/>
        <v>0</v>
      </c>
      <c r="U20" s="243">
        <f t="shared" si="18"/>
        <v>0</v>
      </c>
      <c r="V20" s="243">
        <f t="shared" si="18"/>
        <v>0</v>
      </c>
      <c r="W20" s="243">
        <f t="shared" si="18"/>
        <v>0</v>
      </c>
      <c r="X20" s="243">
        <f t="shared" si="18"/>
        <v>0</v>
      </c>
      <c r="Y20" s="243">
        <f t="shared" si="18"/>
        <v>0</v>
      </c>
    </row>
    <row r="21" spans="1:25" s="64" customFormat="1" ht="20" customHeight="1" x14ac:dyDescent="0.35">
      <c r="A21" s="62"/>
      <c r="B21" s="231" t="s">
        <v>138</v>
      </c>
      <c r="C21" s="220" t="s">
        <v>462</v>
      </c>
      <c r="D21" s="220"/>
      <c r="E21" s="220">
        <v>1</v>
      </c>
      <c r="F21" s="243">
        <f t="shared" si="0"/>
        <v>1500</v>
      </c>
      <c r="G21" s="250">
        <f t="shared" si="5"/>
        <v>1500</v>
      </c>
      <c r="H21" s="243">
        <v>30000</v>
      </c>
      <c r="I21" s="243">
        <f t="shared" si="1"/>
        <v>30000</v>
      </c>
      <c r="J21" s="243">
        <f t="shared" si="2"/>
        <v>34800</v>
      </c>
      <c r="K21" s="63">
        <f t="shared" si="3"/>
        <v>1500</v>
      </c>
      <c r="L21" s="243">
        <v>0</v>
      </c>
      <c r="M21" s="243">
        <f>+$G$21</f>
        <v>1500</v>
      </c>
      <c r="N21" s="243">
        <v>0</v>
      </c>
      <c r="O21" s="243">
        <v>0</v>
      </c>
      <c r="P21" s="243">
        <v>0</v>
      </c>
      <c r="Q21" s="243">
        <v>0</v>
      </c>
      <c r="R21" s="243">
        <f t="shared" ref="R21:X21" si="19">+$G$21</f>
        <v>1500</v>
      </c>
      <c r="S21" s="243">
        <v>0</v>
      </c>
      <c r="T21" s="243">
        <v>0</v>
      </c>
      <c r="U21" s="243">
        <v>0</v>
      </c>
      <c r="V21" s="243">
        <v>0</v>
      </c>
      <c r="W21" s="243">
        <v>0</v>
      </c>
      <c r="X21" s="243">
        <f t="shared" si="19"/>
        <v>1500</v>
      </c>
      <c r="Y21" s="243">
        <v>0</v>
      </c>
    </row>
    <row r="22" spans="1:25" s="64" customFormat="1" ht="20" customHeight="1" x14ac:dyDescent="0.35">
      <c r="A22" s="62"/>
      <c r="B22" s="231" t="s">
        <v>139</v>
      </c>
      <c r="C22" s="220"/>
      <c r="D22" s="220"/>
      <c r="E22" s="220">
        <v>1</v>
      </c>
      <c r="F22" s="243">
        <f t="shared" si="0"/>
        <v>0</v>
      </c>
      <c r="G22" s="250">
        <f t="shared" si="5"/>
        <v>0</v>
      </c>
      <c r="H22" s="243">
        <v>0</v>
      </c>
      <c r="I22" s="243">
        <f t="shared" si="1"/>
        <v>0</v>
      </c>
      <c r="J22" s="243">
        <f t="shared" si="2"/>
        <v>0</v>
      </c>
      <c r="K22" s="63">
        <f t="shared" si="3"/>
        <v>0</v>
      </c>
      <c r="L22" s="243">
        <v>0</v>
      </c>
      <c r="M22" s="243">
        <f>+$G$22</f>
        <v>0</v>
      </c>
      <c r="N22" s="243">
        <f t="shared" ref="N22:Y22" si="20">+$G$22</f>
        <v>0</v>
      </c>
      <c r="O22" s="243">
        <f t="shared" si="20"/>
        <v>0</v>
      </c>
      <c r="P22" s="243">
        <f t="shared" si="20"/>
        <v>0</v>
      </c>
      <c r="Q22" s="243">
        <f t="shared" si="20"/>
        <v>0</v>
      </c>
      <c r="R22" s="243">
        <f t="shared" si="20"/>
        <v>0</v>
      </c>
      <c r="S22" s="243">
        <f t="shared" si="20"/>
        <v>0</v>
      </c>
      <c r="T22" s="243">
        <f t="shared" si="20"/>
        <v>0</v>
      </c>
      <c r="U22" s="243">
        <f t="shared" si="20"/>
        <v>0</v>
      </c>
      <c r="V22" s="243">
        <f t="shared" si="20"/>
        <v>0</v>
      </c>
      <c r="W22" s="243">
        <f t="shared" si="20"/>
        <v>0</v>
      </c>
      <c r="X22" s="243">
        <f t="shared" si="20"/>
        <v>0</v>
      </c>
      <c r="Y22" s="243">
        <f t="shared" si="20"/>
        <v>0</v>
      </c>
    </row>
    <row r="23" spans="1:25" s="64" customFormat="1" ht="20" customHeight="1" x14ac:dyDescent="0.35">
      <c r="A23" s="62"/>
      <c r="B23" s="231" t="s">
        <v>140</v>
      </c>
      <c r="C23" s="220" t="s">
        <v>463</v>
      </c>
      <c r="D23" s="220"/>
      <c r="E23" s="220">
        <v>1</v>
      </c>
      <c r="F23" s="243">
        <f t="shared" si="0"/>
        <v>0</v>
      </c>
      <c r="G23" s="250">
        <f t="shared" si="5"/>
        <v>0</v>
      </c>
      <c r="H23" s="243">
        <v>0</v>
      </c>
      <c r="I23" s="243">
        <f t="shared" si="1"/>
        <v>0</v>
      </c>
      <c r="J23" s="243">
        <f t="shared" si="2"/>
        <v>0</v>
      </c>
      <c r="K23" s="63">
        <f t="shared" si="3"/>
        <v>0</v>
      </c>
      <c r="L23" s="243">
        <v>0</v>
      </c>
      <c r="M23" s="243">
        <f>+$G$23</f>
        <v>0</v>
      </c>
      <c r="N23" s="243">
        <f t="shared" ref="N23:Y23" si="21">+$G$23</f>
        <v>0</v>
      </c>
      <c r="O23" s="243">
        <f t="shared" si="21"/>
        <v>0</v>
      </c>
      <c r="P23" s="243">
        <f t="shared" si="21"/>
        <v>0</v>
      </c>
      <c r="Q23" s="243">
        <f t="shared" si="21"/>
        <v>0</v>
      </c>
      <c r="R23" s="243">
        <f t="shared" si="21"/>
        <v>0</v>
      </c>
      <c r="S23" s="243">
        <f t="shared" si="21"/>
        <v>0</v>
      </c>
      <c r="T23" s="243">
        <f t="shared" si="21"/>
        <v>0</v>
      </c>
      <c r="U23" s="243">
        <f t="shared" si="21"/>
        <v>0</v>
      </c>
      <c r="V23" s="243">
        <f t="shared" si="21"/>
        <v>0</v>
      </c>
      <c r="W23" s="243">
        <f t="shared" si="21"/>
        <v>0</v>
      </c>
      <c r="X23" s="243">
        <f t="shared" si="21"/>
        <v>0</v>
      </c>
      <c r="Y23" s="243">
        <f t="shared" si="21"/>
        <v>0</v>
      </c>
    </row>
    <row r="24" spans="1:25" s="64" customFormat="1" ht="20" customHeight="1" x14ac:dyDescent="0.35">
      <c r="A24" s="62"/>
      <c r="B24" s="231" t="s">
        <v>141</v>
      </c>
      <c r="C24" s="220"/>
      <c r="D24" s="220"/>
      <c r="E24" s="220">
        <v>1</v>
      </c>
      <c r="F24" s="243">
        <f t="shared" si="0"/>
        <v>250</v>
      </c>
      <c r="G24" s="250">
        <f t="shared" si="5"/>
        <v>250</v>
      </c>
      <c r="H24" s="243">
        <v>5000</v>
      </c>
      <c r="I24" s="243">
        <f t="shared" si="1"/>
        <v>5000</v>
      </c>
      <c r="J24" s="243">
        <f t="shared" si="2"/>
        <v>5800</v>
      </c>
      <c r="K24" s="63">
        <f t="shared" si="3"/>
        <v>250</v>
      </c>
      <c r="L24" s="243">
        <v>0</v>
      </c>
      <c r="M24" s="243">
        <f>+$G$24</f>
        <v>250</v>
      </c>
      <c r="N24" s="243">
        <f t="shared" ref="N24:Y24" si="22">+$G$24</f>
        <v>250</v>
      </c>
      <c r="O24" s="243">
        <f t="shared" si="22"/>
        <v>250</v>
      </c>
      <c r="P24" s="243">
        <f t="shared" si="22"/>
        <v>250</v>
      </c>
      <c r="Q24" s="243">
        <f t="shared" si="22"/>
        <v>250</v>
      </c>
      <c r="R24" s="243">
        <f t="shared" si="22"/>
        <v>250</v>
      </c>
      <c r="S24" s="243">
        <f t="shared" si="22"/>
        <v>250</v>
      </c>
      <c r="T24" s="243">
        <f t="shared" si="22"/>
        <v>250</v>
      </c>
      <c r="U24" s="243">
        <f t="shared" si="22"/>
        <v>250</v>
      </c>
      <c r="V24" s="243">
        <f t="shared" si="22"/>
        <v>250</v>
      </c>
      <c r="W24" s="243">
        <f t="shared" si="22"/>
        <v>250</v>
      </c>
      <c r="X24" s="243">
        <f t="shared" si="22"/>
        <v>250</v>
      </c>
      <c r="Y24" s="243">
        <f t="shared" si="22"/>
        <v>250</v>
      </c>
    </row>
    <row r="25" spans="1:25" s="64" customFormat="1" ht="20" customHeight="1" x14ac:dyDescent="0.35">
      <c r="A25" s="62"/>
      <c r="B25" s="231" t="s">
        <v>142</v>
      </c>
      <c r="C25" s="220"/>
      <c r="D25" s="220"/>
      <c r="E25" s="220">
        <v>1</v>
      </c>
      <c r="F25" s="243">
        <f t="shared" si="0"/>
        <v>0</v>
      </c>
      <c r="G25" s="250">
        <f t="shared" si="5"/>
        <v>0</v>
      </c>
      <c r="H25" s="243">
        <v>0</v>
      </c>
      <c r="I25" s="243">
        <f t="shared" si="1"/>
        <v>0</v>
      </c>
      <c r="J25" s="243">
        <f t="shared" si="2"/>
        <v>0</v>
      </c>
      <c r="K25" s="63">
        <f t="shared" si="3"/>
        <v>0</v>
      </c>
      <c r="L25" s="243">
        <v>0</v>
      </c>
      <c r="M25" s="243">
        <f>+$G$25</f>
        <v>0</v>
      </c>
      <c r="N25" s="243">
        <f t="shared" ref="N25:Y25" si="23">+$G$25</f>
        <v>0</v>
      </c>
      <c r="O25" s="243">
        <f t="shared" si="23"/>
        <v>0</v>
      </c>
      <c r="P25" s="243">
        <f t="shared" si="23"/>
        <v>0</v>
      </c>
      <c r="Q25" s="243">
        <f t="shared" si="23"/>
        <v>0</v>
      </c>
      <c r="R25" s="243">
        <f t="shared" si="23"/>
        <v>0</v>
      </c>
      <c r="S25" s="243">
        <f t="shared" si="23"/>
        <v>0</v>
      </c>
      <c r="T25" s="243">
        <f t="shared" si="23"/>
        <v>0</v>
      </c>
      <c r="U25" s="243">
        <f t="shared" si="23"/>
        <v>0</v>
      </c>
      <c r="V25" s="243">
        <f t="shared" si="23"/>
        <v>0</v>
      </c>
      <c r="W25" s="243">
        <f t="shared" si="23"/>
        <v>0</v>
      </c>
      <c r="X25" s="243">
        <f t="shared" si="23"/>
        <v>0</v>
      </c>
      <c r="Y25" s="243">
        <f t="shared" si="23"/>
        <v>0</v>
      </c>
    </row>
    <row r="26" spans="1:25" s="64" customFormat="1" ht="20" customHeight="1" x14ac:dyDescent="0.35">
      <c r="A26" s="62"/>
      <c r="B26" s="231" t="s">
        <v>143</v>
      </c>
      <c r="C26" s="220"/>
      <c r="D26" s="220"/>
      <c r="E26" s="220">
        <v>1</v>
      </c>
      <c r="F26" s="243">
        <f t="shared" si="0"/>
        <v>0</v>
      </c>
      <c r="G26" s="250">
        <f t="shared" si="5"/>
        <v>0</v>
      </c>
      <c r="H26" s="243">
        <v>0</v>
      </c>
      <c r="I26" s="243">
        <f t="shared" si="1"/>
        <v>0</v>
      </c>
      <c r="J26" s="243">
        <f t="shared" si="2"/>
        <v>0</v>
      </c>
      <c r="K26" s="63">
        <f t="shared" si="3"/>
        <v>0</v>
      </c>
      <c r="L26" s="243">
        <v>0</v>
      </c>
      <c r="M26" s="243">
        <f>+$G$26</f>
        <v>0</v>
      </c>
      <c r="N26" s="243">
        <f t="shared" ref="N26:Y26" si="24">+$G$26</f>
        <v>0</v>
      </c>
      <c r="O26" s="243">
        <f t="shared" si="24"/>
        <v>0</v>
      </c>
      <c r="P26" s="243">
        <f t="shared" si="24"/>
        <v>0</v>
      </c>
      <c r="Q26" s="243">
        <f t="shared" si="24"/>
        <v>0</v>
      </c>
      <c r="R26" s="243">
        <f t="shared" si="24"/>
        <v>0</v>
      </c>
      <c r="S26" s="243">
        <f t="shared" si="24"/>
        <v>0</v>
      </c>
      <c r="T26" s="243">
        <f t="shared" si="24"/>
        <v>0</v>
      </c>
      <c r="U26" s="243">
        <f t="shared" si="24"/>
        <v>0</v>
      </c>
      <c r="V26" s="243">
        <f t="shared" si="24"/>
        <v>0</v>
      </c>
      <c r="W26" s="243">
        <f t="shared" si="24"/>
        <v>0</v>
      </c>
      <c r="X26" s="243">
        <f t="shared" si="24"/>
        <v>0</v>
      </c>
      <c r="Y26" s="243">
        <f t="shared" si="24"/>
        <v>0</v>
      </c>
    </row>
    <row r="27" spans="1:25" s="64" customFormat="1" ht="20" customHeight="1" x14ac:dyDescent="0.35">
      <c r="A27" s="62"/>
      <c r="B27" s="231" t="s">
        <v>144</v>
      </c>
      <c r="C27" s="220"/>
      <c r="D27" s="220"/>
      <c r="E27" s="220">
        <v>1</v>
      </c>
      <c r="F27" s="243">
        <f t="shared" si="0"/>
        <v>0</v>
      </c>
      <c r="G27" s="250">
        <f t="shared" si="5"/>
        <v>0</v>
      </c>
      <c r="H27" s="243">
        <v>0</v>
      </c>
      <c r="I27" s="243">
        <f t="shared" si="1"/>
        <v>0</v>
      </c>
      <c r="J27" s="243">
        <f t="shared" si="2"/>
        <v>0</v>
      </c>
      <c r="K27" s="63">
        <f t="shared" si="3"/>
        <v>0</v>
      </c>
      <c r="L27" s="243">
        <v>0</v>
      </c>
      <c r="M27" s="243">
        <f>+$G$27</f>
        <v>0</v>
      </c>
      <c r="N27" s="243">
        <f t="shared" ref="N27:Y27" si="25">+$G$27</f>
        <v>0</v>
      </c>
      <c r="O27" s="243">
        <f t="shared" si="25"/>
        <v>0</v>
      </c>
      <c r="P27" s="243">
        <f t="shared" si="25"/>
        <v>0</v>
      </c>
      <c r="Q27" s="243">
        <f t="shared" si="25"/>
        <v>0</v>
      </c>
      <c r="R27" s="243">
        <f t="shared" si="25"/>
        <v>0</v>
      </c>
      <c r="S27" s="243">
        <f t="shared" si="25"/>
        <v>0</v>
      </c>
      <c r="T27" s="243">
        <f t="shared" si="25"/>
        <v>0</v>
      </c>
      <c r="U27" s="243">
        <f t="shared" si="25"/>
        <v>0</v>
      </c>
      <c r="V27" s="243">
        <f t="shared" si="25"/>
        <v>0</v>
      </c>
      <c r="W27" s="243">
        <f t="shared" si="25"/>
        <v>0</v>
      </c>
      <c r="X27" s="243">
        <f t="shared" si="25"/>
        <v>0</v>
      </c>
      <c r="Y27" s="243">
        <f t="shared" si="25"/>
        <v>0</v>
      </c>
    </row>
    <row r="28" spans="1:25" s="64" customFormat="1" ht="20" customHeight="1" x14ac:dyDescent="0.35">
      <c r="A28" s="62"/>
      <c r="B28" s="231" t="s">
        <v>145</v>
      </c>
      <c r="C28" s="220"/>
      <c r="D28" s="220"/>
      <c r="E28" s="220">
        <v>1</v>
      </c>
      <c r="F28" s="243">
        <f t="shared" si="0"/>
        <v>0</v>
      </c>
      <c r="G28" s="250">
        <f t="shared" si="5"/>
        <v>0</v>
      </c>
      <c r="H28" s="243">
        <v>0</v>
      </c>
      <c r="I28" s="243">
        <f t="shared" si="1"/>
        <v>0</v>
      </c>
      <c r="J28" s="243">
        <f t="shared" si="2"/>
        <v>0</v>
      </c>
      <c r="K28" s="63">
        <f t="shared" si="3"/>
        <v>0</v>
      </c>
      <c r="L28" s="243">
        <v>0</v>
      </c>
      <c r="M28" s="243">
        <f>+$G$28</f>
        <v>0</v>
      </c>
      <c r="N28" s="243">
        <f t="shared" ref="N28:Y28" si="26">+$G$28</f>
        <v>0</v>
      </c>
      <c r="O28" s="243">
        <f t="shared" si="26"/>
        <v>0</v>
      </c>
      <c r="P28" s="243">
        <f t="shared" si="26"/>
        <v>0</v>
      </c>
      <c r="Q28" s="243">
        <f t="shared" si="26"/>
        <v>0</v>
      </c>
      <c r="R28" s="243">
        <f t="shared" si="26"/>
        <v>0</v>
      </c>
      <c r="S28" s="243">
        <f t="shared" si="26"/>
        <v>0</v>
      </c>
      <c r="T28" s="243">
        <f t="shared" si="26"/>
        <v>0</v>
      </c>
      <c r="U28" s="243">
        <f t="shared" si="26"/>
        <v>0</v>
      </c>
      <c r="V28" s="243">
        <f t="shared" si="26"/>
        <v>0</v>
      </c>
      <c r="W28" s="243">
        <f t="shared" si="26"/>
        <v>0</v>
      </c>
      <c r="X28" s="243">
        <f t="shared" si="26"/>
        <v>0</v>
      </c>
      <c r="Y28" s="243">
        <f t="shared" si="26"/>
        <v>0</v>
      </c>
    </row>
    <row r="29" spans="1:25" s="64" customFormat="1" ht="20" customHeight="1" x14ac:dyDescent="0.35">
      <c r="A29" s="62"/>
      <c r="B29" s="231" t="s">
        <v>259</v>
      </c>
      <c r="C29" s="220" t="s">
        <v>49</v>
      </c>
      <c r="D29" s="220"/>
      <c r="E29" s="220">
        <v>1</v>
      </c>
      <c r="F29" s="243">
        <f t="shared" si="0"/>
        <v>900</v>
      </c>
      <c r="G29" s="250">
        <f t="shared" si="5"/>
        <v>900</v>
      </c>
      <c r="H29" s="243">
        <v>18000</v>
      </c>
      <c r="I29" s="243">
        <f t="shared" si="1"/>
        <v>18000</v>
      </c>
      <c r="J29" s="243">
        <f t="shared" si="2"/>
        <v>20880</v>
      </c>
      <c r="K29" s="63">
        <f t="shared" si="3"/>
        <v>900</v>
      </c>
      <c r="L29" s="243">
        <v>0</v>
      </c>
      <c r="M29" s="243">
        <f>+$G$29</f>
        <v>900</v>
      </c>
      <c r="N29" s="243">
        <f t="shared" ref="N29:Y29" si="27">+$G$29</f>
        <v>900</v>
      </c>
      <c r="O29" s="243">
        <f t="shared" si="27"/>
        <v>900</v>
      </c>
      <c r="P29" s="243">
        <f t="shared" si="27"/>
        <v>900</v>
      </c>
      <c r="Q29" s="243">
        <f t="shared" si="27"/>
        <v>900</v>
      </c>
      <c r="R29" s="243">
        <f t="shared" si="27"/>
        <v>900</v>
      </c>
      <c r="S29" s="243">
        <f t="shared" si="27"/>
        <v>900</v>
      </c>
      <c r="T29" s="243">
        <f t="shared" si="27"/>
        <v>900</v>
      </c>
      <c r="U29" s="243">
        <f t="shared" si="27"/>
        <v>900</v>
      </c>
      <c r="V29" s="243">
        <f t="shared" si="27"/>
        <v>900</v>
      </c>
      <c r="W29" s="243">
        <f t="shared" si="27"/>
        <v>900</v>
      </c>
      <c r="X29" s="243">
        <f t="shared" si="27"/>
        <v>900</v>
      </c>
      <c r="Y29" s="243">
        <f t="shared" si="27"/>
        <v>900</v>
      </c>
    </row>
    <row r="30" spans="1:25" s="64" customFormat="1" ht="20" customHeight="1" x14ac:dyDescent="0.35">
      <c r="A30" s="62"/>
      <c r="B30" s="231" t="s">
        <v>147</v>
      </c>
      <c r="C30" s="220"/>
      <c r="D30" s="220"/>
      <c r="E30" s="220">
        <v>0</v>
      </c>
      <c r="F30" s="243">
        <f t="shared" si="0"/>
        <v>0</v>
      </c>
      <c r="G30" s="250">
        <f t="shared" si="5"/>
        <v>0</v>
      </c>
      <c r="H30" s="243">
        <v>0</v>
      </c>
      <c r="I30" s="243">
        <f t="shared" si="1"/>
        <v>0</v>
      </c>
      <c r="J30" s="243">
        <f t="shared" si="2"/>
        <v>0</v>
      </c>
      <c r="K30" s="63">
        <f t="shared" si="3"/>
        <v>0</v>
      </c>
      <c r="L30" s="243">
        <v>0</v>
      </c>
      <c r="M30" s="243">
        <f>+$G$30</f>
        <v>0</v>
      </c>
      <c r="N30" s="243">
        <f t="shared" ref="N30:Y30" si="28">+$G$30</f>
        <v>0</v>
      </c>
      <c r="O30" s="243">
        <f t="shared" si="28"/>
        <v>0</v>
      </c>
      <c r="P30" s="243">
        <f t="shared" si="28"/>
        <v>0</v>
      </c>
      <c r="Q30" s="243">
        <f t="shared" si="28"/>
        <v>0</v>
      </c>
      <c r="R30" s="243">
        <f t="shared" si="28"/>
        <v>0</v>
      </c>
      <c r="S30" s="243">
        <f t="shared" si="28"/>
        <v>0</v>
      </c>
      <c r="T30" s="243">
        <f t="shared" si="28"/>
        <v>0</v>
      </c>
      <c r="U30" s="243">
        <f t="shared" si="28"/>
        <v>0</v>
      </c>
      <c r="V30" s="243">
        <f t="shared" si="28"/>
        <v>0</v>
      </c>
      <c r="W30" s="243">
        <f t="shared" si="28"/>
        <v>0</v>
      </c>
      <c r="X30" s="243">
        <f t="shared" si="28"/>
        <v>0</v>
      </c>
      <c r="Y30" s="243">
        <f t="shared" si="28"/>
        <v>0</v>
      </c>
    </row>
    <row r="31" spans="1:25" s="64" customFormat="1" ht="20" customHeight="1" x14ac:dyDescent="0.35">
      <c r="A31" s="62"/>
      <c r="B31" s="231" t="s">
        <v>148</v>
      </c>
      <c r="C31" s="220"/>
      <c r="D31" s="220"/>
      <c r="E31" s="220">
        <v>0</v>
      </c>
      <c r="F31" s="243">
        <f t="shared" si="0"/>
        <v>0</v>
      </c>
      <c r="G31" s="250">
        <f t="shared" si="5"/>
        <v>0</v>
      </c>
      <c r="H31" s="243">
        <v>0</v>
      </c>
      <c r="I31" s="243">
        <f t="shared" si="1"/>
        <v>0</v>
      </c>
      <c r="J31" s="243">
        <f t="shared" si="2"/>
        <v>0</v>
      </c>
      <c r="K31" s="63">
        <f t="shared" si="3"/>
        <v>0</v>
      </c>
      <c r="L31" s="243">
        <v>0</v>
      </c>
      <c r="M31" s="243">
        <f>+$G$31</f>
        <v>0</v>
      </c>
      <c r="N31" s="243">
        <f t="shared" ref="N31:Y31" si="29">+$G$31</f>
        <v>0</v>
      </c>
      <c r="O31" s="243">
        <f t="shared" si="29"/>
        <v>0</v>
      </c>
      <c r="P31" s="243">
        <f t="shared" si="29"/>
        <v>0</v>
      </c>
      <c r="Q31" s="243">
        <f t="shared" si="29"/>
        <v>0</v>
      </c>
      <c r="R31" s="243">
        <f t="shared" si="29"/>
        <v>0</v>
      </c>
      <c r="S31" s="243">
        <f t="shared" si="29"/>
        <v>0</v>
      </c>
      <c r="T31" s="243">
        <f t="shared" si="29"/>
        <v>0</v>
      </c>
      <c r="U31" s="243">
        <f t="shared" si="29"/>
        <v>0</v>
      </c>
      <c r="V31" s="243">
        <f t="shared" si="29"/>
        <v>0</v>
      </c>
      <c r="W31" s="243">
        <f t="shared" si="29"/>
        <v>0</v>
      </c>
      <c r="X31" s="243">
        <f t="shared" si="29"/>
        <v>0</v>
      </c>
      <c r="Y31" s="243">
        <f t="shared" si="29"/>
        <v>0</v>
      </c>
    </row>
    <row r="32" spans="1:25" s="64" customFormat="1" ht="20" customHeight="1" x14ac:dyDescent="0.35">
      <c r="A32" s="62"/>
      <c r="B32" s="231" t="s">
        <v>149</v>
      </c>
      <c r="C32" s="220" t="s">
        <v>464</v>
      </c>
      <c r="D32" s="220"/>
      <c r="E32" s="220">
        <v>1</v>
      </c>
      <c r="F32" s="243">
        <f t="shared" si="0"/>
        <v>2250</v>
      </c>
      <c r="G32" s="250">
        <f t="shared" si="5"/>
        <v>2250</v>
      </c>
      <c r="H32" s="243">
        <v>45000</v>
      </c>
      <c r="I32" s="243">
        <f t="shared" si="1"/>
        <v>45000</v>
      </c>
      <c r="J32" s="243">
        <f t="shared" si="2"/>
        <v>52200</v>
      </c>
      <c r="K32" s="63">
        <f t="shared" si="3"/>
        <v>2250</v>
      </c>
      <c r="L32" s="243">
        <v>0</v>
      </c>
      <c r="M32" s="243">
        <v>0</v>
      </c>
      <c r="N32" s="243">
        <v>0</v>
      </c>
      <c r="O32" s="243">
        <v>0</v>
      </c>
      <c r="P32" s="243">
        <f t="shared" ref="P32" si="30">+$G$32</f>
        <v>2250</v>
      </c>
      <c r="Q32" s="243">
        <v>0</v>
      </c>
      <c r="R32" s="243">
        <v>0</v>
      </c>
      <c r="S32" s="243">
        <v>0</v>
      </c>
      <c r="T32" s="243">
        <v>0</v>
      </c>
      <c r="U32" s="243">
        <v>0</v>
      </c>
      <c r="V32" s="243">
        <v>0</v>
      </c>
      <c r="W32" s="243">
        <v>0</v>
      </c>
      <c r="X32" s="243">
        <v>0</v>
      </c>
      <c r="Y32" s="243">
        <v>0</v>
      </c>
    </row>
    <row r="33" spans="1:25" s="64" customFormat="1" ht="20" customHeight="1" x14ac:dyDescent="0.35">
      <c r="A33" s="62"/>
      <c r="B33" s="231" t="s">
        <v>150</v>
      </c>
      <c r="C33" s="220"/>
      <c r="D33" s="220"/>
      <c r="E33" s="220">
        <v>1</v>
      </c>
      <c r="F33" s="243">
        <f t="shared" si="0"/>
        <v>0</v>
      </c>
      <c r="G33" s="250">
        <f t="shared" si="5"/>
        <v>0</v>
      </c>
      <c r="H33" s="243">
        <v>0</v>
      </c>
      <c r="I33" s="243">
        <f t="shared" si="1"/>
        <v>0</v>
      </c>
      <c r="J33" s="243">
        <f t="shared" si="2"/>
        <v>0</v>
      </c>
      <c r="K33" s="63">
        <f t="shared" si="3"/>
        <v>0</v>
      </c>
      <c r="L33" s="243">
        <v>0</v>
      </c>
      <c r="M33" s="243">
        <f>+$G$33</f>
        <v>0</v>
      </c>
      <c r="N33" s="243">
        <f t="shared" ref="N33:Y33" si="31">+$G$33</f>
        <v>0</v>
      </c>
      <c r="O33" s="243">
        <f t="shared" si="31"/>
        <v>0</v>
      </c>
      <c r="P33" s="243">
        <f t="shared" si="31"/>
        <v>0</v>
      </c>
      <c r="Q33" s="243">
        <f t="shared" si="31"/>
        <v>0</v>
      </c>
      <c r="R33" s="243">
        <f t="shared" si="31"/>
        <v>0</v>
      </c>
      <c r="S33" s="243">
        <f t="shared" si="31"/>
        <v>0</v>
      </c>
      <c r="T33" s="243">
        <f t="shared" si="31"/>
        <v>0</v>
      </c>
      <c r="U33" s="243">
        <f t="shared" si="31"/>
        <v>0</v>
      </c>
      <c r="V33" s="243">
        <f t="shared" si="31"/>
        <v>0</v>
      </c>
      <c r="W33" s="243">
        <f t="shared" si="31"/>
        <v>0</v>
      </c>
      <c r="X33" s="243">
        <f t="shared" si="31"/>
        <v>0</v>
      </c>
      <c r="Y33" s="243">
        <f t="shared" si="31"/>
        <v>0</v>
      </c>
    </row>
    <row r="34" spans="1:25" s="64" customFormat="1" ht="20" customHeight="1" x14ac:dyDescent="0.35">
      <c r="A34" s="62"/>
      <c r="B34" s="231" t="s">
        <v>151</v>
      </c>
      <c r="C34" s="220" t="s">
        <v>465</v>
      </c>
      <c r="D34" s="220"/>
      <c r="E34" s="220">
        <v>1</v>
      </c>
      <c r="F34" s="243">
        <f t="shared" si="0"/>
        <v>0</v>
      </c>
      <c r="G34" s="250">
        <f t="shared" si="5"/>
        <v>0</v>
      </c>
      <c r="H34" s="243">
        <v>0</v>
      </c>
      <c r="I34" s="243">
        <f t="shared" si="1"/>
        <v>0</v>
      </c>
      <c r="J34" s="243">
        <f t="shared" si="2"/>
        <v>0</v>
      </c>
      <c r="K34" s="63">
        <f t="shared" si="3"/>
        <v>0</v>
      </c>
      <c r="L34" s="243">
        <v>0</v>
      </c>
      <c r="M34" s="243">
        <v>0</v>
      </c>
      <c r="N34" s="243">
        <v>0</v>
      </c>
      <c r="O34" s="243">
        <v>0</v>
      </c>
      <c r="P34" s="243">
        <v>0</v>
      </c>
      <c r="Q34" s="243">
        <v>0</v>
      </c>
      <c r="R34" s="243">
        <v>0</v>
      </c>
      <c r="S34" s="243">
        <v>0</v>
      </c>
      <c r="T34" s="243">
        <f t="shared" ref="T34" si="32">+$G$34</f>
        <v>0</v>
      </c>
      <c r="U34" s="243">
        <v>0</v>
      </c>
      <c r="V34" s="243">
        <v>0</v>
      </c>
      <c r="W34" s="243">
        <v>0</v>
      </c>
      <c r="X34" s="243">
        <v>0</v>
      </c>
      <c r="Y34" s="243">
        <v>0</v>
      </c>
    </row>
    <row r="35" spans="1:25" s="64" customFormat="1" ht="20" customHeight="1" x14ac:dyDescent="0.35">
      <c r="A35" s="62"/>
      <c r="B35" s="231" t="s">
        <v>152</v>
      </c>
      <c r="C35" s="220" t="s">
        <v>432</v>
      </c>
      <c r="D35" s="220"/>
      <c r="E35" s="220">
        <v>1</v>
      </c>
      <c r="F35" s="243">
        <f t="shared" si="0"/>
        <v>0</v>
      </c>
      <c r="G35" s="250">
        <f t="shared" si="5"/>
        <v>0</v>
      </c>
      <c r="H35" s="243">
        <v>0</v>
      </c>
      <c r="I35" s="243">
        <f t="shared" si="1"/>
        <v>0</v>
      </c>
      <c r="J35" s="243">
        <f t="shared" si="2"/>
        <v>0</v>
      </c>
      <c r="K35" s="63">
        <f t="shared" si="3"/>
        <v>0</v>
      </c>
      <c r="L35" s="243">
        <v>0</v>
      </c>
      <c r="M35" s="243">
        <f>+$G$35</f>
        <v>0</v>
      </c>
      <c r="N35" s="243">
        <f t="shared" ref="N35:Y35" si="33">+$G$35</f>
        <v>0</v>
      </c>
      <c r="O35" s="243">
        <f t="shared" si="33"/>
        <v>0</v>
      </c>
      <c r="P35" s="243">
        <f t="shared" si="33"/>
        <v>0</v>
      </c>
      <c r="Q35" s="243">
        <f t="shared" si="33"/>
        <v>0</v>
      </c>
      <c r="R35" s="243">
        <f t="shared" si="33"/>
        <v>0</v>
      </c>
      <c r="S35" s="243">
        <f t="shared" si="33"/>
        <v>0</v>
      </c>
      <c r="T35" s="243">
        <f t="shared" si="33"/>
        <v>0</v>
      </c>
      <c r="U35" s="243">
        <f t="shared" si="33"/>
        <v>0</v>
      </c>
      <c r="V35" s="243">
        <f t="shared" si="33"/>
        <v>0</v>
      </c>
      <c r="W35" s="243">
        <f t="shared" si="33"/>
        <v>0</v>
      </c>
      <c r="X35" s="243">
        <f t="shared" si="33"/>
        <v>0</v>
      </c>
      <c r="Y35" s="243">
        <f t="shared" si="33"/>
        <v>0</v>
      </c>
    </row>
    <row r="36" spans="1:25" s="64" customFormat="1" ht="20" customHeight="1" x14ac:dyDescent="0.35">
      <c r="A36" s="62"/>
      <c r="B36" s="231" t="s">
        <v>153</v>
      </c>
      <c r="C36" s="220" t="s">
        <v>433</v>
      </c>
      <c r="D36" s="220"/>
      <c r="E36" s="220">
        <v>1</v>
      </c>
      <c r="F36" s="243">
        <f t="shared" si="0"/>
        <v>0</v>
      </c>
      <c r="G36" s="250">
        <f t="shared" si="5"/>
        <v>0</v>
      </c>
      <c r="H36" s="242">
        <v>0</v>
      </c>
      <c r="I36" s="243">
        <f t="shared" si="1"/>
        <v>0</v>
      </c>
      <c r="J36" s="243">
        <f t="shared" si="2"/>
        <v>0</v>
      </c>
      <c r="K36" s="63">
        <f t="shared" si="3"/>
        <v>0</v>
      </c>
      <c r="L36" s="243">
        <v>0</v>
      </c>
      <c r="M36" s="243">
        <f>+$G$36</f>
        <v>0</v>
      </c>
      <c r="N36" s="243">
        <f t="shared" ref="N36:Y36" si="34">+$G$36</f>
        <v>0</v>
      </c>
      <c r="O36" s="243">
        <f t="shared" si="34"/>
        <v>0</v>
      </c>
      <c r="P36" s="243">
        <f t="shared" si="34"/>
        <v>0</v>
      </c>
      <c r="Q36" s="243">
        <f t="shared" si="34"/>
        <v>0</v>
      </c>
      <c r="R36" s="243">
        <f t="shared" si="34"/>
        <v>0</v>
      </c>
      <c r="S36" s="243">
        <f t="shared" si="34"/>
        <v>0</v>
      </c>
      <c r="T36" s="243">
        <f t="shared" si="34"/>
        <v>0</v>
      </c>
      <c r="U36" s="243">
        <f t="shared" si="34"/>
        <v>0</v>
      </c>
      <c r="V36" s="243">
        <f t="shared" si="34"/>
        <v>0</v>
      </c>
      <c r="W36" s="243">
        <f t="shared" si="34"/>
        <v>0</v>
      </c>
      <c r="X36" s="243">
        <f t="shared" si="34"/>
        <v>0</v>
      </c>
      <c r="Y36" s="243">
        <f t="shared" si="34"/>
        <v>0</v>
      </c>
    </row>
    <row r="37" spans="1:25" s="64" customFormat="1" ht="20" customHeight="1" x14ac:dyDescent="0.35">
      <c r="A37" s="62"/>
      <c r="B37" s="231" t="s">
        <v>154</v>
      </c>
      <c r="C37" s="220"/>
      <c r="D37" s="220"/>
      <c r="E37" s="220">
        <v>1</v>
      </c>
      <c r="F37" s="243">
        <f t="shared" si="0"/>
        <v>0</v>
      </c>
      <c r="G37" s="250">
        <f t="shared" si="5"/>
        <v>0</v>
      </c>
      <c r="H37" s="243">
        <v>0</v>
      </c>
      <c r="I37" s="243">
        <f t="shared" si="1"/>
        <v>0</v>
      </c>
      <c r="J37" s="243">
        <f t="shared" si="2"/>
        <v>0</v>
      </c>
      <c r="K37" s="63">
        <f t="shared" si="3"/>
        <v>0</v>
      </c>
      <c r="L37" s="243">
        <v>0</v>
      </c>
      <c r="M37" s="243">
        <f>+$G$37</f>
        <v>0</v>
      </c>
      <c r="N37" s="243">
        <f t="shared" ref="N37:Y37" si="35">+$G$37</f>
        <v>0</v>
      </c>
      <c r="O37" s="243">
        <f t="shared" si="35"/>
        <v>0</v>
      </c>
      <c r="P37" s="243">
        <f t="shared" si="35"/>
        <v>0</v>
      </c>
      <c r="Q37" s="243">
        <f t="shared" si="35"/>
        <v>0</v>
      </c>
      <c r="R37" s="243">
        <f t="shared" si="35"/>
        <v>0</v>
      </c>
      <c r="S37" s="243">
        <f t="shared" si="35"/>
        <v>0</v>
      </c>
      <c r="T37" s="243">
        <f t="shared" si="35"/>
        <v>0</v>
      </c>
      <c r="U37" s="243">
        <f t="shared" si="35"/>
        <v>0</v>
      </c>
      <c r="V37" s="243">
        <f t="shared" si="35"/>
        <v>0</v>
      </c>
      <c r="W37" s="243">
        <f t="shared" si="35"/>
        <v>0</v>
      </c>
      <c r="X37" s="243">
        <f t="shared" si="35"/>
        <v>0</v>
      </c>
      <c r="Y37" s="243">
        <f t="shared" si="35"/>
        <v>0</v>
      </c>
    </row>
    <row r="38" spans="1:25" s="64" customFormat="1" ht="20" customHeight="1" x14ac:dyDescent="0.35">
      <c r="A38" s="62"/>
      <c r="B38" s="231" t="s">
        <v>155</v>
      </c>
      <c r="C38" s="220"/>
      <c r="D38" s="220"/>
      <c r="E38" s="220">
        <v>1</v>
      </c>
      <c r="F38" s="243">
        <f t="shared" si="0"/>
        <v>0</v>
      </c>
      <c r="G38" s="250">
        <f t="shared" si="5"/>
        <v>0</v>
      </c>
      <c r="H38" s="243">
        <v>0</v>
      </c>
      <c r="I38" s="243">
        <f t="shared" si="1"/>
        <v>0</v>
      </c>
      <c r="J38" s="243">
        <f t="shared" si="2"/>
        <v>0</v>
      </c>
      <c r="K38" s="63">
        <f t="shared" si="3"/>
        <v>0</v>
      </c>
      <c r="L38" s="243">
        <v>0</v>
      </c>
      <c r="M38" s="243">
        <f>+$G$38</f>
        <v>0</v>
      </c>
      <c r="N38" s="243">
        <f t="shared" ref="N38:Y38" si="36">+$G$38</f>
        <v>0</v>
      </c>
      <c r="O38" s="243">
        <f t="shared" si="36"/>
        <v>0</v>
      </c>
      <c r="P38" s="243">
        <f t="shared" si="36"/>
        <v>0</v>
      </c>
      <c r="Q38" s="243">
        <f t="shared" si="36"/>
        <v>0</v>
      </c>
      <c r="R38" s="243">
        <f t="shared" si="36"/>
        <v>0</v>
      </c>
      <c r="S38" s="243">
        <f t="shared" si="36"/>
        <v>0</v>
      </c>
      <c r="T38" s="243">
        <f t="shared" si="36"/>
        <v>0</v>
      </c>
      <c r="U38" s="243">
        <f t="shared" si="36"/>
        <v>0</v>
      </c>
      <c r="V38" s="243">
        <f t="shared" si="36"/>
        <v>0</v>
      </c>
      <c r="W38" s="243">
        <f t="shared" si="36"/>
        <v>0</v>
      </c>
      <c r="X38" s="243">
        <f t="shared" si="36"/>
        <v>0</v>
      </c>
      <c r="Y38" s="243">
        <f t="shared" si="36"/>
        <v>0</v>
      </c>
    </row>
    <row r="39" spans="1:25" s="64" customFormat="1" ht="20" customHeight="1" x14ac:dyDescent="0.35">
      <c r="A39" s="62"/>
      <c r="B39" s="231" t="s">
        <v>156</v>
      </c>
      <c r="C39" s="220"/>
      <c r="D39" s="220"/>
      <c r="E39" s="220">
        <v>1</v>
      </c>
      <c r="F39" s="243">
        <f t="shared" si="0"/>
        <v>0</v>
      </c>
      <c r="G39" s="250">
        <f t="shared" si="5"/>
        <v>0</v>
      </c>
      <c r="H39" s="243">
        <v>0</v>
      </c>
      <c r="I39" s="243">
        <f t="shared" si="1"/>
        <v>0</v>
      </c>
      <c r="J39" s="243">
        <f t="shared" si="2"/>
        <v>0</v>
      </c>
      <c r="K39" s="63">
        <f t="shared" si="3"/>
        <v>0</v>
      </c>
      <c r="L39" s="243">
        <v>0</v>
      </c>
      <c r="M39" s="243">
        <f>+$G$39</f>
        <v>0</v>
      </c>
      <c r="N39" s="243">
        <f t="shared" ref="N39:Y39" si="37">+$G$39</f>
        <v>0</v>
      </c>
      <c r="O39" s="243">
        <f t="shared" si="37"/>
        <v>0</v>
      </c>
      <c r="P39" s="243">
        <f t="shared" si="37"/>
        <v>0</v>
      </c>
      <c r="Q39" s="243">
        <f t="shared" si="37"/>
        <v>0</v>
      </c>
      <c r="R39" s="243">
        <f t="shared" si="37"/>
        <v>0</v>
      </c>
      <c r="S39" s="243">
        <f t="shared" si="37"/>
        <v>0</v>
      </c>
      <c r="T39" s="243">
        <f t="shared" si="37"/>
        <v>0</v>
      </c>
      <c r="U39" s="243">
        <f t="shared" si="37"/>
        <v>0</v>
      </c>
      <c r="V39" s="243">
        <f t="shared" si="37"/>
        <v>0</v>
      </c>
      <c r="W39" s="243">
        <f t="shared" si="37"/>
        <v>0</v>
      </c>
      <c r="X39" s="243">
        <f t="shared" si="37"/>
        <v>0</v>
      </c>
      <c r="Y39" s="243">
        <f t="shared" si="37"/>
        <v>0</v>
      </c>
    </row>
    <row r="40" spans="1:25" s="64" customFormat="1" ht="20" customHeight="1" x14ac:dyDescent="0.35">
      <c r="A40" s="62"/>
      <c r="B40" s="231" t="s">
        <v>157</v>
      </c>
      <c r="C40" s="220"/>
      <c r="D40" s="220"/>
      <c r="E40" s="220">
        <v>1</v>
      </c>
      <c r="F40" s="243">
        <f t="shared" si="0"/>
        <v>0</v>
      </c>
      <c r="G40" s="250">
        <f t="shared" si="5"/>
        <v>0</v>
      </c>
      <c r="H40" s="243">
        <v>0</v>
      </c>
      <c r="I40" s="243">
        <f t="shared" si="1"/>
        <v>0</v>
      </c>
      <c r="J40" s="243">
        <f t="shared" si="2"/>
        <v>0</v>
      </c>
      <c r="K40" s="63">
        <f t="shared" si="3"/>
        <v>0</v>
      </c>
      <c r="L40" s="243">
        <v>0</v>
      </c>
      <c r="M40" s="243">
        <f>+$G$40</f>
        <v>0</v>
      </c>
      <c r="N40" s="243">
        <f t="shared" ref="N40:Y40" si="38">+$G$40</f>
        <v>0</v>
      </c>
      <c r="O40" s="243">
        <f t="shared" si="38"/>
        <v>0</v>
      </c>
      <c r="P40" s="243">
        <f t="shared" si="38"/>
        <v>0</v>
      </c>
      <c r="Q40" s="243">
        <f t="shared" si="38"/>
        <v>0</v>
      </c>
      <c r="R40" s="243">
        <f t="shared" si="38"/>
        <v>0</v>
      </c>
      <c r="S40" s="243">
        <f t="shared" si="38"/>
        <v>0</v>
      </c>
      <c r="T40" s="243">
        <f t="shared" si="38"/>
        <v>0</v>
      </c>
      <c r="U40" s="243">
        <f t="shared" si="38"/>
        <v>0</v>
      </c>
      <c r="V40" s="243">
        <f t="shared" si="38"/>
        <v>0</v>
      </c>
      <c r="W40" s="243">
        <f t="shared" si="38"/>
        <v>0</v>
      </c>
      <c r="X40" s="243">
        <f t="shared" si="38"/>
        <v>0</v>
      </c>
      <c r="Y40" s="243">
        <f t="shared" si="38"/>
        <v>0</v>
      </c>
    </row>
    <row r="41" spans="1:25" s="64" customFormat="1" ht="20" customHeight="1" x14ac:dyDescent="0.35">
      <c r="A41" s="62"/>
      <c r="B41" s="231" t="s">
        <v>158</v>
      </c>
      <c r="C41" s="220"/>
      <c r="D41" s="220"/>
      <c r="E41" s="220">
        <v>1</v>
      </c>
      <c r="F41" s="243">
        <f t="shared" si="0"/>
        <v>0</v>
      </c>
      <c r="G41" s="250">
        <f t="shared" si="5"/>
        <v>0</v>
      </c>
      <c r="H41" s="243">
        <v>0</v>
      </c>
      <c r="I41" s="243">
        <f t="shared" si="1"/>
        <v>0</v>
      </c>
      <c r="J41" s="243">
        <f t="shared" si="2"/>
        <v>0</v>
      </c>
      <c r="K41" s="63">
        <f t="shared" si="3"/>
        <v>0</v>
      </c>
      <c r="L41" s="243">
        <v>0</v>
      </c>
      <c r="M41" s="243">
        <f>+$G$41</f>
        <v>0</v>
      </c>
      <c r="N41" s="243">
        <f t="shared" ref="N41:Y41" si="39">+$G$41</f>
        <v>0</v>
      </c>
      <c r="O41" s="243">
        <f t="shared" si="39"/>
        <v>0</v>
      </c>
      <c r="P41" s="243">
        <f t="shared" si="39"/>
        <v>0</v>
      </c>
      <c r="Q41" s="243">
        <f t="shared" si="39"/>
        <v>0</v>
      </c>
      <c r="R41" s="243">
        <f t="shared" si="39"/>
        <v>0</v>
      </c>
      <c r="S41" s="243">
        <f t="shared" si="39"/>
        <v>0</v>
      </c>
      <c r="T41" s="243">
        <f t="shared" si="39"/>
        <v>0</v>
      </c>
      <c r="U41" s="243">
        <f t="shared" si="39"/>
        <v>0</v>
      </c>
      <c r="V41" s="243">
        <f t="shared" si="39"/>
        <v>0</v>
      </c>
      <c r="W41" s="243">
        <f t="shared" si="39"/>
        <v>0</v>
      </c>
      <c r="X41" s="243">
        <f t="shared" si="39"/>
        <v>0</v>
      </c>
      <c r="Y41" s="243">
        <f t="shared" si="39"/>
        <v>0</v>
      </c>
    </row>
    <row r="42" spans="1:25" s="4" customFormat="1" ht="20" customHeight="1" x14ac:dyDescent="0.35">
      <c r="A42" s="62"/>
      <c r="C42" s="50"/>
      <c r="D42" s="65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spans="1:25" ht="20" customHeight="1" x14ac:dyDescent="0.35">
      <c r="I43" s="325" t="s">
        <v>402</v>
      </c>
      <c r="J43" s="326"/>
      <c r="K43" s="95"/>
      <c r="L43" s="210">
        <f t="shared" ref="L43:Y43" si="40">SUM(L7:L41)</f>
        <v>0</v>
      </c>
      <c r="M43" s="210">
        <f t="shared" si="40"/>
        <v>2760</v>
      </c>
      <c r="N43" s="210">
        <f t="shared" si="40"/>
        <v>1260</v>
      </c>
      <c r="O43" s="210">
        <f t="shared" si="40"/>
        <v>1260</v>
      </c>
      <c r="P43" s="210">
        <f t="shared" si="40"/>
        <v>3510</v>
      </c>
      <c r="Q43" s="210">
        <f t="shared" si="40"/>
        <v>1260</v>
      </c>
      <c r="R43" s="210">
        <f t="shared" si="40"/>
        <v>2963</v>
      </c>
      <c r="S43" s="210">
        <f t="shared" si="40"/>
        <v>1260</v>
      </c>
      <c r="T43" s="210">
        <f t="shared" si="40"/>
        <v>1260</v>
      </c>
      <c r="U43" s="210">
        <f t="shared" si="40"/>
        <v>1260</v>
      </c>
      <c r="V43" s="210">
        <f t="shared" si="40"/>
        <v>1260</v>
      </c>
      <c r="W43" s="210">
        <f t="shared" si="40"/>
        <v>1260</v>
      </c>
      <c r="X43" s="210">
        <f t="shared" si="40"/>
        <v>2760</v>
      </c>
      <c r="Y43" s="210">
        <f t="shared" si="40"/>
        <v>1260</v>
      </c>
    </row>
    <row r="44" spans="1:25" ht="20" customHeight="1" x14ac:dyDescent="0.35">
      <c r="I44" s="327" t="s">
        <v>397</v>
      </c>
      <c r="J44" s="328"/>
      <c r="K44" s="95"/>
      <c r="L44" s="211">
        <f>L43*$J$49</f>
        <v>0</v>
      </c>
      <c r="M44" s="211">
        <f t="shared" ref="M44:Y44" si="41">M43*$J$49</f>
        <v>55200</v>
      </c>
      <c r="N44" s="211">
        <f t="shared" si="41"/>
        <v>25200</v>
      </c>
      <c r="O44" s="211">
        <f t="shared" si="41"/>
        <v>25200</v>
      </c>
      <c r="P44" s="211">
        <f t="shared" si="41"/>
        <v>70200</v>
      </c>
      <c r="Q44" s="211">
        <f t="shared" si="41"/>
        <v>25200</v>
      </c>
      <c r="R44" s="211">
        <f t="shared" si="41"/>
        <v>59260</v>
      </c>
      <c r="S44" s="211">
        <f t="shared" si="41"/>
        <v>25200</v>
      </c>
      <c r="T44" s="211">
        <f t="shared" si="41"/>
        <v>25200</v>
      </c>
      <c r="U44" s="211">
        <f t="shared" si="41"/>
        <v>25200</v>
      </c>
      <c r="V44" s="211">
        <f t="shared" si="41"/>
        <v>25200</v>
      </c>
      <c r="W44" s="211">
        <f t="shared" si="41"/>
        <v>25200</v>
      </c>
      <c r="X44" s="211">
        <f t="shared" si="41"/>
        <v>55200</v>
      </c>
      <c r="Y44" s="211">
        <f t="shared" si="41"/>
        <v>25200</v>
      </c>
    </row>
    <row r="45" spans="1:25" ht="20" customHeight="1" x14ac:dyDescent="0.35">
      <c r="I45" s="325" t="s">
        <v>403</v>
      </c>
      <c r="J45" s="326"/>
      <c r="K45" s="95"/>
      <c r="L45" s="210">
        <f>SUM(L43:Y43)</f>
        <v>23333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</row>
    <row r="46" spans="1:25" ht="20" customHeight="1" x14ac:dyDescent="0.35">
      <c r="I46" s="327" t="s">
        <v>256</v>
      </c>
      <c r="J46" s="328"/>
      <c r="K46" s="95"/>
      <c r="L46" s="226">
        <f>SUM(L44:Y44)</f>
        <v>466660</v>
      </c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</row>
    <row r="47" spans="1:25" ht="20" customHeight="1" x14ac:dyDescent="0.35">
      <c r="I47"/>
      <c r="Q47" s="7"/>
      <c r="R47" s="7"/>
      <c r="S47" s="7"/>
      <c r="T47" s="7"/>
      <c r="U47" s="7"/>
      <c r="V47" s="7"/>
      <c r="W47" s="7"/>
    </row>
    <row r="48" spans="1:25" ht="20" customHeight="1" x14ac:dyDescent="0.35">
      <c r="I48" s="350"/>
      <c r="J48" s="351"/>
      <c r="L48" s="88"/>
    </row>
    <row r="49" spans="9:14" ht="20" customHeight="1" x14ac:dyDescent="0.35">
      <c r="I49" s="212" t="str">
        <f>'F05 VIÁTICOS'!H33</f>
        <v>PARIDAD</v>
      </c>
      <c r="J49" s="198">
        <f>'F05 VIÁTICOS'!I33</f>
        <v>20</v>
      </c>
      <c r="L49" s="88"/>
    </row>
    <row r="50" spans="9:14" ht="20" customHeight="1" x14ac:dyDescent="0.35">
      <c r="I50" s="213" t="str">
        <f>'F05 VIÁTICOS'!H34</f>
        <v xml:space="preserve">MES </v>
      </c>
      <c r="J50" s="199">
        <f>'F05 VIÁTICOS'!I34</f>
        <v>30.4</v>
      </c>
    </row>
    <row r="51" spans="9:14" ht="20" customHeight="1" x14ac:dyDescent="0.35">
      <c r="I51" s="214" t="str">
        <f>'F05 VIÁTICOS'!H35</f>
        <v>CRÉDITO</v>
      </c>
      <c r="J51" s="200">
        <f>'F05 VIÁTICOS'!I35</f>
        <v>45</v>
      </c>
      <c r="N51" s="67"/>
    </row>
    <row r="52" spans="9:14" ht="20" customHeight="1" x14ac:dyDescent="0.35">
      <c r="I52" s="215" t="str">
        <f>'F05 VIÁTICOS'!H36</f>
        <v>GAS LP</v>
      </c>
      <c r="J52" s="201">
        <f>'F05 VIÁTICOS'!I36</f>
        <v>10.5</v>
      </c>
    </row>
    <row r="53" spans="9:14" ht="20" customHeight="1" x14ac:dyDescent="0.35">
      <c r="I53" s="216" t="str">
        <f>'F05 VIÁTICOS'!H37</f>
        <v>GASOLINA</v>
      </c>
      <c r="J53" s="202">
        <f>'F05 VIÁTICOS'!I37</f>
        <v>22</v>
      </c>
    </row>
    <row r="54" spans="9:14" ht="20" customHeight="1" x14ac:dyDescent="0.35">
      <c r="I54" s="253" t="str">
        <f>'F05 VIÁTICOS'!H38</f>
        <v>DIESEL</v>
      </c>
      <c r="J54" s="254">
        <f>'F05 VIÁTICOS'!I38</f>
        <v>23</v>
      </c>
    </row>
    <row r="55" spans="9:14" ht="20" customHeight="1" x14ac:dyDescent="0.35">
      <c r="I55" s="329" t="s">
        <v>345</v>
      </c>
      <c r="J55" s="330"/>
    </row>
    <row r="56" spans="9:14" ht="20" customHeight="1" thickBot="1" x14ac:dyDescent="0.4">
      <c r="I56" s="331"/>
      <c r="J56" s="332"/>
    </row>
  </sheetData>
  <mergeCells count="15">
    <mergeCell ref="I48:J48"/>
    <mergeCell ref="I55:J56"/>
    <mergeCell ref="B4:B6"/>
    <mergeCell ref="I43:J43"/>
    <mergeCell ref="I44:J44"/>
    <mergeCell ref="I45:J45"/>
    <mergeCell ref="I46:J46"/>
    <mergeCell ref="G4:G6"/>
    <mergeCell ref="F4:F6"/>
    <mergeCell ref="E4:E6"/>
    <mergeCell ref="D4:D6"/>
    <mergeCell ref="C4:C6"/>
    <mergeCell ref="H4:H6"/>
    <mergeCell ref="I4:I6"/>
    <mergeCell ref="J4:J5"/>
  </mergeCells>
  <phoneticPr fontId="8" type="noConversion"/>
  <hyperlinks>
    <hyperlink ref="I55" r:id="rId1" xr:uid="{473255D2-7D37-1848-9E3D-AAD42E687BD6}"/>
  </hyperlinks>
  <pageMargins left="0.25" right="0.25" top="0.75" bottom="0.75" header="0.3" footer="0.3"/>
  <pageSetup paperSize="3" scale="63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K285"/>
  <sheetViews>
    <sheetView zoomScale="90" zoomScaleNormal="90" workbookViewId="0">
      <pane xSplit="10" ySplit="6" topLeftCell="L148" activePane="bottomRight" state="frozen"/>
      <selection pane="topRight" activeCell="K1" sqref="K1"/>
      <selection pane="bottomLeft" activeCell="A7" sqref="A7"/>
      <selection pane="bottomRight" activeCell="H185" sqref="H185"/>
    </sheetView>
  </sheetViews>
  <sheetFormatPr baseColWidth="10" defaultColWidth="10.5" defaultRowHeight="20" customHeight="1" x14ac:dyDescent="0.35"/>
  <cols>
    <col min="1" max="1" width="4" customWidth="1"/>
    <col min="2" max="2" width="56.33203125" customWidth="1"/>
    <col min="3" max="3" width="47" customWidth="1"/>
    <col min="4" max="4" width="13.1640625" customWidth="1"/>
    <col min="5" max="5" width="12.33203125" customWidth="1"/>
    <col min="6" max="6" width="18.83203125" customWidth="1"/>
    <col min="7" max="7" width="19.1640625" customWidth="1"/>
    <col min="8" max="9" width="15.33203125" style="66" customWidth="1"/>
    <col min="10" max="10" width="16.1640625" customWidth="1"/>
    <col min="11" max="11" width="2" customWidth="1"/>
    <col min="12" max="12" width="16.33203125" bestFit="1" customWidth="1"/>
    <col min="13" max="25" width="14.83203125" customWidth="1"/>
    <col min="26" max="122" width="10.5" customWidth="1"/>
  </cols>
  <sheetData>
    <row r="1" spans="1:27" ht="20" customHeight="1" x14ac:dyDescent="0.3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27" ht="20" customHeight="1" x14ac:dyDescent="0.35">
      <c r="A2" s="62"/>
      <c r="B2" s="62" t="s">
        <v>17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27" ht="20" customHeight="1" x14ac:dyDescent="0.3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27" ht="20" customHeight="1" x14ac:dyDescent="0.45">
      <c r="A4" s="62"/>
      <c r="B4" s="352" t="s">
        <v>407</v>
      </c>
      <c r="C4" s="352" t="s">
        <v>408</v>
      </c>
      <c r="D4" s="352" t="s">
        <v>23</v>
      </c>
      <c r="E4" s="352" t="s">
        <v>244</v>
      </c>
      <c r="F4" s="352" t="s">
        <v>239</v>
      </c>
      <c r="G4" s="352" t="s">
        <v>344</v>
      </c>
      <c r="H4" s="352" t="s">
        <v>240</v>
      </c>
      <c r="I4" s="352" t="s">
        <v>256</v>
      </c>
      <c r="J4" s="353" t="s">
        <v>398</v>
      </c>
      <c r="K4" s="24"/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  <c r="AA4" s="2"/>
    </row>
    <row r="5" spans="1:27" ht="20" customHeight="1" x14ac:dyDescent="0.45">
      <c r="A5" s="62"/>
      <c r="B5" s="336"/>
      <c r="C5" s="336"/>
      <c r="D5" s="336"/>
      <c r="E5" s="336" t="s">
        <v>244</v>
      </c>
      <c r="F5" s="336"/>
      <c r="G5" s="336" t="s">
        <v>344</v>
      </c>
      <c r="H5" s="336" t="s">
        <v>240</v>
      </c>
      <c r="I5" s="336" t="s">
        <v>256</v>
      </c>
      <c r="J5" s="354"/>
      <c r="K5" s="24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  <c r="AA5" s="2"/>
    </row>
    <row r="6" spans="1:27" ht="20" customHeight="1" x14ac:dyDescent="0.45">
      <c r="A6" s="62"/>
      <c r="B6" s="337"/>
      <c r="C6" s="337"/>
      <c r="D6" s="337"/>
      <c r="E6" s="337"/>
      <c r="F6" s="337"/>
      <c r="G6" s="337" t="s">
        <v>242</v>
      </c>
      <c r="H6" s="337" t="s">
        <v>243</v>
      </c>
      <c r="I6" s="337" t="s">
        <v>243</v>
      </c>
      <c r="J6" s="229" t="s">
        <v>399</v>
      </c>
      <c r="K6" s="24"/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  <c r="AA6" s="2"/>
    </row>
    <row r="7" spans="1:27" ht="20" customHeight="1" x14ac:dyDescent="0.45">
      <c r="A7" s="62"/>
      <c r="B7" s="231" t="s">
        <v>117</v>
      </c>
      <c r="C7" s="220" t="s">
        <v>72</v>
      </c>
      <c r="D7" s="220"/>
      <c r="E7" s="220">
        <v>1</v>
      </c>
      <c r="F7" s="242">
        <f>+H7/$J$199</f>
        <v>15</v>
      </c>
      <c r="G7" s="261">
        <f t="shared" ref="G7:G14" si="0">F7</f>
        <v>15</v>
      </c>
      <c r="H7" s="242">
        <v>300</v>
      </c>
      <c r="I7" s="242">
        <f>(E7*H7)</f>
        <v>300</v>
      </c>
      <c r="J7" s="242">
        <f>I7*1.16</f>
        <v>348</v>
      </c>
      <c r="K7" s="24"/>
      <c r="L7" s="243">
        <v>0</v>
      </c>
      <c r="M7" s="243">
        <f>+$G$7</f>
        <v>15</v>
      </c>
      <c r="N7" s="243">
        <f t="shared" ref="N7:Y7" si="1">+$G$7</f>
        <v>15</v>
      </c>
      <c r="O7" s="243">
        <f t="shared" si="1"/>
        <v>15</v>
      </c>
      <c r="P7" s="243">
        <f t="shared" si="1"/>
        <v>15</v>
      </c>
      <c r="Q7" s="243">
        <f t="shared" si="1"/>
        <v>15</v>
      </c>
      <c r="R7" s="243">
        <f t="shared" si="1"/>
        <v>15</v>
      </c>
      <c r="S7" s="243">
        <f t="shared" si="1"/>
        <v>15</v>
      </c>
      <c r="T7" s="243">
        <f t="shared" si="1"/>
        <v>15</v>
      </c>
      <c r="U7" s="243">
        <f t="shared" si="1"/>
        <v>15</v>
      </c>
      <c r="V7" s="243">
        <f t="shared" si="1"/>
        <v>15</v>
      </c>
      <c r="W7" s="243">
        <f t="shared" si="1"/>
        <v>15</v>
      </c>
      <c r="X7" s="243">
        <f t="shared" si="1"/>
        <v>15</v>
      </c>
      <c r="Y7" s="243">
        <f t="shared" si="1"/>
        <v>15</v>
      </c>
    </row>
    <row r="8" spans="1:27" ht="20" customHeight="1" x14ac:dyDescent="0.45">
      <c r="A8" s="62"/>
      <c r="B8" s="231" t="s">
        <v>117</v>
      </c>
      <c r="C8" s="220" t="s">
        <v>233</v>
      </c>
      <c r="D8" s="220"/>
      <c r="E8" s="220">
        <v>1</v>
      </c>
      <c r="F8" s="242">
        <f t="shared" ref="F8:F14" si="2">+H8/$J$199</f>
        <v>10</v>
      </c>
      <c r="G8" s="261">
        <f t="shared" si="0"/>
        <v>10</v>
      </c>
      <c r="H8" s="242">
        <v>200</v>
      </c>
      <c r="I8" s="242">
        <f>(E8*H8)</f>
        <v>200</v>
      </c>
      <c r="J8" s="242">
        <f>I8*1.16</f>
        <v>231.99999999999997</v>
      </c>
      <c r="K8" s="24"/>
      <c r="L8" s="243">
        <v>0</v>
      </c>
      <c r="M8" s="243">
        <f>+$G$8</f>
        <v>10</v>
      </c>
      <c r="N8" s="243">
        <f t="shared" ref="N8:Y8" si="3">+$G$8</f>
        <v>10</v>
      </c>
      <c r="O8" s="243">
        <f t="shared" si="3"/>
        <v>10</v>
      </c>
      <c r="P8" s="243">
        <f t="shared" si="3"/>
        <v>10</v>
      </c>
      <c r="Q8" s="243">
        <f t="shared" si="3"/>
        <v>10</v>
      </c>
      <c r="R8" s="243">
        <f t="shared" si="3"/>
        <v>10</v>
      </c>
      <c r="S8" s="243">
        <f t="shared" si="3"/>
        <v>10</v>
      </c>
      <c r="T8" s="243">
        <f t="shared" si="3"/>
        <v>10</v>
      </c>
      <c r="U8" s="243">
        <f t="shared" si="3"/>
        <v>10</v>
      </c>
      <c r="V8" s="243">
        <f t="shared" si="3"/>
        <v>10</v>
      </c>
      <c r="W8" s="243">
        <f t="shared" si="3"/>
        <v>10</v>
      </c>
      <c r="X8" s="243">
        <f t="shared" si="3"/>
        <v>10</v>
      </c>
      <c r="Y8" s="243">
        <f t="shared" si="3"/>
        <v>10</v>
      </c>
    </row>
    <row r="9" spans="1:27" ht="20" customHeight="1" x14ac:dyDescent="0.45">
      <c r="A9" s="62"/>
      <c r="B9" s="231" t="s">
        <v>117</v>
      </c>
      <c r="C9" s="220" t="s">
        <v>234</v>
      </c>
      <c r="D9" s="220"/>
      <c r="E9" s="220">
        <v>4</v>
      </c>
      <c r="F9" s="242">
        <f t="shared" si="2"/>
        <v>0</v>
      </c>
      <c r="G9" s="261">
        <f t="shared" si="0"/>
        <v>0</v>
      </c>
      <c r="H9" s="242">
        <v>0</v>
      </c>
      <c r="I9" s="242">
        <f t="shared" ref="I9:I14" si="4">(E9*H9)</f>
        <v>0</v>
      </c>
      <c r="J9" s="242">
        <f t="shared" ref="J9:J14" si="5">I9*1.16</f>
        <v>0</v>
      </c>
      <c r="K9" s="24"/>
      <c r="L9" s="243">
        <v>0</v>
      </c>
      <c r="M9" s="243">
        <f>+$G$9</f>
        <v>0</v>
      </c>
      <c r="N9" s="243">
        <f t="shared" ref="N9:Y9" si="6">+$G$9</f>
        <v>0</v>
      </c>
      <c r="O9" s="243">
        <f t="shared" si="6"/>
        <v>0</v>
      </c>
      <c r="P9" s="243">
        <f t="shared" si="6"/>
        <v>0</v>
      </c>
      <c r="Q9" s="243">
        <f t="shared" si="6"/>
        <v>0</v>
      </c>
      <c r="R9" s="243">
        <f t="shared" si="6"/>
        <v>0</v>
      </c>
      <c r="S9" s="243">
        <f t="shared" si="6"/>
        <v>0</v>
      </c>
      <c r="T9" s="243">
        <f t="shared" si="6"/>
        <v>0</v>
      </c>
      <c r="U9" s="243">
        <f t="shared" si="6"/>
        <v>0</v>
      </c>
      <c r="V9" s="243">
        <f t="shared" si="6"/>
        <v>0</v>
      </c>
      <c r="W9" s="243">
        <f t="shared" si="6"/>
        <v>0</v>
      </c>
      <c r="X9" s="243">
        <f t="shared" si="6"/>
        <v>0</v>
      </c>
      <c r="Y9" s="243">
        <f t="shared" si="6"/>
        <v>0</v>
      </c>
    </row>
    <row r="10" spans="1:27" ht="20" customHeight="1" x14ac:dyDescent="0.45">
      <c r="A10" s="62"/>
      <c r="B10" s="231" t="s">
        <v>117</v>
      </c>
      <c r="C10" s="220" t="s">
        <v>235</v>
      </c>
      <c r="D10" s="220"/>
      <c r="E10" s="220">
        <v>2</v>
      </c>
      <c r="F10" s="242">
        <f t="shared" si="2"/>
        <v>10</v>
      </c>
      <c r="G10" s="261">
        <f t="shared" si="0"/>
        <v>10</v>
      </c>
      <c r="H10" s="242">
        <v>200</v>
      </c>
      <c r="I10" s="242">
        <f t="shared" si="4"/>
        <v>400</v>
      </c>
      <c r="J10" s="242">
        <f t="shared" si="5"/>
        <v>463.99999999999994</v>
      </c>
      <c r="K10" s="24"/>
      <c r="L10" s="243">
        <v>0</v>
      </c>
      <c r="M10" s="243">
        <f t="shared" ref="M10:Y10" si="7">+$G$7</f>
        <v>15</v>
      </c>
      <c r="N10" s="243">
        <f t="shared" si="7"/>
        <v>15</v>
      </c>
      <c r="O10" s="243">
        <f t="shared" si="7"/>
        <v>15</v>
      </c>
      <c r="P10" s="243">
        <f t="shared" si="7"/>
        <v>15</v>
      </c>
      <c r="Q10" s="243">
        <f t="shared" si="7"/>
        <v>15</v>
      </c>
      <c r="R10" s="243">
        <f t="shared" si="7"/>
        <v>15</v>
      </c>
      <c r="S10" s="243">
        <f t="shared" si="7"/>
        <v>15</v>
      </c>
      <c r="T10" s="243">
        <f t="shared" si="7"/>
        <v>15</v>
      </c>
      <c r="U10" s="243">
        <f t="shared" si="7"/>
        <v>15</v>
      </c>
      <c r="V10" s="243">
        <f t="shared" si="7"/>
        <v>15</v>
      </c>
      <c r="W10" s="243">
        <f t="shared" si="7"/>
        <v>15</v>
      </c>
      <c r="X10" s="243">
        <f t="shared" si="7"/>
        <v>15</v>
      </c>
      <c r="Y10" s="243">
        <f t="shared" si="7"/>
        <v>15</v>
      </c>
    </row>
    <row r="11" spans="1:27" ht="20" customHeight="1" x14ac:dyDescent="0.45">
      <c r="A11" s="62"/>
      <c r="B11" s="231" t="s">
        <v>117</v>
      </c>
      <c r="C11" s="220" t="s">
        <v>236</v>
      </c>
      <c r="D11" s="220"/>
      <c r="E11" s="220">
        <v>6</v>
      </c>
      <c r="F11" s="242">
        <f t="shared" si="2"/>
        <v>5</v>
      </c>
      <c r="G11" s="261">
        <f t="shared" si="0"/>
        <v>5</v>
      </c>
      <c r="H11" s="242">
        <v>100</v>
      </c>
      <c r="I11" s="242">
        <f t="shared" si="4"/>
        <v>600</v>
      </c>
      <c r="J11" s="242">
        <f t="shared" si="5"/>
        <v>696</v>
      </c>
      <c r="K11" s="24"/>
      <c r="L11" s="243">
        <v>0</v>
      </c>
      <c r="M11" s="243">
        <f>+$G$11</f>
        <v>5</v>
      </c>
      <c r="N11" s="243">
        <f t="shared" ref="N11:Y11" si="8">+$G$11</f>
        <v>5</v>
      </c>
      <c r="O11" s="243">
        <f t="shared" si="8"/>
        <v>5</v>
      </c>
      <c r="P11" s="243">
        <f t="shared" si="8"/>
        <v>5</v>
      </c>
      <c r="Q11" s="243">
        <f t="shared" si="8"/>
        <v>5</v>
      </c>
      <c r="R11" s="243">
        <f t="shared" si="8"/>
        <v>5</v>
      </c>
      <c r="S11" s="243">
        <f t="shared" si="8"/>
        <v>5</v>
      </c>
      <c r="T11" s="243">
        <f t="shared" si="8"/>
        <v>5</v>
      </c>
      <c r="U11" s="243">
        <f t="shared" si="8"/>
        <v>5</v>
      </c>
      <c r="V11" s="243">
        <f t="shared" si="8"/>
        <v>5</v>
      </c>
      <c r="W11" s="243">
        <f t="shared" si="8"/>
        <v>5</v>
      </c>
      <c r="X11" s="243">
        <f t="shared" si="8"/>
        <v>5</v>
      </c>
      <c r="Y11" s="243">
        <f t="shared" si="8"/>
        <v>5</v>
      </c>
    </row>
    <row r="12" spans="1:27" ht="20" customHeight="1" x14ac:dyDescent="0.45">
      <c r="A12" s="62"/>
      <c r="B12" s="231" t="s">
        <v>117</v>
      </c>
      <c r="C12" s="220" t="s">
        <v>284</v>
      </c>
      <c r="D12" s="220"/>
      <c r="E12" s="220">
        <v>3</v>
      </c>
      <c r="F12" s="242">
        <f t="shared" si="2"/>
        <v>15</v>
      </c>
      <c r="G12" s="261">
        <f t="shared" si="0"/>
        <v>15</v>
      </c>
      <c r="H12" s="242">
        <v>300</v>
      </c>
      <c r="I12" s="242">
        <f t="shared" si="4"/>
        <v>900</v>
      </c>
      <c r="J12" s="242">
        <f t="shared" si="5"/>
        <v>1044</v>
      </c>
      <c r="K12" s="24"/>
      <c r="L12" s="243">
        <v>0</v>
      </c>
      <c r="M12" s="243">
        <f>+$G$12</f>
        <v>15</v>
      </c>
      <c r="N12" s="243">
        <f t="shared" ref="N12:Y12" si="9">+$G$12</f>
        <v>15</v>
      </c>
      <c r="O12" s="243">
        <f t="shared" si="9"/>
        <v>15</v>
      </c>
      <c r="P12" s="243">
        <f t="shared" si="9"/>
        <v>15</v>
      </c>
      <c r="Q12" s="243">
        <f t="shared" si="9"/>
        <v>15</v>
      </c>
      <c r="R12" s="243">
        <f t="shared" si="9"/>
        <v>15</v>
      </c>
      <c r="S12" s="243">
        <f t="shared" si="9"/>
        <v>15</v>
      </c>
      <c r="T12" s="243">
        <f t="shared" si="9"/>
        <v>15</v>
      </c>
      <c r="U12" s="243">
        <f t="shared" si="9"/>
        <v>15</v>
      </c>
      <c r="V12" s="243">
        <f t="shared" si="9"/>
        <v>15</v>
      </c>
      <c r="W12" s="243">
        <f t="shared" si="9"/>
        <v>15</v>
      </c>
      <c r="X12" s="243">
        <f t="shared" si="9"/>
        <v>15</v>
      </c>
      <c r="Y12" s="243">
        <f t="shared" si="9"/>
        <v>15</v>
      </c>
    </row>
    <row r="13" spans="1:27" ht="20" customHeight="1" x14ac:dyDescent="0.45">
      <c r="A13" s="62"/>
      <c r="B13" s="231" t="s">
        <v>117</v>
      </c>
      <c r="C13" s="220" t="s">
        <v>285</v>
      </c>
      <c r="D13" s="220"/>
      <c r="E13" s="220">
        <v>3</v>
      </c>
      <c r="F13" s="242">
        <f t="shared" si="2"/>
        <v>7.5</v>
      </c>
      <c r="G13" s="261">
        <f t="shared" si="0"/>
        <v>7.5</v>
      </c>
      <c r="H13" s="242">
        <v>150</v>
      </c>
      <c r="I13" s="242">
        <f t="shared" si="4"/>
        <v>450</v>
      </c>
      <c r="J13" s="242">
        <f t="shared" si="5"/>
        <v>522</v>
      </c>
      <c r="K13" s="24"/>
      <c r="L13" s="243">
        <v>0</v>
      </c>
      <c r="M13" s="243">
        <f>+$G$13</f>
        <v>7.5</v>
      </c>
      <c r="N13" s="243">
        <f t="shared" ref="N13:Y13" si="10">+$G$13</f>
        <v>7.5</v>
      </c>
      <c r="O13" s="243">
        <f t="shared" si="10"/>
        <v>7.5</v>
      </c>
      <c r="P13" s="243">
        <f t="shared" si="10"/>
        <v>7.5</v>
      </c>
      <c r="Q13" s="243">
        <f t="shared" si="10"/>
        <v>7.5</v>
      </c>
      <c r="R13" s="243">
        <f t="shared" si="10"/>
        <v>7.5</v>
      </c>
      <c r="S13" s="243">
        <f t="shared" si="10"/>
        <v>7.5</v>
      </c>
      <c r="T13" s="243">
        <f t="shared" si="10"/>
        <v>7.5</v>
      </c>
      <c r="U13" s="243">
        <f t="shared" si="10"/>
        <v>7.5</v>
      </c>
      <c r="V13" s="243">
        <f t="shared" si="10"/>
        <v>7.5</v>
      </c>
      <c r="W13" s="243">
        <f t="shared" si="10"/>
        <v>7.5</v>
      </c>
      <c r="X13" s="243">
        <f t="shared" si="10"/>
        <v>7.5</v>
      </c>
      <c r="Y13" s="243">
        <f t="shared" si="10"/>
        <v>7.5</v>
      </c>
    </row>
    <row r="14" spans="1:27" ht="20" customHeight="1" x14ac:dyDescent="0.45">
      <c r="A14" s="62"/>
      <c r="B14" s="231" t="s">
        <v>117</v>
      </c>
      <c r="C14" s="220" t="s">
        <v>296</v>
      </c>
      <c r="D14" s="220"/>
      <c r="E14" s="220">
        <v>3</v>
      </c>
      <c r="F14" s="242">
        <f t="shared" si="2"/>
        <v>15</v>
      </c>
      <c r="G14" s="261">
        <f t="shared" si="0"/>
        <v>15</v>
      </c>
      <c r="H14" s="242">
        <v>300</v>
      </c>
      <c r="I14" s="242">
        <f t="shared" si="4"/>
        <v>900</v>
      </c>
      <c r="J14" s="242">
        <f t="shared" si="5"/>
        <v>1044</v>
      </c>
      <c r="K14" s="24"/>
      <c r="L14" s="243">
        <v>0</v>
      </c>
      <c r="M14" s="243">
        <f>+$G$14</f>
        <v>15</v>
      </c>
      <c r="N14" s="243">
        <f t="shared" ref="N14:Y14" si="11">+$G$14</f>
        <v>15</v>
      </c>
      <c r="O14" s="243">
        <f t="shared" si="11"/>
        <v>15</v>
      </c>
      <c r="P14" s="243">
        <f t="shared" si="11"/>
        <v>15</v>
      </c>
      <c r="Q14" s="243">
        <f t="shared" si="11"/>
        <v>15</v>
      </c>
      <c r="R14" s="243">
        <f t="shared" si="11"/>
        <v>15</v>
      </c>
      <c r="S14" s="243">
        <f t="shared" si="11"/>
        <v>15</v>
      </c>
      <c r="T14" s="243">
        <f t="shared" si="11"/>
        <v>15</v>
      </c>
      <c r="U14" s="243">
        <f t="shared" si="11"/>
        <v>15</v>
      </c>
      <c r="V14" s="243">
        <f t="shared" si="11"/>
        <v>15</v>
      </c>
      <c r="W14" s="243">
        <f t="shared" si="11"/>
        <v>15</v>
      </c>
      <c r="X14" s="243">
        <f t="shared" si="11"/>
        <v>15</v>
      </c>
      <c r="Y14" s="243">
        <f t="shared" si="11"/>
        <v>15</v>
      </c>
    </row>
    <row r="15" spans="1:27" ht="20" customHeight="1" x14ac:dyDescent="0.45">
      <c r="A15" s="62"/>
      <c r="B15" s="68"/>
      <c r="C15" s="69"/>
      <c r="D15" s="4"/>
      <c r="E15" s="70"/>
      <c r="F15" s="45"/>
      <c r="G15" s="71"/>
      <c r="H15" s="54"/>
      <c r="I15" s="54"/>
      <c r="J15" s="71"/>
      <c r="K15" s="24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</row>
    <row r="16" spans="1:27" ht="20" customHeight="1" x14ac:dyDescent="0.45">
      <c r="A16" s="62"/>
      <c r="B16" s="52"/>
      <c r="C16" s="52"/>
      <c r="D16" s="4"/>
      <c r="E16" s="4"/>
      <c r="F16" s="4"/>
      <c r="G16" s="4"/>
      <c r="H16" s="4"/>
      <c r="I16" s="325" t="s">
        <v>402</v>
      </c>
      <c r="J16" s="326"/>
      <c r="K16" s="24"/>
      <c r="L16" s="210">
        <f>SUM(L7:L14)</f>
        <v>0</v>
      </c>
      <c r="M16" s="210">
        <f t="shared" ref="M16:Y16" si="12">SUM(M7:M14)</f>
        <v>82.5</v>
      </c>
      <c r="N16" s="210">
        <f t="shared" si="12"/>
        <v>82.5</v>
      </c>
      <c r="O16" s="210">
        <f t="shared" si="12"/>
        <v>82.5</v>
      </c>
      <c r="P16" s="210">
        <f t="shared" si="12"/>
        <v>82.5</v>
      </c>
      <c r="Q16" s="210">
        <f t="shared" si="12"/>
        <v>82.5</v>
      </c>
      <c r="R16" s="210">
        <f t="shared" si="12"/>
        <v>82.5</v>
      </c>
      <c r="S16" s="210">
        <f t="shared" si="12"/>
        <v>82.5</v>
      </c>
      <c r="T16" s="210">
        <f t="shared" si="12"/>
        <v>82.5</v>
      </c>
      <c r="U16" s="210">
        <f t="shared" si="12"/>
        <v>82.5</v>
      </c>
      <c r="V16" s="210">
        <f t="shared" si="12"/>
        <v>82.5</v>
      </c>
      <c r="W16" s="210">
        <f t="shared" si="12"/>
        <v>82.5</v>
      </c>
      <c r="X16" s="210">
        <f t="shared" si="12"/>
        <v>82.5</v>
      </c>
      <c r="Y16" s="210">
        <f t="shared" si="12"/>
        <v>82.5</v>
      </c>
    </row>
    <row r="17" spans="1:27" ht="20" customHeight="1" x14ac:dyDescent="0.45">
      <c r="A17" s="62"/>
      <c r="B17" s="52"/>
      <c r="C17" s="4"/>
      <c r="D17" s="4"/>
      <c r="E17" s="4"/>
      <c r="F17" s="4"/>
      <c r="G17" s="4"/>
      <c r="H17" s="4"/>
      <c r="I17" s="327" t="s">
        <v>397</v>
      </c>
      <c r="J17" s="328"/>
      <c r="K17" s="24"/>
      <c r="L17" s="211">
        <f>L16*$J$199</f>
        <v>0</v>
      </c>
      <c r="M17" s="211">
        <f>M16*$J$199</f>
        <v>1650</v>
      </c>
      <c r="N17" s="211">
        <f t="shared" ref="N17:Y17" si="13">N16*$J$199</f>
        <v>1650</v>
      </c>
      <c r="O17" s="211">
        <f t="shared" si="13"/>
        <v>1650</v>
      </c>
      <c r="P17" s="211">
        <f t="shared" si="13"/>
        <v>1650</v>
      </c>
      <c r="Q17" s="211">
        <f t="shared" si="13"/>
        <v>1650</v>
      </c>
      <c r="R17" s="211">
        <f t="shared" si="13"/>
        <v>1650</v>
      </c>
      <c r="S17" s="211">
        <f t="shared" si="13"/>
        <v>1650</v>
      </c>
      <c r="T17" s="211">
        <f t="shared" si="13"/>
        <v>1650</v>
      </c>
      <c r="U17" s="211">
        <f t="shared" si="13"/>
        <v>1650</v>
      </c>
      <c r="V17" s="211">
        <f t="shared" si="13"/>
        <v>1650</v>
      </c>
      <c r="W17" s="211">
        <f t="shared" si="13"/>
        <v>1650</v>
      </c>
      <c r="X17" s="211">
        <f t="shared" si="13"/>
        <v>1650</v>
      </c>
      <c r="Y17" s="211">
        <f t="shared" si="13"/>
        <v>1650</v>
      </c>
    </row>
    <row r="18" spans="1:27" ht="20" customHeight="1" x14ac:dyDescent="0.45">
      <c r="A18" s="62"/>
      <c r="B18" s="52"/>
      <c r="C18" s="4"/>
      <c r="D18" s="4"/>
      <c r="E18" s="4"/>
      <c r="F18" s="4"/>
      <c r="G18" s="4"/>
      <c r="H18" s="4"/>
      <c r="I18" s="325" t="s">
        <v>403</v>
      </c>
      <c r="J18" s="326"/>
      <c r="K18" s="24"/>
      <c r="L18" s="210">
        <f>SUM(L16:Y16)</f>
        <v>1072.5</v>
      </c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</row>
    <row r="19" spans="1:27" ht="20" customHeight="1" x14ac:dyDescent="0.45">
      <c r="A19" s="62"/>
      <c r="B19" s="52"/>
      <c r="C19" s="4"/>
      <c r="D19" s="4"/>
      <c r="E19" s="52"/>
      <c r="F19" s="52"/>
      <c r="G19" s="52"/>
      <c r="H19" s="52"/>
      <c r="I19" s="327" t="s">
        <v>256</v>
      </c>
      <c r="J19" s="328"/>
      <c r="K19" s="24"/>
      <c r="L19" s="262">
        <f>SUM(L17:Y17)</f>
        <v>21450</v>
      </c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</row>
    <row r="20" spans="1:27" ht="20" customHeight="1" x14ac:dyDescent="0.35">
      <c r="A20" s="62"/>
      <c r="B20" s="52"/>
      <c r="C20" s="4"/>
      <c r="D20" s="4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spans="1:27" ht="20" customHeight="1" x14ac:dyDescent="0.45">
      <c r="A21" s="62"/>
      <c r="B21" s="52"/>
      <c r="C21" s="4"/>
      <c r="D21" s="4"/>
      <c r="E21" s="52"/>
      <c r="F21" s="358">
        <f>EGRESOS!R26</f>
        <v>750.24950000000001</v>
      </c>
      <c r="G21" s="359" t="s">
        <v>275</v>
      </c>
      <c r="H21" s="359"/>
      <c r="I21" s="356" t="s">
        <v>402</v>
      </c>
      <c r="J21" s="326"/>
      <c r="K21" s="24"/>
      <c r="L21" s="210">
        <f>L16</f>
        <v>0</v>
      </c>
      <c r="M21" s="210">
        <f t="shared" ref="M21:Y21" si="14">M16</f>
        <v>82.5</v>
      </c>
      <c r="N21" s="210">
        <f t="shared" si="14"/>
        <v>82.5</v>
      </c>
      <c r="O21" s="210">
        <f t="shared" si="14"/>
        <v>82.5</v>
      </c>
      <c r="P21" s="210">
        <f t="shared" si="14"/>
        <v>82.5</v>
      </c>
      <c r="Q21" s="210">
        <f t="shared" si="14"/>
        <v>82.5</v>
      </c>
      <c r="R21" s="210">
        <f t="shared" si="14"/>
        <v>82.5</v>
      </c>
      <c r="S21" s="210">
        <f t="shared" si="14"/>
        <v>82.5</v>
      </c>
      <c r="T21" s="210">
        <f t="shared" si="14"/>
        <v>82.5</v>
      </c>
      <c r="U21" s="210">
        <f t="shared" si="14"/>
        <v>82.5</v>
      </c>
      <c r="V21" s="210">
        <f t="shared" si="14"/>
        <v>82.5</v>
      </c>
      <c r="W21" s="210">
        <f t="shared" si="14"/>
        <v>82.5</v>
      </c>
      <c r="X21" s="210">
        <f t="shared" si="14"/>
        <v>82.5</v>
      </c>
      <c r="Y21" s="210">
        <f t="shared" si="14"/>
        <v>82.5</v>
      </c>
    </row>
    <row r="22" spans="1:27" ht="20" customHeight="1" x14ac:dyDescent="0.45">
      <c r="A22" s="62"/>
      <c r="B22" s="52"/>
      <c r="C22" s="4"/>
      <c r="D22" s="4"/>
      <c r="E22" s="52"/>
      <c r="F22" s="359"/>
      <c r="G22" s="359"/>
      <c r="H22" s="359"/>
      <c r="I22" s="357" t="s">
        <v>397</v>
      </c>
      <c r="J22" s="328"/>
      <c r="K22" s="24"/>
      <c r="L22" s="211">
        <f>L21*$J$199</f>
        <v>0</v>
      </c>
      <c r="M22" s="211">
        <f>M21*$J$199</f>
        <v>1650</v>
      </c>
      <c r="N22" s="211">
        <f t="shared" ref="N22" si="15">N21*$J$199</f>
        <v>1650</v>
      </c>
      <c r="O22" s="211">
        <f t="shared" ref="O22" si="16">O21*$J$199</f>
        <v>1650</v>
      </c>
      <c r="P22" s="211">
        <f t="shared" ref="P22" si="17">P21*$J$199</f>
        <v>1650</v>
      </c>
      <c r="Q22" s="211">
        <f t="shared" ref="Q22" si="18">Q21*$J$199</f>
        <v>1650</v>
      </c>
      <c r="R22" s="211">
        <f t="shared" ref="R22" si="19">R21*$J$199</f>
        <v>1650</v>
      </c>
      <c r="S22" s="211">
        <f t="shared" ref="S22" si="20">S21*$J$199</f>
        <v>1650</v>
      </c>
      <c r="T22" s="211">
        <f t="shared" ref="T22" si="21">T21*$J$199</f>
        <v>1650</v>
      </c>
      <c r="U22" s="211">
        <f t="shared" ref="U22" si="22">U21*$J$199</f>
        <v>1650</v>
      </c>
      <c r="V22" s="211">
        <f t="shared" ref="V22" si="23">V21*$J$199</f>
        <v>1650</v>
      </c>
      <c r="W22" s="211">
        <f t="shared" ref="W22" si="24">W21*$J$199</f>
        <v>1650</v>
      </c>
      <c r="X22" s="211">
        <f t="shared" ref="X22" si="25">X21*$J$199</f>
        <v>1650</v>
      </c>
      <c r="Y22" s="211">
        <f t="shared" ref="Y22" si="26">Y21*$J$199</f>
        <v>1650</v>
      </c>
    </row>
    <row r="23" spans="1:27" ht="20" customHeight="1" x14ac:dyDescent="0.45">
      <c r="A23" s="62"/>
      <c r="B23" s="52"/>
      <c r="C23" s="4"/>
      <c r="D23" s="4"/>
      <c r="E23" s="52"/>
      <c r="F23" s="359"/>
      <c r="G23" s="359"/>
      <c r="H23" s="359"/>
      <c r="I23" s="356" t="s">
        <v>403</v>
      </c>
      <c r="J23" s="326"/>
      <c r="K23" s="24"/>
      <c r="L23" s="210">
        <f>SUM(L21:Y21)</f>
        <v>1072.5</v>
      </c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</row>
    <row r="24" spans="1:27" ht="20" customHeight="1" x14ac:dyDescent="0.45">
      <c r="A24" s="62"/>
      <c r="B24" s="52"/>
      <c r="C24" s="4"/>
      <c r="D24" s="52"/>
      <c r="E24" s="52"/>
      <c r="F24" s="359"/>
      <c r="G24" s="359"/>
      <c r="H24" s="359"/>
      <c r="I24" s="357" t="s">
        <v>256</v>
      </c>
      <c r="J24" s="328"/>
      <c r="K24" s="24"/>
      <c r="L24" s="262">
        <f>SUM(L22:Y22)</f>
        <v>21450</v>
      </c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</row>
    <row r="25" spans="1:27" ht="20" customHeight="1" x14ac:dyDescent="0.35">
      <c r="A25" s="62"/>
      <c r="B25" s="52"/>
      <c r="C25" s="4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</row>
    <row r="26" spans="1:27" ht="20" customHeight="1" x14ac:dyDescent="0.45">
      <c r="A26" s="62"/>
      <c r="B26" s="52"/>
      <c r="C26" s="4"/>
      <c r="D26" s="52"/>
      <c r="E26" s="52"/>
      <c r="F26" s="52"/>
      <c r="G26" s="52"/>
      <c r="H26" s="52"/>
      <c r="I26" s="52"/>
      <c r="J26" s="52"/>
      <c r="K26" s="24"/>
      <c r="L26" s="10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</row>
    <row r="27" spans="1:27" ht="20" customHeight="1" x14ac:dyDescent="0.45">
      <c r="A27" s="62"/>
      <c r="B27" s="355" t="s">
        <v>85</v>
      </c>
      <c r="C27" s="355"/>
      <c r="D27" s="355"/>
      <c r="E27" s="355"/>
      <c r="F27" s="355"/>
      <c r="G27" s="355"/>
      <c r="H27" s="355"/>
      <c r="I27" s="355"/>
      <c r="J27" s="355"/>
      <c r="K27" s="24"/>
      <c r="Z27" s="2"/>
      <c r="AA27" s="2"/>
    </row>
    <row r="28" spans="1:27" ht="20" customHeight="1" x14ac:dyDescent="0.45">
      <c r="A28" s="62"/>
      <c r="B28" s="352" t="s">
        <v>407</v>
      </c>
      <c r="C28" s="352" t="s">
        <v>408</v>
      </c>
      <c r="D28" s="352" t="s">
        <v>23</v>
      </c>
      <c r="E28" s="352" t="s">
        <v>244</v>
      </c>
      <c r="F28" s="352" t="s">
        <v>239</v>
      </c>
      <c r="G28" s="352" t="s">
        <v>344</v>
      </c>
      <c r="H28" s="352" t="s">
        <v>240</v>
      </c>
      <c r="I28" s="352" t="s">
        <v>256</v>
      </c>
      <c r="J28" s="353" t="s">
        <v>398</v>
      </c>
      <c r="K28" s="24"/>
      <c r="L28" s="169" t="s">
        <v>74</v>
      </c>
      <c r="M28" s="170" t="s">
        <v>356</v>
      </c>
      <c r="N28" s="170" t="s">
        <v>357</v>
      </c>
      <c r="O28" s="170" t="s">
        <v>358</v>
      </c>
      <c r="P28" s="170" t="s">
        <v>359</v>
      </c>
      <c r="Q28" s="170" t="s">
        <v>360</v>
      </c>
      <c r="R28" s="170" t="s">
        <v>361</v>
      </c>
      <c r="S28" s="170" t="s">
        <v>362</v>
      </c>
      <c r="T28" s="170" t="s">
        <v>363</v>
      </c>
      <c r="U28" s="170" t="s">
        <v>364</v>
      </c>
      <c r="V28" s="170" t="s">
        <v>365</v>
      </c>
      <c r="W28" s="170" t="s">
        <v>366</v>
      </c>
      <c r="X28" s="170" t="s">
        <v>367</v>
      </c>
      <c r="Y28" s="170" t="s">
        <v>368</v>
      </c>
      <c r="Z28" s="2"/>
      <c r="AA28" s="2"/>
    </row>
    <row r="29" spans="1:27" ht="20" customHeight="1" x14ac:dyDescent="0.45">
      <c r="A29" s="62"/>
      <c r="B29" s="336"/>
      <c r="C29" s="336"/>
      <c r="D29" s="336"/>
      <c r="E29" s="336" t="s">
        <v>244</v>
      </c>
      <c r="F29" s="336"/>
      <c r="G29" s="336" t="s">
        <v>344</v>
      </c>
      <c r="H29" s="336" t="s">
        <v>240</v>
      </c>
      <c r="I29" s="336" t="s">
        <v>256</v>
      </c>
      <c r="J29" s="354"/>
      <c r="K29" s="24"/>
      <c r="L29" s="171" t="s">
        <v>251</v>
      </c>
      <c r="M29" s="172" t="s">
        <v>339</v>
      </c>
      <c r="N29" s="172" t="s">
        <v>340</v>
      </c>
      <c r="O29" s="172" t="s">
        <v>341</v>
      </c>
      <c r="P29" s="172" t="s">
        <v>330</v>
      </c>
      <c r="Q29" s="172" t="s">
        <v>331</v>
      </c>
      <c r="R29" s="172" t="s">
        <v>332</v>
      </c>
      <c r="S29" s="172" t="s">
        <v>333</v>
      </c>
      <c r="T29" s="172" t="s">
        <v>334</v>
      </c>
      <c r="U29" s="172" t="s">
        <v>335</v>
      </c>
      <c r="V29" s="172" t="s">
        <v>336</v>
      </c>
      <c r="W29" s="172" t="s">
        <v>337</v>
      </c>
      <c r="X29" s="172" t="s">
        <v>338</v>
      </c>
      <c r="Y29" s="172" t="s">
        <v>339</v>
      </c>
      <c r="Z29" s="2"/>
      <c r="AA29" s="2"/>
    </row>
    <row r="30" spans="1:27" ht="20" customHeight="1" x14ac:dyDescent="0.45">
      <c r="A30" s="62"/>
      <c r="B30" s="337"/>
      <c r="C30" s="337"/>
      <c r="D30" s="337"/>
      <c r="E30" s="337"/>
      <c r="F30" s="337"/>
      <c r="G30" s="337" t="s">
        <v>242</v>
      </c>
      <c r="H30" s="337" t="s">
        <v>243</v>
      </c>
      <c r="I30" s="337" t="s">
        <v>243</v>
      </c>
      <c r="J30" s="229" t="s">
        <v>399</v>
      </c>
      <c r="K30" s="24"/>
      <c r="L30" s="207" t="s">
        <v>251</v>
      </c>
      <c r="M30" s="208">
        <v>31</v>
      </c>
      <c r="N30" s="208">
        <v>28</v>
      </c>
      <c r="O30" s="208">
        <v>31</v>
      </c>
      <c r="P30" s="208">
        <v>30</v>
      </c>
      <c r="Q30" s="208">
        <v>31</v>
      </c>
      <c r="R30" s="208">
        <v>30</v>
      </c>
      <c r="S30" s="208">
        <v>31</v>
      </c>
      <c r="T30" s="208">
        <v>31</v>
      </c>
      <c r="U30" s="208">
        <v>30</v>
      </c>
      <c r="V30" s="208">
        <v>31</v>
      </c>
      <c r="W30" s="208">
        <v>30</v>
      </c>
      <c r="X30" s="208">
        <v>31</v>
      </c>
      <c r="Y30" s="208">
        <v>31</v>
      </c>
      <c r="Z30" s="2"/>
      <c r="AA30" s="2"/>
    </row>
    <row r="31" spans="1:27" ht="20" customHeight="1" x14ac:dyDescent="0.45">
      <c r="A31" s="62"/>
      <c r="B31" s="231" t="s">
        <v>85</v>
      </c>
      <c r="C31" s="220" t="s">
        <v>434</v>
      </c>
      <c r="D31" s="220"/>
      <c r="E31" s="220">
        <v>1</v>
      </c>
      <c r="F31" s="242">
        <f>+H31/$J$199</f>
        <v>26.256499999999999</v>
      </c>
      <c r="G31" s="261">
        <f t="shared" ref="G31:G36" si="27">F31</f>
        <v>26.256499999999999</v>
      </c>
      <c r="H31" s="242">
        <v>525.13</v>
      </c>
      <c r="I31" s="242">
        <f>(E31*H31)</f>
        <v>525.13</v>
      </c>
      <c r="J31" s="242">
        <f>I31*1.16</f>
        <v>609.1508</v>
      </c>
      <c r="K31" s="24"/>
      <c r="L31" s="243">
        <v>0</v>
      </c>
      <c r="M31" s="243">
        <f>+$G$31</f>
        <v>26.256499999999999</v>
      </c>
      <c r="N31" s="243">
        <f t="shared" ref="N31:Y31" si="28">+$G$31</f>
        <v>26.256499999999999</v>
      </c>
      <c r="O31" s="243">
        <f t="shared" si="28"/>
        <v>26.256499999999999</v>
      </c>
      <c r="P31" s="243">
        <f t="shared" si="28"/>
        <v>26.256499999999999</v>
      </c>
      <c r="Q31" s="243">
        <f t="shared" si="28"/>
        <v>26.256499999999999</v>
      </c>
      <c r="R31" s="243">
        <f t="shared" si="28"/>
        <v>26.256499999999999</v>
      </c>
      <c r="S31" s="243">
        <f t="shared" si="28"/>
        <v>26.256499999999999</v>
      </c>
      <c r="T31" s="243">
        <f t="shared" si="28"/>
        <v>26.256499999999999</v>
      </c>
      <c r="U31" s="243">
        <f t="shared" si="28"/>
        <v>26.256499999999999</v>
      </c>
      <c r="V31" s="243">
        <f t="shared" si="28"/>
        <v>26.256499999999999</v>
      </c>
      <c r="W31" s="243">
        <f t="shared" si="28"/>
        <v>26.256499999999999</v>
      </c>
      <c r="X31" s="243">
        <f t="shared" si="28"/>
        <v>26.256499999999999</v>
      </c>
      <c r="Y31" s="243">
        <f t="shared" si="28"/>
        <v>26.256499999999999</v>
      </c>
    </row>
    <row r="32" spans="1:27" ht="20" customHeight="1" x14ac:dyDescent="0.45">
      <c r="A32" s="62"/>
      <c r="B32" s="231" t="s">
        <v>85</v>
      </c>
      <c r="C32" s="220" t="s">
        <v>435</v>
      </c>
      <c r="D32" s="220"/>
      <c r="E32" s="220">
        <v>1</v>
      </c>
      <c r="F32" s="242">
        <f t="shared" ref="F32:F33" si="29">+H32/$J$199</f>
        <v>6.4550000000000001</v>
      </c>
      <c r="G32" s="261">
        <f t="shared" si="27"/>
        <v>6.4550000000000001</v>
      </c>
      <c r="H32" s="242">
        <v>129.1</v>
      </c>
      <c r="I32" s="242">
        <f>(E32*H32)</f>
        <v>129.1</v>
      </c>
      <c r="J32" s="242">
        <f>I32*1.16</f>
        <v>149.75599999999997</v>
      </c>
      <c r="K32" s="24"/>
      <c r="L32" s="243">
        <v>0</v>
      </c>
      <c r="M32" s="243">
        <f>+$G$32</f>
        <v>6.4550000000000001</v>
      </c>
      <c r="N32" s="243">
        <f t="shared" ref="N32:Y32" si="30">+$G$32</f>
        <v>6.4550000000000001</v>
      </c>
      <c r="O32" s="243">
        <f t="shared" si="30"/>
        <v>6.4550000000000001</v>
      </c>
      <c r="P32" s="243">
        <f t="shared" si="30"/>
        <v>6.4550000000000001</v>
      </c>
      <c r="Q32" s="243">
        <f t="shared" si="30"/>
        <v>6.4550000000000001</v>
      </c>
      <c r="R32" s="243">
        <f t="shared" si="30"/>
        <v>6.4550000000000001</v>
      </c>
      <c r="S32" s="243">
        <f t="shared" si="30"/>
        <v>6.4550000000000001</v>
      </c>
      <c r="T32" s="243">
        <f t="shared" si="30"/>
        <v>6.4550000000000001</v>
      </c>
      <c r="U32" s="243">
        <f t="shared" si="30"/>
        <v>6.4550000000000001</v>
      </c>
      <c r="V32" s="243">
        <f t="shared" si="30"/>
        <v>6.4550000000000001</v>
      </c>
      <c r="W32" s="243">
        <f t="shared" si="30"/>
        <v>6.4550000000000001</v>
      </c>
      <c r="X32" s="243">
        <f t="shared" si="30"/>
        <v>6.4550000000000001</v>
      </c>
      <c r="Y32" s="243">
        <f t="shared" si="30"/>
        <v>6.4550000000000001</v>
      </c>
    </row>
    <row r="33" spans="1:37" ht="20" customHeight="1" x14ac:dyDescent="0.45">
      <c r="A33" s="62"/>
      <c r="B33" s="231" t="s">
        <v>85</v>
      </c>
      <c r="C33" s="220" t="s">
        <v>436</v>
      </c>
      <c r="D33" s="220"/>
      <c r="E33" s="220">
        <v>1</v>
      </c>
      <c r="F33" s="242">
        <f t="shared" si="29"/>
        <v>25</v>
      </c>
      <c r="G33" s="261">
        <f t="shared" si="27"/>
        <v>25</v>
      </c>
      <c r="H33" s="242">
        <v>500</v>
      </c>
      <c r="I33" s="242">
        <f t="shared" ref="I33:I36" si="31">(E33*H33)</f>
        <v>500</v>
      </c>
      <c r="J33" s="242">
        <f t="shared" ref="J33:J36" si="32">I33*1.16</f>
        <v>580</v>
      </c>
      <c r="K33" s="24"/>
      <c r="L33" s="243">
        <v>0</v>
      </c>
      <c r="M33" s="243">
        <f>+$G$33</f>
        <v>25</v>
      </c>
      <c r="N33" s="243">
        <f t="shared" ref="N33:Y33" si="33">+$G$33</f>
        <v>25</v>
      </c>
      <c r="O33" s="243">
        <f t="shared" si="33"/>
        <v>25</v>
      </c>
      <c r="P33" s="243">
        <f t="shared" si="33"/>
        <v>25</v>
      </c>
      <c r="Q33" s="243">
        <f t="shared" si="33"/>
        <v>25</v>
      </c>
      <c r="R33" s="243">
        <f t="shared" si="33"/>
        <v>25</v>
      </c>
      <c r="S33" s="243">
        <f t="shared" si="33"/>
        <v>25</v>
      </c>
      <c r="T33" s="243">
        <f t="shared" si="33"/>
        <v>25</v>
      </c>
      <c r="U33" s="243">
        <f t="shared" si="33"/>
        <v>25</v>
      </c>
      <c r="V33" s="243">
        <f t="shared" si="33"/>
        <v>25</v>
      </c>
      <c r="W33" s="243">
        <f t="shared" si="33"/>
        <v>25</v>
      </c>
      <c r="X33" s="243">
        <f t="shared" si="33"/>
        <v>25</v>
      </c>
      <c r="Y33" s="243">
        <f t="shared" si="33"/>
        <v>25</v>
      </c>
    </row>
    <row r="34" spans="1:37" ht="20" customHeight="1" x14ac:dyDescent="0.45">
      <c r="A34" s="62"/>
      <c r="B34" s="231" t="s">
        <v>85</v>
      </c>
      <c r="C34" s="220"/>
      <c r="D34" s="220"/>
      <c r="E34" s="220">
        <v>1</v>
      </c>
      <c r="F34" s="242">
        <f t="shared" ref="F34:F36" si="34">+H34/$J$199</f>
        <v>0</v>
      </c>
      <c r="G34" s="261">
        <f t="shared" si="27"/>
        <v>0</v>
      </c>
      <c r="H34" s="242">
        <v>0</v>
      </c>
      <c r="I34" s="242">
        <f t="shared" si="31"/>
        <v>0</v>
      </c>
      <c r="J34" s="242">
        <f t="shared" si="32"/>
        <v>0</v>
      </c>
      <c r="K34" s="24"/>
      <c r="L34" s="243">
        <v>0</v>
      </c>
      <c r="M34" s="243">
        <f>+$G$34</f>
        <v>0</v>
      </c>
      <c r="N34" s="243">
        <f t="shared" ref="N34:Y34" si="35">+$G$34</f>
        <v>0</v>
      </c>
      <c r="O34" s="243">
        <f t="shared" si="35"/>
        <v>0</v>
      </c>
      <c r="P34" s="243">
        <f t="shared" si="35"/>
        <v>0</v>
      </c>
      <c r="Q34" s="243">
        <f t="shared" si="35"/>
        <v>0</v>
      </c>
      <c r="R34" s="243">
        <f t="shared" si="35"/>
        <v>0</v>
      </c>
      <c r="S34" s="243">
        <f t="shared" si="35"/>
        <v>0</v>
      </c>
      <c r="T34" s="243">
        <f t="shared" si="35"/>
        <v>0</v>
      </c>
      <c r="U34" s="243">
        <f t="shared" si="35"/>
        <v>0</v>
      </c>
      <c r="V34" s="243">
        <f t="shared" si="35"/>
        <v>0</v>
      </c>
      <c r="W34" s="243">
        <f t="shared" si="35"/>
        <v>0</v>
      </c>
      <c r="X34" s="243">
        <f t="shared" si="35"/>
        <v>0</v>
      </c>
      <c r="Y34" s="243">
        <f t="shared" si="35"/>
        <v>0</v>
      </c>
    </row>
    <row r="35" spans="1:37" ht="20" customHeight="1" x14ac:dyDescent="0.45">
      <c r="A35" s="62"/>
      <c r="B35" s="231" t="s">
        <v>85</v>
      </c>
      <c r="C35" s="220"/>
      <c r="D35" s="220"/>
      <c r="E35" s="220">
        <v>1</v>
      </c>
      <c r="F35" s="242">
        <f t="shared" si="34"/>
        <v>0</v>
      </c>
      <c r="G35" s="261">
        <f t="shared" si="27"/>
        <v>0</v>
      </c>
      <c r="H35" s="242">
        <v>0</v>
      </c>
      <c r="I35" s="242">
        <f t="shared" si="31"/>
        <v>0</v>
      </c>
      <c r="J35" s="242">
        <f t="shared" si="32"/>
        <v>0</v>
      </c>
      <c r="K35" s="24"/>
      <c r="L35" s="243">
        <v>0</v>
      </c>
      <c r="M35" s="243">
        <f>+$G$35</f>
        <v>0</v>
      </c>
      <c r="N35" s="243">
        <f t="shared" ref="N35:Y35" si="36">+$G$35</f>
        <v>0</v>
      </c>
      <c r="O35" s="243">
        <f t="shared" si="36"/>
        <v>0</v>
      </c>
      <c r="P35" s="243">
        <f t="shared" si="36"/>
        <v>0</v>
      </c>
      <c r="Q35" s="243">
        <f t="shared" si="36"/>
        <v>0</v>
      </c>
      <c r="R35" s="243">
        <f t="shared" si="36"/>
        <v>0</v>
      </c>
      <c r="S35" s="243">
        <f t="shared" si="36"/>
        <v>0</v>
      </c>
      <c r="T35" s="243">
        <f t="shared" si="36"/>
        <v>0</v>
      </c>
      <c r="U35" s="243">
        <f t="shared" si="36"/>
        <v>0</v>
      </c>
      <c r="V35" s="243">
        <f t="shared" si="36"/>
        <v>0</v>
      </c>
      <c r="W35" s="243">
        <f t="shared" si="36"/>
        <v>0</v>
      </c>
      <c r="X35" s="243">
        <f t="shared" si="36"/>
        <v>0</v>
      </c>
      <c r="Y35" s="243">
        <f t="shared" si="36"/>
        <v>0</v>
      </c>
    </row>
    <row r="36" spans="1:37" ht="20" customHeight="1" x14ac:dyDescent="0.45">
      <c r="A36" s="62"/>
      <c r="B36" s="231" t="s">
        <v>85</v>
      </c>
      <c r="C36" s="220"/>
      <c r="D36" s="220"/>
      <c r="E36" s="220">
        <v>1</v>
      </c>
      <c r="F36" s="242">
        <f t="shared" si="34"/>
        <v>0</v>
      </c>
      <c r="G36" s="261">
        <f t="shared" si="27"/>
        <v>0</v>
      </c>
      <c r="H36" s="242">
        <v>0</v>
      </c>
      <c r="I36" s="242">
        <f t="shared" si="31"/>
        <v>0</v>
      </c>
      <c r="J36" s="242">
        <f t="shared" si="32"/>
        <v>0</v>
      </c>
      <c r="K36" s="24"/>
      <c r="L36" s="243">
        <v>0</v>
      </c>
      <c r="M36" s="243">
        <f>+$G$36</f>
        <v>0</v>
      </c>
      <c r="N36" s="243">
        <f t="shared" ref="N36:Y36" si="37">+$G$36</f>
        <v>0</v>
      </c>
      <c r="O36" s="243">
        <f t="shared" si="37"/>
        <v>0</v>
      </c>
      <c r="P36" s="243">
        <f t="shared" si="37"/>
        <v>0</v>
      </c>
      <c r="Q36" s="243">
        <f t="shared" si="37"/>
        <v>0</v>
      </c>
      <c r="R36" s="243">
        <f t="shared" si="37"/>
        <v>0</v>
      </c>
      <c r="S36" s="243">
        <f t="shared" si="37"/>
        <v>0</v>
      </c>
      <c r="T36" s="243">
        <f t="shared" si="37"/>
        <v>0</v>
      </c>
      <c r="U36" s="243">
        <f t="shared" si="37"/>
        <v>0</v>
      </c>
      <c r="V36" s="243">
        <f t="shared" si="37"/>
        <v>0</v>
      </c>
      <c r="W36" s="243">
        <f t="shared" si="37"/>
        <v>0</v>
      </c>
      <c r="X36" s="243">
        <f t="shared" si="37"/>
        <v>0</v>
      </c>
      <c r="Y36" s="243">
        <f t="shared" si="37"/>
        <v>0</v>
      </c>
    </row>
    <row r="37" spans="1:37" ht="20" customHeight="1" x14ac:dyDescent="0.45">
      <c r="A37" s="62"/>
      <c r="B37" s="46"/>
      <c r="C37" s="73"/>
      <c r="D37" s="46"/>
      <c r="E37" s="49"/>
      <c r="F37" s="53"/>
      <c r="G37" s="4"/>
      <c r="H37" s="4"/>
      <c r="I37" s="4"/>
      <c r="J37" s="74"/>
      <c r="K37" s="24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37" ht="20" customHeight="1" x14ac:dyDescent="0.45">
      <c r="A38" s="62"/>
      <c r="B38" s="4"/>
      <c r="C38" s="4"/>
      <c r="D38" s="46"/>
      <c r="E38" s="4"/>
      <c r="F38" s="4"/>
      <c r="G38" s="4"/>
      <c r="H38" s="4"/>
      <c r="I38" s="325" t="s">
        <v>402</v>
      </c>
      <c r="J38" s="326"/>
      <c r="K38" s="24"/>
      <c r="L38" s="210">
        <f t="shared" ref="L38:W38" si="38">SUM(L31:L36)</f>
        <v>0</v>
      </c>
      <c r="M38" s="210">
        <f t="shared" si="38"/>
        <v>57.711500000000001</v>
      </c>
      <c r="N38" s="210">
        <f t="shared" si="38"/>
        <v>57.711500000000001</v>
      </c>
      <c r="O38" s="210">
        <f t="shared" si="38"/>
        <v>57.711500000000001</v>
      </c>
      <c r="P38" s="210">
        <f t="shared" si="38"/>
        <v>57.711500000000001</v>
      </c>
      <c r="Q38" s="210">
        <f t="shared" si="38"/>
        <v>57.711500000000001</v>
      </c>
      <c r="R38" s="210">
        <f t="shared" si="38"/>
        <v>57.711500000000001</v>
      </c>
      <c r="S38" s="210">
        <f t="shared" si="38"/>
        <v>57.711500000000001</v>
      </c>
      <c r="T38" s="210">
        <f t="shared" si="38"/>
        <v>57.711500000000001</v>
      </c>
      <c r="U38" s="210">
        <f t="shared" si="38"/>
        <v>57.711500000000001</v>
      </c>
      <c r="V38" s="210">
        <f t="shared" si="38"/>
        <v>57.711500000000001</v>
      </c>
      <c r="W38" s="210">
        <f t="shared" si="38"/>
        <v>57.711500000000001</v>
      </c>
      <c r="X38" s="210">
        <f>SUM(X31:X36)</f>
        <v>57.711500000000001</v>
      </c>
      <c r="Y38" s="210">
        <f>SUM(Y31:Y36)</f>
        <v>57.711500000000001</v>
      </c>
    </row>
    <row r="39" spans="1:37" ht="20" customHeight="1" x14ac:dyDescent="0.45">
      <c r="A39" s="62"/>
      <c r="B39" s="4"/>
      <c r="C39" s="4"/>
      <c r="D39" s="46"/>
      <c r="E39" s="4"/>
      <c r="F39" s="4"/>
      <c r="G39" s="4"/>
      <c r="H39" s="4"/>
      <c r="I39" s="327" t="s">
        <v>397</v>
      </c>
      <c r="J39" s="328"/>
      <c r="K39" s="24"/>
      <c r="L39" s="211">
        <f>L38*$J$199</f>
        <v>0</v>
      </c>
      <c r="M39" s="211">
        <f>M38*$J$199</f>
        <v>1154.23</v>
      </c>
      <c r="N39" s="211">
        <f t="shared" ref="N39" si="39">N38*$J$199</f>
        <v>1154.23</v>
      </c>
      <c r="O39" s="211">
        <f t="shared" ref="O39" si="40">O38*$J$199</f>
        <v>1154.23</v>
      </c>
      <c r="P39" s="211">
        <f t="shared" ref="P39" si="41">P38*$J$199</f>
        <v>1154.23</v>
      </c>
      <c r="Q39" s="211">
        <f t="shared" ref="Q39" si="42">Q38*$J$199</f>
        <v>1154.23</v>
      </c>
      <c r="R39" s="211">
        <f t="shared" ref="R39" si="43">R38*$J$199</f>
        <v>1154.23</v>
      </c>
      <c r="S39" s="211">
        <f t="shared" ref="S39" si="44">S38*$J$199</f>
        <v>1154.23</v>
      </c>
      <c r="T39" s="211">
        <f t="shared" ref="T39" si="45">T38*$J$199</f>
        <v>1154.23</v>
      </c>
      <c r="U39" s="211">
        <f t="shared" ref="U39" si="46">U38*$J$199</f>
        <v>1154.23</v>
      </c>
      <c r="V39" s="211">
        <f t="shared" ref="V39" si="47">V38*$J$199</f>
        <v>1154.23</v>
      </c>
      <c r="W39" s="211">
        <f t="shared" ref="W39" si="48">W38*$J$199</f>
        <v>1154.23</v>
      </c>
      <c r="X39" s="211">
        <f t="shared" ref="X39" si="49">X38*$J$199</f>
        <v>1154.23</v>
      </c>
      <c r="Y39" s="211">
        <f t="shared" ref="Y39" si="50">Y38*$J$199</f>
        <v>1154.23</v>
      </c>
    </row>
    <row r="40" spans="1:37" ht="20" customHeight="1" x14ac:dyDescent="0.45">
      <c r="A40" s="62"/>
      <c r="B40" s="52"/>
      <c r="C40" s="52"/>
      <c r="D40" s="46"/>
      <c r="E40" s="52"/>
      <c r="F40" s="52"/>
      <c r="G40" s="52"/>
      <c r="H40" s="52"/>
      <c r="I40" s="325" t="s">
        <v>403</v>
      </c>
      <c r="J40" s="326"/>
      <c r="K40" s="24"/>
      <c r="L40" s="210">
        <f>SUM(L38:Y38)</f>
        <v>750.24950000000001</v>
      </c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</row>
    <row r="41" spans="1:37" ht="20" customHeight="1" x14ac:dyDescent="0.45">
      <c r="A41" s="62"/>
      <c r="B41" s="52"/>
      <c r="C41" s="52"/>
      <c r="D41" s="46"/>
      <c r="E41" s="52"/>
      <c r="F41" s="52"/>
      <c r="G41" s="52"/>
      <c r="H41" s="52"/>
      <c r="I41" s="327" t="s">
        <v>256</v>
      </c>
      <c r="J41" s="328"/>
      <c r="K41" s="24"/>
      <c r="L41" s="262">
        <f>SUM(L39:Y39)</f>
        <v>15004.989999999996</v>
      </c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20" customHeight="1" x14ac:dyDescent="0.45">
      <c r="A42" s="62"/>
      <c r="B42" s="52"/>
      <c r="C42" s="52"/>
      <c r="D42" s="46"/>
      <c r="E42" s="52"/>
      <c r="F42" s="52"/>
      <c r="G42" s="52"/>
      <c r="H42" s="52"/>
      <c r="I42" s="52"/>
      <c r="J42" s="52"/>
      <c r="K42" s="24"/>
      <c r="L42" s="10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20" customHeight="1" x14ac:dyDescent="0.45">
      <c r="A43" s="62"/>
      <c r="B43" s="52"/>
      <c r="C43" s="52"/>
      <c r="D43" s="46"/>
      <c r="E43" s="52"/>
      <c r="F43" s="358">
        <f>SERVICIO!B32</f>
        <v>750.24950000000001</v>
      </c>
      <c r="G43" s="359" t="s">
        <v>275</v>
      </c>
      <c r="H43" s="359"/>
      <c r="I43" s="325" t="s">
        <v>402</v>
      </c>
      <c r="J43" s="326"/>
      <c r="K43" s="24"/>
      <c r="L43" s="210">
        <f>L38</f>
        <v>0</v>
      </c>
      <c r="M43" s="210">
        <f t="shared" ref="M43:Y43" si="51">M38</f>
        <v>57.711500000000001</v>
      </c>
      <c r="N43" s="210">
        <f t="shared" si="51"/>
        <v>57.711500000000001</v>
      </c>
      <c r="O43" s="210">
        <f t="shared" si="51"/>
        <v>57.711500000000001</v>
      </c>
      <c r="P43" s="210">
        <f t="shared" si="51"/>
        <v>57.711500000000001</v>
      </c>
      <c r="Q43" s="210">
        <f t="shared" si="51"/>
        <v>57.711500000000001</v>
      </c>
      <c r="R43" s="210">
        <f t="shared" si="51"/>
        <v>57.711500000000001</v>
      </c>
      <c r="S43" s="210">
        <f t="shared" si="51"/>
        <v>57.711500000000001</v>
      </c>
      <c r="T43" s="210">
        <f t="shared" si="51"/>
        <v>57.711500000000001</v>
      </c>
      <c r="U43" s="210">
        <f t="shared" si="51"/>
        <v>57.711500000000001</v>
      </c>
      <c r="V43" s="210">
        <f t="shared" si="51"/>
        <v>57.711500000000001</v>
      </c>
      <c r="W43" s="210">
        <f t="shared" si="51"/>
        <v>57.711500000000001</v>
      </c>
      <c r="X43" s="210">
        <f t="shared" si="51"/>
        <v>57.711500000000001</v>
      </c>
      <c r="Y43" s="210">
        <f t="shared" si="51"/>
        <v>57.711500000000001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20" customHeight="1" x14ac:dyDescent="0.45">
      <c r="A44" s="62"/>
      <c r="B44" s="52"/>
      <c r="C44" s="52"/>
      <c r="D44" s="52"/>
      <c r="E44" s="52"/>
      <c r="F44" s="359"/>
      <c r="G44" s="359"/>
      <c r="H44" s="359"/>
      <c r="I44" s="327" t="s">
        <v>397</v>
      </c>
      <c r="J44" s="328"/>
      <c r="K44" s="24"/>
      <c r="L44" s="211">
        <f>L43*$J$199</f>
        <v>0</v>
      </c>
      <c r="M44" s="211">
        <f>M43*$J$199</f>
        <v>1154.23</v>
      </c>
      <c r="N44" s="211">
        <f t="shared" ref="N44" si="52">N43*$J$199</f>
        <v>1154.23</v>
      </c>
      <c r="O44" s="211">
        <f t="shared" ref="O44" si="53">O43*$J$199</f>
        <v>1154.23</v>
      </c>
      <c r="P44" s="211">
        <f t="shared" ref="P44" si="54">P43*$J$199</f>
        <v>1154.23</v>
      </c>
      <c r="Q44" s="211">
        <f t="shared" ref="Q44" si="55">Q43*$J$199</f>
        <v>1154.23</v>
      </c>
      <c r="R44" s="211">
        <f t="shared" ref="R44" si="56">R43*$J$199</f>
        <v>1154.23</v>
      </c>
      <c r="S44" s="211">
        <f t="shared" ref="S44" si="57">S43*$J$199</f>
        <v>1154.23</v>
      </c>
      <c r="T44" s="211">
        <f t="shared" ref="T44" si="58">T43*$J$199</f>
        <v>1154.23</v>
      </c>
      <c r="U44" s="211">
        <f t="shared" ref="U44" si="59">U43*$J$199</f>
        <v>1154.23</v>
      </c>
      <c r="V44" s="211">
        <f t="shared" ref="V44" si="60">V43*$J$199</f>
        <v>1154.23</v>
      </c>
      <c r="W44" s="211">
        <f t="shared" ref="W44" si="61">W43*$J$199</f>
        <v>1154.23</v>
      </c>
      <c r="X44" s="211">
        <f t="shared" ref="X44" si="62">X43*$J$199</f>
        <v>1154.23</v>
      </c>
      <c r="Y44" s="211">
        <f t="shared" ref="Y44" si="63">Y43*$J$199</f>
        <v>1154.23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20" customHeight="1" x14ac:dyDescent="0.45">
      <c r="A45" s="62"/>
      <c r="B45" s="52"/>
      <c r="C45" s="52"/>
      <c r="D45" s="52"/>
      <c r="E45" s="52"/>
      <c r="F45" s="359"/>
      <c r="G45" s="359"/>
      <c r="H45" s="359"/>
      <c r="I45" s="325" t="s">
        <v>403</v>
      </c>
      <c r="J45" s="326"/>
      <c r="K45" s="24"/>
      <c r="L45" s="210">
        <f>SUM(L43:Y43)</f>
        <v>750.24950000000001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20" customHeight="1" x14ac:dyDescent="0.45">
      <c r="A46" s="62"/>
      <c r="B46" s="52"/>
      <c r="C46" s="52"/>
      <c r="D46" s="52"/>
      <c r="E46" s="52"/>
      <c r="F46" s="359"/>
      <c r="G46" s="359"/>
      <c r="H46" s="359"/>
      <c r="I46" s="327" t="s">
        <v>256</v>
      </c>
      <c r="J46" s="328"/>
      <c r="K46" s="24"/>
      <c r="L46" s="262">
        <f>SUM(L44:Y44)</f>
        <v>15004.989999999996</v>
      </c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20" customHeight="1" x14ac:dyDescent="0.45">
      <c r="A47" s="62"/>
      <c r="B47" s="52"/>
      <c r="C47" s="52"/>
      <c r="D47" s="52"/>
      <c r="E47" s="52"/>
      <c r="F47" s="52"/>
      <c r="G47" s="52"/>
      <c r="H47" s="52"/>
      <c r="I47" s="52"/>
      <c r="J47" s="52"/>
      <c r="K47" s="24"/>
      <c r="L47" s="10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20" customHeight="1" x14ac:dyDescent="0.45">
      <c r="A48" s="62"/>
      <c r="B48" s="355" t="s">
        <v>4</v>
      </c>
      <c r="C48" s="355"/>
      <c r="D48" s="355"/>
      <c r="E48" s="355"/>
      <c r="F48" s="355"/>
      <c r="G48" s="355"/>
      <c r="H48" s="355"/>
      <c r="I48" s="355"/>
      <c r="J48" s="355"/>
      <c r="K48" s="24"/>
      <c r="Z48" s="2"/>
      <c r="AA48" s="2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20" customHeight="1" x14ac:dyDescent="0.45">
      <c r="A49" s="62"/>
      <c r="B49" s="352" t="s">
        <v>407</v>
      </c>
      <c r="C49" s="352" t="s">
        <v>408</v>
      </c>
      <c r="D49" s="352" t="s">
        <v>23</v>
      </c>
      <c r="E49" s="352" t="s">
        <v>244</v>
      </c>
      <c r="F49" s="352" t="s">
        <v>239</v>
      </c>
      <c r="G49" s="352" t="s">
        <v>344</v>
      </c>
      <c r="H49" s="352" t="s">
        <v>240</v>
      </c>
      <c r="I49" s="352" t="s">
        <v>256</v>
      </c>
      <c r="J49" s="353" t="s">
        <v>398</v>
      </c>
      <c r="K49" s="24"/>
      <c r="L49" s="169" t="s">
        <v>74</v>
      </c>
      <c r="M49" s="170" t="s">
        <v>356</v>
      </c>
      <c r="N49" s="170" t="s">
        <v>357</v>
      </c>
      <c r="O49" s="170" t="s">
        <v>358</v>
      </c>
      <c r="P49" s="170" t="s">
        <v>359</v>
      </c>
      <c r="Q49" s="170" t="s">
        <v>360</v>
      </c>
      <c r="R49" s="170" t="s">
        <v>361</v>
      </c>
      <c r="S49" s="170" t="s">
        <v>362</v>
      </c>
      <c r="T49" s="170" t="s">
        <v>363</v>
      </c>
      <c r="U49" s="170" t="s">
        <v>364</v>
      </c>
      <c r="V49" s="170" t="s">
        <v>365</v>
      </c>
      <c r="W49" s="170" t="s">
        <v>366</v>
      </c>
      <c r="X49" s="170" t="s">
        <v>367</v>
      </c>
      <c r="Y49" s="170" t="s">
        <v>368</v>
      </c>
      <c r="Z49" s="2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20" customHeight="1" x14ac:dyDescent="0.45">
      <c r="A50" s="62"/>
      <c r="B50" s="336"/>
      <c r="C50" s="336"/>
      <c r="D50" s="336"/>
      <c r="E50" s="336" t="s">
        <v>244</v>
      </c>
      <c r="F50" s="336"/>
      <c r="G50" s="336" t="s">
        <v>344</v>
      </c>
      <c r="H50" s="336" t="s">
        <v>240</v>
      </c>
      <c r="I50" s="336" t="s">
        <v>256</v>
      </c>
      <c r="J50" s="354"/>
      <c r="K50" s="24"/>
      <c r="L50" s="171" t="s">
        <v>251</v>
      </c>
      <c r="M50" s="172" t="s">
        <v>339</v>
      </c>
      <c r="N50" s="172" t="s">
        <v>340</v>
      </c>
      <c r="O50" s="172" t="s">
        <v>341</v>
      </c>
      <c r="P50" s="172" t="s">
        <v>330</v>
      </c>
      <c r="Q50" s="172" t="s">
        <v>331</v>
      </c>
      <c r="R50" s="172" t="s">
        <v>332</v>
      </c>
      <c r="S50" s="172" t="s">
        <v>333</v>
      </c>
      <c r="T50" s="172" t="s">
        <v>334</v>
      </c>
      <c r="U50" s="172" t="s">
        <v>335</v>
      </c>
      <c r="V50" s="172" t="s">
        <v>336</v>
      </c>
      <c r="W50" s="172" t="s">
        <v>337</v>
      </c>
      <c r="X50" s="172" t="s">
        <v>338</v>
      </c>
      <c r="Y50" s="172" t="s">
        <v>339</v>
      </c>
      <c r="Z50" s="2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20" customHeight="1" x14ac:dyDescent="0.45">
      <c r="A51" s="62"/>
      <c r="B51" s="337"/>
      <c r="C51" s="337"/>
      <c r="D51" s="337"/>
      <c r="E51" s="337"/>
      <c r="F51" s="337"/>
      <c r="G51" s="337" t="s">
        <v>242</v>
      </c>
      <c r="H51" s="337" t="s">
        <v>243</v>
      </c>
      <c r="I51" s="337" t="s">
        <v>243</v>
      </c>
      <c r="J51" s="229" t="s">
        <v>399</v>
      </c>
      <c r="K51" s="24"/>
      <c r="L51" s="207" t="s">
        <v>251</v>
      </c>
      <c r="M51" s="208">
        <v>31</v>
      </c>
      <c r="N51" s="208">
        <v>28</v>
      </c>
      <c r="O51" s="208">
        <v>31</v>
      </c>
      <c r="P51" s="208">
        <v>30</v>
      </c>
      <c r="Q51" s="208">
        <v>31</v>
      </c>
      <c r="R51" s="208">
        <v>30</v>
      </c>
      <c r="S51" s="208">
        <v>31</v>
      </c>
      <c r="T51" s="208">
        <v>31</v>
      </c>
      <c r="U51" s="208">
        <v>30</v>
      </c>
      <c r="V51" s="208">
        <v>31</v>
      </c>
      <c r="W51" s="208">
        <v>30</v>
      </c>
      <c r="X51" s="208">
        <v>31</v>
      </c>
      <c r="Y51" s="208">
        <v>31</v>
      </c>
      <c r="Z51" s="2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20" customHeight="1" x14ac:dyDescent="0.45">
      <c r="A52" s="62"/>
      <c r="B52" s="231" t="s">
        <v>163</v>
      </c>
      <c r="C52" s="220" t="s">
        <v>286</v>
      </c>
      <c r="D52" s="220"/>
      <c r="E52" s="220">
        <v>1</v>
      </c>
      <c r="F52" s="242">
        <f>+H52/$J$199</f>
        <v>0</v>
      </c>
      <c r="G52" s="261">
        <f t="shared" ref="G52:G114" si="64">F52</f>
        <v>0</v>
      </c>
      <c r="H52" s="242">
        <v>0</v>
      </c>
      <c r="I52" s="242">
        <f>(E52*H52)</f>
        <v>0</v>
      </c>
      <c r="J52" s="242">
        <f>I52*1.16</f>
        <v>0</v>
      </c>
      <c r="K52" s="24"/>
      <c r="L52" s="243">
        <v>0</v>
      </c>
      <c r="M52" s="243">
        <f>+$G$52</f>
        <v>0</v>
      </c>
      <c r="N52" s="243">
        <f t="shared" ref="N52:Y52" si="65">+$G$52</f>
        <v>0</v>
      </c>
      <c r="O52" s="243">
        <f t="shared" si="65"/>
        <v>0</v>
      </c>
      <c r="P52" s="243">
        <f t="shared" si="65"/>
        <v>0</v>
      </c>
      <c r="Q52" s="243">
        <f t="shared" si="65"/>
        <v>0</v>
      </c>
      <c r="R52" s="243">
        <f t="shared" si="65"/>
        <v>0</v>
      </c>
      <c r="S52" s="243">
        <f t="shared" si="65"/>
        <v>0</v>
      </c>
      <c r="T52" s="243">
        <f t="shared" si="65"/>
        <v>0</v>
      </c>
      <c r="U52" s="243">
        <f t="shared" si="65"/>
        <v>0</v>
      </c>
      <c r="V52" s="243">
        <f t="shared" si="65"/>
        <v>0</v>
      </c>
      <c r="W52" s="243">
        <f t="shared" si="65"/>
        <v>0</v>
      </c>
      <c r="X52" s="243">
        <f t="shared" si="65"/>
        <v>0</v>
      </c>
      <c r="Y52" s="243">
        <f t="shared" si="65"/>
        <v>0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20" customHeight="1" x14ac:dyDescent="0.45">
      <c r="A53" s="62"/>
      <c r="B53" s="231" t="s">
        <v>164</v>
      </c>
      <c r="C53" s="220"/>
      <c r="D53" s="220"/>
      <c r="E53" s="220">
        <v>1</v>
      </c>
      <c r="F53" s="242">
        <f t="shared" ref="F53:F54" si="66">+H53/$J$199</f>
        <v>0</v>
      </c>
      <c r="G53" s="261">
        <f t="shared" si="64"/>
        <v>0</v>
      </c>
      <c r="H53" s="242">
        <v>0</v>
      </c>
      <c r="I53" s="242">
        <f>(E53*H53)</f>
        <v>0</v>
      </c>
      <c r="J53" s="242">
        <f>I53*1.16</f>
        <v>0</v>
      </c>
      <c r="K53" s="24"/>
      <c r="L53" s="243">
        <v>0</v>
      </c>
      <c r="M53" s="243">
        <f>+$G$53</f>
        <v>0</v>
      </c>
      <c r="N53" s="243">
        <f t="shared" ref="N53:Y53" si="67">+$G$53</f>
        <v>0</v>
      </c>
      <c r="O53" s="243">
        <f t="shared" si="67"/>
        <v>0</v>
      </c>
      <c r="P53" s="243">
        <f t="shared" si="67"/>
        <v>0</v>
      </c>
      <c r="Q53" s="243">
        <f t="shared" si="67"/>
        <v>0</v>
      </c>
      <c r="R53" s="243">
        <f t="shared" si="67"/>
        <v>0</v>
      </c>
      <c r="S53" s="243">
        <f t="shared" si="67"/>
        <v>0</v>
      </c>
      <c r="T53" s="243">
        <f t="shared" si="67"/>
        <v>0</v>
      </c>
      <c r="U53" s="243">
        <f t="shared" si="67"/>
        <v>0</v>
      </c>
      <c r="V53" s="243">
        <f t="shared" si="67"/>
        <v>0</v>
      </c>
      <c r="W53" s="243">
        <f t="shared" si="67"/>
        <v>0</v>
      </c>
      <c r="X53" s="243">
        <f t="shared" si="67"/>
        <v>0</v>
      </c>
      <c r="Y53" s="243">
        <f t="shared" si="67"/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20" customHeight="1" x14ac:dyDescent="0.45">
      <c r="A54" s="62"/>
      <c r="B54" s="231" t="s">
        <v>165</v>
      </c>
      <c r="C54" s="220"/>
      <c r="D54" s="220"/>
      <c r="E54" s="220">
        <v>1</v>
      </c>
      <c r="F54" s="242">
        <f t="shared" si="66"/>
        <v>0</v>
      </c>
      <c r="G54" s="261">
        <f t="shared" si="64"/>
        <v>0</v>
      </c>
      <c r="H54" s="242">
        <v>0</v>
      </c>
      <c r="I54" s="242">
        <f t="shared" ref="I54:I114" si="68">(E54*H54)</f>
        <v>0</v>
      </c>
      <c r="J54" s="242">
        <f t="shared" ref="J54:J114" si="69">I54*1.16</f>
        <v>0</v>
      </c>
      <c r="K54" s="24"/>
      <c r="L54" s="243">
        <v>0</v>
      </c>
      <c r="M54" s="243">
        <f>+$G$54</f>
        <v>0</v>
      </c>
      <c r="N54" s="243">
        <f t="shared" ref="N54:Y54" si="70">+$G$54</f>
        <v>0</v>
      </c>
      <c r="O54" s="243">
        <f t="shared" si="70"/>
        <v>0</v>
      </c>
      <c r="P54" s="243">
        <f t="shared" si="70"/>
        <v>0</v>
      </c>
      <c r="Q54" s="243">
        <f t="shared" si="70"/>
        <v>0</v>
      </c>
      <c r="R54" s="243">
        <f t="shared" si="70"/>
        <v>0</v>
      </c>
      <c r="S54" s="243">
        <f t="shared" si="70"/>
        <v>0</v>
      </c>
      <c r="T54" s="243">
        <f t="shared" si="70"/>
        <v>0</v>
      </c>
      <c r="U54" s="243">
        <f t="shared" si="70"/>
        <v>0</v>
      </c>
      <c r="V54" s="243">
        <f t="shared" si="70"/>
        <v>0</v>
      </c>
      <c r="W54" s="243">
        <f t="shared" si="70"/>
        <v>0</v>
      </c>
      <c r="X54" s="243">
        <f t="shared" si="70"/>
        <v>0</v>
      </c>
      <c r="Y54" s="243">
        <f t="shared" si="70"/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20" customHeight="1" x14ac:dyDescent="0.45">
      <c r="A55" s="62"/>
      <c r="B55" s="231" t="s">
        <v>166</v>
      </c>
      <c r="C55" s="220" t="s">
        <v>166</v>
      </c>
      <c r="D55" s="220"/>
      <c r="E55" s="220">
        <v>1</v>
      </c>
      <c r="F55" s="242">
        <f t="shared" ref="F55:F114" si="71">+H55/$J$199</f>
        <v>125</v>
      </c>
      <c r="G55" s="261">
        <f t="shared" si="64"/>
        <v>125</v>
      </c>
      <c r="H55" s="292">
        <v>2500</v>
      </c>
      <c r="I55" s="242">
        <f t="shared" si="68"/>
        <v>2500</v>
      </c>
      <c r="J55" s="242">
        <f t="shared" si="69"/>
        <v>2900</v>
      </c>
      <c r="K55" s="24"/>
      <c r="L55" s="243">
        <v>0</v>
      </c>
      <c r="M55" s="243">
        <f>+$G$55</f>
        <v>125</v>
      </c>
      <c r="N55" s="243">
        <f t="shared" ref="N55:Y55" si="72">+$G$55</f>
        <v>125</v>
      </c>
      <c r="O55" s="243">
        <f t="shared" si="72"/>
        <v>125</v>
      </c>
      <c r="P55" s="243">
        <f t="shared" si="72"/>
        <v>125</v>
      </c>
      <c r="Q55" s="243">
        <f t="shared" si="72"/>
        <v>125</v>
      </c>
      <c r="R55" s="243">
        <f t="shared" si="72"/>
        <v>125</v>
      </c>
      <c r="S55" s="243">
        <f t="shared" si="72"/>
        <v>125</v>
      </c>
      <c r="T55" s="243">
        <f t="shared" si="72"/>
        <v>125</v>
      </c>
      <c r="U55" s="243">
        <f t="shared" si="72"/>
        <v>125</v>
      </c>
      <c r="V55" s="243">
        <f t="shared" si="72"/>
        <v>125</v>
      </c>
      <c r="W55" s="243">
        <f t="shared" si="72"/>
        <v>125</v>
      </c>
      <c r="X55" s="243">
        <f t="shared" si="72"/>
        <v>125</v>
      </c>
      <c r="Y55" s="243">
        <f t="shared" si="72"/>
        <v>125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20" customHeight="1" x14ac:dyDescent="0.45">
      <c r="A56" s="62"/>
      <c r="B56" s="231" t="s">
        <v>167</v>
      </c>
      <c r="C56" s="220" t="s">
        <v>287</v>
      </c>
      <c r="D56" s="220"/>
      <c r="E56" s="220">
        <v>1</v>
      </c>
      <c r="F56" s="242">
        <f t="shared" si="71"/>
        <v>0</v>
      </c>
      <c r="G56" s="261">
        <f t="shared" si="64"/>
        <v>0</v>
      </c>
      <c r="H56" s="242">
        <v>0</v>
      </c>
      <c r="I56" s="242">
        <f t="shared" si="68"/>
        <v>0</v>
      </c>
      <c r="J56" s="242">
        <f t="shared" si="69"/>
        <v>0</v>
      </c>
      <c r="K56" s="24"/>
      <c r="L56" s="243">
        <v>0</v>
      </c>
      <c r="M56" s="243">
        <f>+$G$56</f>
        <v>0</v>
      </c>
      <c r="N56" s="243">
        <f t="shared" ref="N56:Y56" si="73">+$G$56</f>
        <v>0</v>
      </c>
      <c r="O56" s="243">
        <f t="shared" si="73"/>
        <v>0</v>
      </c>
      <c r="P56" s="243">
        <f t="shared" si="73"/>
        <v>0</v>
      </c>
      <c r="Q56" s="243">
        <f t="shared" si="73"/>
        <v>0</v>
      </c>
      <c r="R56" s="243">
        <f t="shared" si="73"/>
        <v>0</v>
      </c>
      <c r="S56" s="243">
        <f t="shared" si="73"/>
        <v>0</v>
      </c>
      <c r="T56" s="243">
        <f t="shared" si="73"/>
        <v>0</v>
      </c>
      <c r="U56" s="243">
        <f t="shared" si="73"/>
        <v>0</v>
      </c>
      <c r="V56" s="243">
        <f t="shared" si="73"/>
        <v>0</v>
      </c>
      <c r="W56" s="243">
        <f t="shared" si="73"/>
        <v>0</v>
      </c>
      <c r="X56" s="243">
        <f t="shared" si="73"/>
        <v>0</v>
      </c>
      <c r="Y56" s="243">
        <f t="shared" si="73"/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20" customHeight="1" x14ac:dyDescent="0.45">
      <c r="A57" s="62"/>
      <c r="B57" s="231" t="s">
        <v>168</v>
      </c>
      <c r="C57" s="220" t="s">
        <v>168</v>
      </c>
      <c r="D57" s="220"/>
      <c r="E57" s="220">
        <v>1</v>
      </c>
      <c r="F57" s="242">
        <f t="shared" si="71"/>
        <v>0</v>
      </c>
      <c r="G57" s="261">
        <f t="shared" si="64"/>
        <v>0</v>
      </c>
      <c r="H57" s="242">
        <v>0</v>
      </c>
      <c r="I57" s="242">
        <f t="shared" si="68"/>
        <v>0</v>
      </c>
      <c r="J57" s="242">
        <f t="shared" si="69"/>
        <v>0</v>
      </c>
      <c r="K57" s="24"/>
      <c r="L57" s="243">
        <v>0</v>
      </c>
      <c r="M57" s="243">
        <f>+$G$57</f>
        <v>0</v>
      </c>
      <c r="N57" s="243">
        <f t="shared" ref="N57:Y57" si="74">+$G$57</f>
        <v>0</v>
      </c>
      <c r="O57" s="243">
        <f t="shared" si="74"/>
        <v>0</v>
      </c>
      <c r="P57" s="243">
        <f t="shared" si="74"/>
        <v>0</v>
      </c>
      <c r="Q57" s="243">
        <f t="shared" si="74"/>
        <v>0</v>
      </c>
      <c r="R57" s="243">
        <f t="shared" si="74"/>
        <v>0</v>
      </c>
      <c r="S57" s="243">
        <f t="shared" si="74"/>
        <v>0</v>
      </c>
      <c r="T57" s="243">
        <f t="shared" si="74"/>
        <v>0</v>
      </c>
      <c r="U57" s="243">
        <f t="shared" si="74"/>
        <v>0</v>
      </c>
      <c r="V57" s="243">
        <f t="shared" si="74"/>
        <v>0</v>
      </c>
      <c r="W57" s="243">
        <f t="shared" si="74"/>
        <v>0</v>
      </c>
      <c r="X57" s="243">
        <f t="shared" si="74"/>
        <v>0</v>
      </c>
      <c r="Y57" s="243">
        <f t="shared" si="74"/>
        <v>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20" customHeight="1" x14ac:dyDescent="0.45">
      <c r="A58" s="62"/>
      <c r="B58" s="231" t="s">
        <v>169</v>
      </c>
      <c r="C58" s="220"/>
      <c r="D58" s="220"/>
      <c r="E58" s="220">
        <v>1</v>
      </c>
      <c r="F58" s="242">
        <f t="shared" si="71"/>
        <v>0</v>
      </c>
      <c r="G58" s="261">
        <f t="shared" si="64"/>
        <v>0</v>
      </c>
      <c r="H58" s="242">
        <v>0</v>
      </c>
      <c r="I58" s="242">
        <f t="shared" si="68"/>
        <v>0</v>
      </c>
      <c r="J58" s="242">
        <f t="shared" si="69"/>
        <v>0</v>
      </c>
      <c r="K58" s="24"/>
      <c r="L58" s="243">
        <v>0</v>
      </c>
      <c r="M58" s="243">
        <f>+$G$58</f>
        <v>0</v>
      </c>
      <c r="N58" s="243">
        <f t="shared" ref="N58:Y58" si="75">+$G$58</f>
        <v>0</v>
      </c>
      <c r="O58" s="243">
        <f t="shared" si="75"/>
        <v>0</v>
      </c>
      <c r="P58" s="243">
        <f t="shared" si="75"/>
        <v>0</v>
      </c>
      <c r="Q58" s="243">
        <f t="shared" si="75"/>
        <v>0</v>
      </c>
      <c r="R58" s="243">
        <f t="shared" si="75"/>
        <v>0</v>
      </c>
      <c r="S58" s="243">
        <f t="shared" si="75"/>
        <v>0</v>
      </c>
      <c r="T58" s="243">
        <f t="shared" si="75"/>
        <v>0</v>
      </c>
      <c r="U58" s="243">
        <f t="shared" si="75"/>
        <v>0</v>
      </c>
      <c r="V58" s="243">
        <f t="shared" si="75"/>
        <v>0</v>
      </c>
      <c r="W58" s="243">
        <f t="shared" si="75"/>
        <v>0</v>
      </c>
      <c r="X58" s="243">
        <f t="shared" si="75"/>
        <v>0</v>
      </c>
      <c r="Y58" s="243">
        <f t="shared" si="75"/>
        <v>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20" customHeight="1" x14ac:dyDescent="0.45">
      <c r="A59" s="62"/>
      <c r="B59" s="231" t="s">
        <v>170</v>
      </c>
      <c r="C59" s="220"/>
      <c r="D59" s="220"/>
      <c r="E59" s="220">
        <v>1</v>
      </c>
      <c r="F59" s="242">
        <f t="shared" si="71"/>
        <v>0</v>
      </c>
      <c r="G59" s="261">
        <f t="shared" si="64"/>
        <v>0</v>
      </c>
      <c r="H59" s="242">
        <v>0</v>
      </c>
      <c r="I59" s="242">
        <f t="shared" si="68"/>
        <v>0</v>
      </c>
      <c r="J59" s="242">
        <f t="shared" si="69"/>
        <v>0</v>
      </c>
      <c r="K59" s="24"/>
      <c r="L59" s="243">
        <v>0</v>
      </c>
      <c r="M59" s="243">
        <f>+$G$59</f>
        <v>0</v>
      </c>
      <c r="N59" s="243">
        <f t="shared" ref="N59:Y59" si="76">+$G$59</f>
        <v>0</v>
      </c>
      <c r="O59" s="243">
        <f t="shared" si="76"/>
        <v>0</v>
      </c>
      <c r="P59" s="243">
        <f t="shared" si="76"/>
        <v>0</v>
      </c>
      <c r="Q59" s="243">
        <f t="shared" si="76"/>
        <v>0</v>
      </c>
      <c r="R59" s="243">
        <f t="shared" si="76"/>
        <v>0</v>
      </c>
      <c r="S59" s="243">
        <f t="shared" si="76"/>
        <v>0</v>
      </c>
      <c r="T59" s="243">
        <f t="shared" si="76"/>
        <v>0</v>
      </c>
      <c r="U59" s="243">
        <f t="shared" si="76"/>
        <v>0</v>
      </c>
      <c r="V59" s="243">
        <f t="shared" si="76"/>
        <v>0</v>
      </c>
      <c r="W59" s="243">
        <f t="shared" si="76"/>
        <v>0</v>
      </c>
      <c r="X59" s="243">
        <f t="shared" si="76"/>
        <v>0</v>
      </c>
      <c r="Y59" s="243">
        <f t="shared" si="76"/>
        <v>0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20" customHeight="1" x14ac:dyDescent="0.45">
      <c r="A60" s="62"/>
      <c r="B60" s="231" t="s">
        <v>171</v>
      </c>
      <c r="C60" s="220"/>
      <c r="D60" s="220"/>
      <c r="E60" s="220">
        <v>1</v>
      </c>
      <c r="F60" s="242">
        <f t="shared" si="71"/>
        <v>0</v>
      </c>
      <c r="G60" s="261">
        <f t="shared" si="64"/>
        <v>0</v>
      </c>
      <c r="H60" s="242">
        <v>0</v>
      </c>
      <c r="I60" s="242">
        <f t="shared" si="68"/>
        <v>0</v>
      </c>
      <c r="J60" s="242">
        <f t="shared" si="69"/>
        <v>0</v>
      </c>
      <c r="K60" s="24"/>
      <c r="L60" s="243">
        <v>0</v>
      </c>
      <c r="M60" s="243">
        <f>+$G$60</f>
        <v>0</v>
      </c>
      <c r="N60" s="243">
        <f t="shared" ref="N60:Y60" si="77">+$G$60</f>
        <v>0</v>
      </c>
      <c r="O60" s="243">
        <f t="shared" si="77"/>
        <v>0</v>
      </c>
      <c r="P60" s="243">
        <f t="shared" si="77"/>
        <v>0</v>
      </c>
      <c r="Q60" s="243">
        <f t="shared" si="77"/>
        <v>0</v>
      </c>
      <c r="R60" s="243">
        <f t="shared" si="77"/>
        <v>0</v>
      </c>
      <c r="S60" s="243">
        <f t="shared" si="77"/>
        <v>0</v>
      </c>
      <c r="T60" s="243">
        <f t="shared" si="77"/>
        <v>0</v>
      </c>
      <c r="U60" s="243">
        <f t="shared" si="77"/>
        <v>0</v>
      </c>
      <c r="V60" s="243">
        <f t="shared" si="77"/>
        <v>0</v>
      </c>
      <c r="W60" s="243">
        <f t="shared" si="77"/>
        <v>0</v>
      </c>
      <c r="X60" s="243">
        <f t="shared" si="77"/>
        <v>0</v>
      </c>
      <c r="Y60" s="243">
        <f t="shared" si="77"/>
        <v>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20" customHeight="1" x14ac:dyDescent="0.45">
      <c r="A61" s="62"/>
      <c r="B61" s="231" t="s">
        <v>172</v>
      </c>
      <c r="C61" s="220"/>
      <c r="D61" s="220"/>
      <c r="E61" s="220">
        <v>1</v>
      </c>
      <c r="F61" s="242">
        <f t="shared" si="71"/>
        <v>0</v>
      </c>
      <c r="G61" s="261">
        <f t="shared" si="64"/>
        <v>0</v>
      </c>
      <c r="H61" s="242">
        <v>0</v>
      </c>
      <c r="I61" s="242">
        <f t="shared" si="68"/>
        <v>0</v>
      </c>
      <c r="J61" s="242">
        <f t="shared" si="69"/>
        <v>0</v>
      </c>
      <c r="K61" s="24"/>
      <c r="L61" s="243">
        <v>0</v>
      </c>
      <c r="M61" s="243">
        <f>+$G$61</f>
        <v>0</v>
      </c>
      <c r="N61" s="243">
        <f t="shared" ref="N61:Y61" si="78">+$G$61</f>
        <v>0</v>
      </c>
      <c r="O61" s="243">
        <f t="shared" si="78"/>
        <v>0</v>
      </c>
      <c r="P61" s="243">
        <f t="shared" si="78"/>
        <v>0</v>
      </c>
      <c r="Q61" s="243">
        <f t="shared" si="78"/>
        <v>0</v>
      </c>
      <c r="R61" s="243">
        <f t="shared" si="78"/>
        <v>0</v>
      </c>
      <c r="S61" s="243">
        <f t="shared" si="78"/>
        <v>0</v>
      </c>
      <c r="T61" s="243">
        <f t="shared" si="78"/>
        <v>0</v>
      </c>
      <c r="U61" s="243">
        <f t="shared" si="78"/>
        <v>0</v>
      </c>
      <c r="V61" s="243">
        <f t="shared" si="78"/>
        <v>0</v>
      </c>
      <c r="W61" s="243">
        <f t="shared" si="78"/>
        <v>0</v>
      </c>
      <c r="X61" s="243">
        <f t="shared" si="78"/>
        <v>0</v>
      </c>
      <c r="Y61" s="243">
        <f t="shared" si="78"/>
        <v>0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20" customHeight="1" x14ac:dyDescent="0.45">
      <c r="A62" s="62"/>
      <c r="B62" s="231" t="s">
        <v>173</v>
      </c>
      <c r="C62" s="220"/>
      <c r="D62" s="220"/>
      <c r="E62" s="220">
        <v>1</v>
      </c>
      <c r="F62" s="242">
        <f t="shared" si="71"/>
        <v>0</v>
      </c>
      <c r="G62" s="261">
        <f t="shared" si="64"/>
        <v>0</v>
      </c>
      <c r="H62" s="242">
        <v>0</v>
      </c>
      <c r="I62" s="242">
        <f t="shared" si="68"/>
        <v>0</v>
      </c>
      <c r="J62" s="242">
        <f t="shared" si="69"/>
        <v>0</v>
      </c>
      <c r="K62" s="24"/>
      <c r="L62" s="243">
        <v>0</v>
      </c>
      <c r="M62" s="243">
        <f>+$G$62</f>
        <v>0</v>
      </c>
      <c r="N62" s="243">
        <f t="shared" ref="N62:Y62" si="79">+$G$62</f>
        <v>0</v>
      </c>
      <c r="O62" s="243">
        <f t="shared" si="79"/>
        <v>0</v>
      </c>
      <c r="P62" s="243">
        <f t="shared" si="79"/>
        <v>0</v>
      </c>
      <c r="Q62" s="243">
        <f t="shared" si="79"/>
        <v>0</v>
      </c>
      <c r="R62" s="243">
        <f t="shared" si="79"/>
        <v>0</v>
      </c>
      <c r="S62" s="243">
        <f t="shared" si="79"/>
        <v>0</v>
      </c>
      <c r="T62" s="243">
        <f t="shared" si="79"/>
        <v>0</v>
      </c>
      <c r="U62" s="243">
        <f t="shared" si="79"/>
        <v>0</v>
      </c>
      <c r="V62" s="243">
        <f t="shared" si="79"/>
        <v>0</v>
      </c>
      <c r="W62" s="243">
        <f t="shared" si="79"/>
        <v>0</v>
      </c>
      <c r="X62" s="243">
        <f t="shared" si="79"/>
        <v>0</v>
      </c>
      <c r="Y62" s="243">
        <f t="shared" si="79"/>
        <v>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20" customHeight="1" x14ac:dyDescent="0.45">
      <c r="A63" s="62"/>
      <c r="B63" s="231" t="s">
        <v>174</v>
      </c>
      <c r="C63" s="220"/>
      <c r="D63" s="220"/>
      <c r="E63" s="220">
        <v>1</v>
      </c>
      <c r="F63" s="242">
        <f t="shared" si="71"/>
        <v>0</v>
      </c>
      <c r="G63" s="261">
        <f t="shared" si="64"/>
        <v>0</v>
      </c>
      <c r="H63" s="242">
        <v>0</v>
      </c>
      <c r="I63" s="242">
        <f t="shared" si="68"/>
        <v>0</v>
      </c>
      <c r="J63" s="242">
        <f t="shared" si="69"/>
        <v>0</v>
      </c>
      <c r="K63" s="24"/>
      <c r="L63" s="243">
        <v>0</v>
      </c>
      <c r="M63" s="243">
        <f>+$G$63</f>
        <v>0</v>
      </c>
      <c r="N63" s="243">
        <f t="shared" ref="N63:Y63" si="80">+$G$63</f>
        <v>0</v>
      </c>
      <c r="O63" s="243">
        <f t="shared" si="80"/>
        <v>0</v>
      </c>
      <c r="P63" s="243">
        <f t="shared" si="80"/>
        <v>0</v>
      </c>
      <c r="Q63" s="243">
        <f t="shared" si="80"/>
        <v>0</v>
      </c>
      <c r="R63" s="243">
        <f t="shared" si="80"/>
        <v>0</v>
      </c>
      <c r="S63" s="243">
        <f t="shared" si="80"/>
        <v>0</v>
      </c>
      <c r="T63" s="243">
        <f t="shared" si="80"/>
        <v>0</v>
      </c>
      <c r="U63" s="243">
        <f t="shared" si="80"/>
        <v>0</v>
      </c>
      <c r="V63" s="243">
        <f t="shared" si="80"/>
        <v>0</v>
      </c>
      <c r="W63" s="243">
        <f t="shared" si="80"/>
        <v>0</v>
      </c>
      <c r="X63" s="243">
        <f t="shared" si="80"/>
        <v>0</v>
      </c>
      <c r="Y63" s="243">
        <f t="shared" si="80"/>
        <v>0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20" customHeight="1" x14ac:dyDescent="0.45">
      <c r="A64" s="62"/>
      <c r="B64" s="231" t="s">
        <v>175</v>
      </c>
      <c r="C64" s="220"/>
      <c r="D64" s="220"/>
      <c r="E64" s="220">
        <v>1</v>
      </c>
      <c r="F64" s="242">
        <f t="shared" si="71"/>
        <v>0</v>
      </c>
      <c r="G64" s="261">
        <f t="shared" si="64"/>
        <v>0</v>
      </c>
      <c r="H64" s="242">
        <v>0</v>
      </c>
      <c r="I64" s="242">
        <f t="shared" si="68"/>
        <v>0</v>
      </c>
      <c r="J64" s="242">
        <f t="shared" si="69"/>
        <v>0</v>
      </c>
      <c r="K64" s="24"/>
      <c r="L64" s="243">
        <v>0</v>
      </c>
      <c r="M64" s="243">
        <f>+$G$64</f>
        <v>0</v>
      </c>
      <c r="N64" s="243">
        <f t="shared" ref="N64:Y64" si="81">+$G$64</f>
        <v>0</v>
      </c>
      <c r="O64" s="243">
        <f t="shared" si="81"/>
        <v>0</v>
      </c>
      <c r="P64" s="243">
        <f t="shared" si="81"/>
        <v>0</v>
      </c>
      <c r="Q64" s="243">
        <f t="shared" si="81"/>
        <v>0</v>
      </c>
      <c r="R64" s="243">
        <f t="shared" si="81"/>
        <v>0</v>
      </c>
      <c r="S64" s="243">
        <f t="shared" si="81"/>
        <v>0</v>
      </c>
      <c r="T64" s="243">
        <f t="shared" si="81"/>
        <v>0</v>
      </c>
      <c r="U64" s="243">
        <f t="shared" si="81"/>
        <v>0</v>
      </c>
      <c r="V64" s="243">
        <f t="shared" si="81"/>
        <v>0</v>
      </c>
      <c r="W64" s="243">
        <f t="shared" si="81"/>
        <v>0</v>
      </c>
      <c r="X64" s="243">
        <f t="shared" si="81"/>
        <v>0</v>
      </c>
      <c r="Y64" s="243">
        <f t="shared" si="81"/>
        <v>0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20" customHeight="1" x14ac:dyDescent="0.45">
      <c r="A65" s="62"/>
      <c r="B65" s="231" t="s">
        <v>176</v>
      </c>
      <c r="C65" s="220"/>
      <c r="D65" s="220"/>
      <c r="E65" s="220">
        <v>1</v>
      </c>
      <c r="F65" s="242">
        <f t="shared" si="71"/>
        <v>0</v>
      </c>
      <c r="G65" s="261">
        <f t="shared" si="64"/>
        <v>0</v>
      </c>
      <c r="H65" s="242">
        <v>0</v>
      </c>
      <c r="I65" s="242">
        <f t="shared" si="68"/>
        <v>0</v>
      </c>
      <c r="J65" s="242">
        <f t="shared" si="69"/>
        <v>0</v>
      </c>
      <c r="K65" s="24"/>
      <c r="L65" s="243">
        <v>0</v>
      </c>
      <c r="M65" s="243">
        <f>+$G$65</f>
        <v>0</v>
      </c>
      <c r="N65" s="243">
        <f t="shared" ref="N65:Y65" si="82">+$G$65</f>
        <v>0</v>
      </c>
      <c r="O65" s="243">
        <f t="shared" si="82"/>
        <v>0</v>
      </c>
      <c r="P65" s="243">
        <f t="shared" si="82"/>
        <v>0</v>
      </c>
      <c r="Q65" s="243">
        <f t="shared" si="82"/>
        <v>0</v>
      </c>
      <c r="R65" s="243">
        <f t="shared" si="82"/>
        <v>0</v>
      </c>
      <c r="S65" s="243">
        <f t="shared" si="82"/>
        <v>0</v>
      </c>
      <c r="T65" s="243">
        <f t="shared" si="82"/>
        <v>0</v>
      </c>
      <c r="U65" s="243">
        <f t="shared" si="82"/>
        <v>0</v>
      </c>
      <c r="V65" s="243">
        <f t="shared" si="82"/>
        <v>0</v>
      </c>
      <c r="W65" s="243">
        <f t="shared" si="82"/>
        <v>0</v>
      </c>
      <c r="X65" s="243">
        <f t="shared" si="82"/>
        <v>0</v>
      </c>
      <c r="Y65" s="243">
        <f t="shared" si="82"/>
        <v>0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20" customHeight="1" x14ac:dyDescent="0.45">
      <c r="A66" s="62"/>
      <c r="B66" s="231" t="s">
        <v>177</v>
      </c>
      <c r="C66" s="220"/>
      <c r="D66" s="220"/>
      <c r="E66" s="220">
        <v>1</v>
      </c>
      <c r="F66" s="242">
        <f t="shared" si="71"/>
        <v>0</v>
      </c>
      <c r="G66" s="261">
        <f t="shared" si="64"/>
        <v>0</v>
      </c>
      <c r="H66" s="242">
        <v>0</v>
      </c>
      <c r="I66" s="242">
        <f t="shared" si="68"/>
        <v>0</v>
      </c>
      <c r="J66" s="242">
        <f t="shared" si="69"/>
        <v>0</v>
      </c>
      <c r="K66" s="24"/>
      <c r="L66" s="243">
        <v>0</v>
      </c>
      <c r="M66" s="243">
        <f>$G$66</f>
        <v>0</v>
      </c>
      <c r="N66" s="243">
        <f t="shared" ref="N66:Y66" si="83">$G$66</f>
        <v>0</v>
      </c>
      <c r="O66" s="243">
        <f t="shared" si="83"/>
        <v>0</v>
      </c>
      <c r="P66" s="243">
        <f t="shared" si="83"/>
        <v>0</v>
      </c>
      <c r="Q66" s="243">
        <f t="shared" si="83"/>
        <v>0</v>
      </c>
      <c r="R66" s="243">
        <f t="shared" si="83"/>
        <v>0</v>
      </c>
      <c r="S66" s="243">
        <f t="shared" si="83"/>
        <v>0</v>
      </c>
      <c r="T66" s="243">
        <f t="shared" si="83"/>
        <v>0</v>
      </c>
      <c r="U66" s="243">
        <f t="shared" si="83"/>
        <v>0</v>
      </c>
      <c r="V66" s="243">
        <f t="shared" si="83"/>
        <v>0</v>
      </c>
      <c r="W66" s="243">
        <f t="shared" si="83"/>
        <v>0</v>
      </c>
      <c r="X66" s="243">
        <f t="shared" si="83"/>
        <v>0</v>
      </c>
      <c r="Y66" s="243">
        <f t="shared" si="83"/>
        <v>0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20" customHeight="1" x14ac:dyDescent="0.45">
      <c r="A67" s="62"/>
      <c r="B67" s="231" t="s">
        <v>178</v>
      </c>
      <c r="C67" s="220" t="s">
        <v>310</v>
      </c>
      <c r="D67" s="220"/>
      <c r="E67" s="220">
        <v>1</v>
      </c>
      <c r="F67" s="242">
        <f t="shared" si="71"/>
        <v>0</v>
      </c>
      <c r="G67" s="261">
        <f t="shared" si="64"/>
        <v>0</v>
      </c>
      <c r="H67" s="242">
        <v>0</v>
      </c>
      <c r="I67" s="242">
        <f t="shared" si="68"/>
        <v>0</v>
      </c>
      <c r="J67" s="242">
        <f t="shared" si="69"/>
        <v>0</v>
      </c>
      <c r="K67" s="24"/>
      <c r="L67" s="243">
        <v>0</v>
      </c>
      <c r="M67" s="243">
        <f>$G$67</f>
        <v>0</v>
      </c>
      <c r="N67" s="243">
        <f t="shared" ref="N67:Y67" si="84">$G$67</f>
        <v>0</v>
      </c>
      <c r="O67" s="243">
        <f t="shared" si="84"/>
        <v>0</v>
      </c>
      <c r="P67" s="243">
        <f t="shared" si="84"/>
        <v>0</v>
      </c>
      <c r="Q67" s="243">
        <f t="shared" si="84"/>
        <v>0</v>
      </c>
      <c r="R67" s="243">
        <f t="shared" si="84"/>
        <v>0</v>
      </c>
      <c r="S67" s="243">
        <f t="shared" si="84"/>
        <v>0</v>
      </c>
      <c r="T67" s="243">
        <f t="shared" si="84"/>
        <v>0</v>
      </c>
      <c r="U67" s="243">
        <f t="shared" si="84"/>
        <v>0</v>
      </c>
      <c r="V67" s="243">
        <f t="shared" si="84"/>
        <v>0</v>
      </c>
      <c r="W67" s="243">
        <f t="shared" si="84"/>
        <v>0</v>
      </c>
      <c r="X67" s="243">
        <f t="shared" si="84"/>
        <v>0</v>
      </c>
      <c r="Y67" s="243">
        <f t="shared" si="84"/>
        <v>0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20" customHeight="1" x14ac:dyDescent="0.45">
      <c r="A68" s="62"/>
      <c r="B68" s="231" t="s">
        <v>179</v>
      </c>
      <c r="C68" s="220" t="s">
        <v>310</v>
      </c>
      <c r="D68" s="220"/>
      <c r="E68" s="220">
        <v>1</v>
      </c>
      <c r="F68" s="242">
        <f t="shared" si="71"/>
        <v>0</v>
      </c>
      <c r="G68" s="261">
        <f t="shared" si="64"/>
        <v>0</v>
      </c>
      <c r="H68" s="242">
        <v>0</v>
      </c>
      <c r="I68" s="242">
        <f t="shared" si="68"/>
        <v>0</v>
      </c>
      <c r="J68" s="242">
        <f t="shared" si="69"/>
        <v>0</v>
      </c>
      <c r="K68" s="24"/>
      <c r="L68" s="243">
        <v>0</v>
      </c>
      <c r="M68" s="243">
        <f>$G$68</f>
        <v>0</v>
      </c>
      <c r="N68" s="243">
        <f t="shared" ref="N68:Y68" si="85">$G$68</f>
        <v>0</v>
      </c>
      <c r="O68" s="243">
        <f t="shared" si="85"/>
        <v>0</v>
      </c>
      <c r="P68" s="243">
        <f t="shared" si="85"/>
        <v>0</v>
      </c>
      <c r="Q68" s="243">
        <f t="shared" si="85"/>
        <v>0</v>
      </c>
      <c r="R68" s="243">
        <f t="shared" si="85"/>
        <v>0</v>
      </c>
      <c r="S68" s="243">
        <f t="shared" si="85"/>
        <v>0</v>
      </c>
      <c r="T68" s="243">
        <f t="shared" si="85"/>
        <v>0</v>
      </c>
      <c r="U68" s="243">
        <f t="shared" si="85"/>
        <v>0</v>
      </c>
      <c r="V68" s="243">
        <f t="shared" si="85"/>
        <v>0</v>
      </c>
      <c r="W68" s="243">
        <f t="shared" si="85"/>
        <v>0</v>
      </c>
      <c r="X68" s="243">
        <f t="shared" si="85"/>
        <v>0</v>
      </c>
      <c r="Y68" s="243">
        <f t="shared" si="85"/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20" customHeight="1" x14ac:dyDescent="0.45">
      <c r="A69" s="62"/>
      <c r="B69" s="231" t="s">
        <v>180</v>
      </c>
      <c r="C69" s="220"/>
      <c r="D69" s="220"/>
      <c r="E69" s="220">
        <v>1</v>
      </c>
      <c r="F69" s="242">
        <f t="shared" si="71"/>
        <v>0</v>
      </c>
      <c r="G69" s="261">
        <f t="shared" si="64"/>
        <v>0</v>
      </c>
      <c r="H69" s="242">
        <v>0</v>
      </c>
      <c r="I69" s="242">
        <f t="shared" si="68"/>
        <v>0</v>
      </c>
      <c r="J69" s="242">
        <f t="shared" si="69"/>
        <v>0</v>
      </c>
      <c r="K69" s="24"/>
      <c r="L69" s="243">
        <v>0</v>
      </c>
      <c r="M69" s="243">
        <f>$G$69</f>
        <v>0</v>
      </c>
      <c r="N69" s="243">
        <f t="shared" ref="N69:Y69" si="86">$G$69</f>
        <v>0</v>
      </c>
      <c r="O69" s="243">
        <f t="shared" si="86"/>
        <v>0</v>
      </c>
      <c r="P69" s="243">
        <f t="shared" si="86"/>
        <v>0</v>
      </c>
      <c r="Q69" s="243">
        <f t="shared" si="86"/>
        <v>0</v>
      </c>
      <c r="R69" s="243">
        <f t="shared" si="86"/>
        <v>0</v>
      </c>
      <c r="S69" s="243">
        <f t="shared" si="86"/>
        <v>0</v>
      </c>
      <c r="T69" s="243">
        <f t="shared" si="86"/>
        <v>0</v>
      </c>
      <c r="U69" s="243">
        <f t="shared" si="86"/>
        <v>0</v>
      </c>
      <c r="V69" s="243">
        <f t="shared" si="86"/>
        <v>0</v>
      </c>
      <c r="W69" s="243">
        <f t="shared" si="86"/>
        <v>0</v>
      </c>
      <c r="X69" s="243">
        <f t="shared" si="86"/>
        <v>0</v>
      </c>
      <c r="Y69" s="243">
        <f t="shared" si="86"/>
        <v>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20" customHeight="1" x14ac:dyDescent="0.45">
      <c r="A70" s="62"/>
      <c r="B70" s="231" t="s">
        <v>181</v>
      </c>
      <c r="C70" s="220" t="s">
        <v>288</v>
      </c>
      <c r="D70" s="220"/>
      <c r="E70" s="220">
        <v>1</v>
      </c>
      <c r="F70" s="242">
        <f t="shared" si="71"/>
        <v>0</v>
      </c>
      <c r="G70" s="261">
        <f t="shared" si="64"/>
        <v>0</v>
      </c>
      <c r="H70" s="242">
        <v>0</v>
      </c>
      <c r="I70" s="242">
        <f t="shared" si="68"/>
        <v>0</v>
      </c>
      <c r="J70" s="242">
        <f t="shared" si="69"/>
        <v>0</v>
      </c>
      <c r="K70" s="24"/>
      <c r="L70" s="243">
        <v>0</v>
      </c>
      <c r="M70" s="243">
        <f>$G$70</f>
        <v>0</v>
      </c>
      <c r="N70" s="243">
        <f t="shared" ref="N70:Y70" si="87">$G$70</f>
        <v>0</v>
      </c>
      <c r="O70" s="243">
        <f t="shared" si="87"/>
        <v>0</v>
      </c>
      <c r="P70" s="243">
        <f t="shared" si="87"/>
        <v>0</v>
      </c>
      <c r="Q70" s="243">
        <f t="shared" si="87"/>
        <v>0</v>
      </c>
      <c r="R70" s="243">
        <f t="shared" si="87"/>
        <v>0</v>
      </c>
      <c r="S70" s="243">
        <f t="shared" si="87"/>
        <v>0</v>
      </c>
      <c r="T70" s="243">
        <f t="shared" si="87"/>
        <v>0</v>
      </c>
      <c r="U70" s="243">
        <f t="shared" si="87"/>
        <v>0</v>
      </c>
      <c r="V70" s="243">
        <f t="shared" si="87"/>
        <v>0</v>
      </c>
      <c r="W70" s="243">
        <f t="shared" si="87"/>
        <v>0</v>
      </c>
      <c r="X70" s="243">
        <f t="shared" si="87"/>
        <v>0</v>
      </c>
      <c r="Y70" s="243">
        <f t="shared" si="87"/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20" customHeight="1" x14ac:dyDescent="0.45">
      <c r="A71" s="62"/>
      <c r="B71" s="231" t="s">
        <v>182</v>
      </c>
      <c r="C71" s="220"/>
      <c r="D71" s="220"/>
      <c r="E71" s="220">
        <v>1</v>
      </c>
      <c r="F71" s="242">
        <f t="shared" si="71"/>
        <v>25</v>
      </c>
      <c r="G71" s="261">
        <f t="shared" si="64"/>
        <v>25</v>
      </c>
      <c r="H71" s="242">
        <v>500</v>
      </c>
      <c r="I71" s="242">
        <f t="shared" si="68"/>
        <v>500</v>
      </c>
      <c r="J71" s="242">
        <f t="shared" si="69"/>
        <v>580</v>
      </c>
      <c r="K71" s="24"/>
      <c r="L71" s="243">
        <v>0</v>
      </c>
      <c r="M71" s="243">
        <f>$G$71</f>
        <v>25</v>
      </c>
      <c r="N71" s="243">
        <f t="shared" ref="N71:Y71" si="88">$G$71</f>
        <v>25</v>
      </c>
      <c r="O71" s="243">
        <f t="shared" si="88"/>
        <v>25</v>
      </c>
      <c r="P71" s="243">
        <f t="shared" si="88"/>
        <v>25</v>
      </c>
      <c r="Q71" s="243">
        <f t="shared" si="88"/>
        <v>25</v>
      </c>
      <c r="R71" s="243">
        <f t="shared" si="88"/>
        <v>25</v>
      </c>
      <c r="S71" s="243">
        <f t="shared" si="88"/>
        <v>25</v>
      </c>
      <c r="T71" s="243">
        <f t="shared" si="88"/>
        <v>25</v>
      </c>
      <c r="U71" s="243">
        <f t="shared" si="88"/>
        <v>25</v>
      </c>
      <c r="V71" s="243">
        <f t="shared" si="88"/>
        <v>25</v>
      </c>
      <c r="W71" s="243">
        <f t="shared" si="88"/>
        <v>25</v>
      </c>
      <c r="X71" s="243">
        <f t="shared" si="88"/>
        <v>25</v>
      </c>
      <c r="Y71" s="243">
        <f t="shared" si="88"/>
        <v>25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20" customHeight="1" x14ac:dyDescent="0.45">
      <c r="A72" s="62"/>
      <c r="B72" s="231" t="s">
        <v>183</v>
      </c>
      <c r="C72" s="220"/>
      <c r="D72" s="220"/>
      <c r="E72" s="220">
        <v>1</v>
      </c>
      <c r="F72" s="242">
        <f t="shared" si="71"/>
        <v>0</v>
      </c>
      <c r="G72" s="261">
        <f t="shared" si="64"/>
        <v>0</v>
      </c>
      <c r="H72" s="242">
        <v>0</v>
      </c>
      <c r="I72" s="242">
        <f t="shared" si="68"/>
        <v>0</v>
      </c>
      <c r="J72" s="242">
        <f t="shared" si="69"/>
        <v>0</v>
      </c>
      <c r="K72" s="24"/>
      <c r="L72" s="243">
        <v>0</v>
      </c>
      <c r="M72" s="243">
        <f>$G$72</f>
        <v>0</v>
      </c>
      <c r="N72" s="243">
        <f t="shared" ref="N72:Y72" si="89">$G$72</f>
        <v>0</v>
      </c>
      <c r="O72" s="243">
        <f t="shared" si="89"/>
        <v>0</v>
      </c>
      <c r="P72" s="243">
        <f t="shared" si="89"/>
        <v>0</v>
      </c>
      <c r="Q72" s="243">
        <f t="shared" si="89"/>
        <v>0</v>
      </c>
      <c r="R72" s="243">
        <f t="shared" si="89"/>
        <v>0</v>
      </c>
      <c r="S72" s="243">
        <f t="shared" si="89"/>
        <v>0</v>
      </c>
      <c r="T72" s="243">
        <f t="shared" si="89"/>
        <v>0</v>
      </c>
      <c r="U72" s="243">
        <f t="shared" si="89"/>
        <v>0</v>
      </c>
      <c r="V72" s="243">
        <f t="shared" si="89"/>
        <v>0</v>
      </c>
      <c r="W72" s="243">
        <f t="shared" si="89"/>
        <v>0</v>
      </c>
      <c r="X72" s="243">
        <f t="shared" si="89"/>
        <v>0</v>
      </c>
      <c r="Y72" s="243">
        <f t="shared" si="89"/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20" customHeight="1" x14ac:dyDescent="0.45">
      <c r="A73" s="62"/>
      <c r="B73" s="231" t="s">
        <v>184</v>
      </c>
      <c r="C73" s="220"/>
      <c r="D73" s="220"/>
      <c r="E73" s="220">
        <v>1</v>
      </c>
      <c r="F73" s="242">
        <f t="shared" si="71"/>
        <v>0</v>
      </c>
      <c r="G73" s="261">
        <f t="shared" si="64"/>
        <v>0</v>
      </c>
      <c r="H73" s="242">
        <v>0</v>
      </c>
      <c r="I73" s="242">
        <f t="shared" si="68"/>
        <v>0</v>
      </c>
      <c r="J73" s="242">
        <f t="shared" si="69"/>
        <v>0</v>
      </c>
      <c r="K73" s="24"/>
      <c r="L73" s="243">
        <v>0</v>
      </c>
      <c r="M73" s="243">
        <f>$G$73</f>
        <v>0</v>
      </c>
      <c r="N73" s="243">
        <f t="shared" ref="N73:Y73" si="90">$G$73</f>
        <v>0</v>
      </c>
      <c r="O73" s="243">
        <f t="shared" si="90"/>
        <v>0</v>
      </c>
      <c r="P73" s="243">
        <f t="shared" si="90"/>
        <v>0</v>
      </c>
      <c r="Q73" s="243">
        <f t="shared" si="90"/>
        <v>0</v>
      </c>
      <c r="R73" s="243">
        <f t="shared" si="90"/>
        <v>0</v>
      </c>
      <c r="S73" s="243">
        <f t="shared" si="90"/>
        <v>0</v>
      </c>
      <c r="T73" s="243">
        <f t="shared" si="90"/>
        <v>0</v>
      </c>
      <c r="U73" s="243">
        <f t="shared" si="90"/>
        <v>0</v>
      </c>
      <c r="V73" s="243">
        <f t="shared" si="90"/>
        <v>0</v>
      </c>
      <c r="W73" s="243">
        <f t="shared" si="90"/>
        <v>0</v>
      </c>
      <c r="X73" s="243">
        <f t="shared" si="90"/>
        <v>0</v>
      </c>
      <c r="Y73" s="243">
        <f t="shared" si="90"/>
        <v>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20" customHeight="1" x14ac:dyDescent="0.45">
      <c r="A74" s="62"/>
      <c r="B74" s="231" t="s">
        <v>185</v>
      </c>
      <c r="C74" s="220"/>
      <c r="D74" s="220"/>
      <c r="E74" s="220">
        <v>1</v>
      </c>
      <c r="F74" s="242">
        <f t="shared" si="71"/>
        <v>0</v>
      </c>
      <c r="G74" s="261">
        <f t="shared" si="64"/>
        <v>0</v>
      </c>
      <c r="H74" s="242">
        <v>0</v>
      </c>
      <c r="I74" s="242">
        <f t="shared" si="68"/>
        <v>0</v>
      </c>
      <c r="J74" s="242">
        <f t="shared" si="69"/>
        <v>0</v>
      </c>
      <c r="K74" s="24"/>
      <c r="L74" s="243">
        <v>0</v>
      </c>
      <c r="M74" s="243">
        <f>$G$74</f>
        <v>0</v>
      </c>
      <c r="N74" s="243">
        <f t="shared" ref="N74:Y74" si="91">$G$74</f>
        <v>0</v>
      </c>
      <c r="O74" s="243">
        <f t="shared" si="91"/>
        <v>0</v>
      </c>
      <c r="P74" s="243">
        <f t="shared" si="91"/>
        <v>0</v>
      </c>
      <c r="Q74" s="243">
        <f t="shared" si="91"/>
        <v>0</v>
      </c>
      <c r="R74" s="243">
        <f t="shared" si="91"/>
        <v>0</v>
      </c>
      <c r="S74" s="243">
        <f t="shared" si="91"/>
        <v>0</v>
      </c>
      <c r="T74" s="243">
        <f t="shared" si="91"/>
        <v>0</v>
      </c>
      <c r="U74" s="243">
        <f t="shared" si="91"/>
        <v>0</v>
      </c>
      <c r="V74" s="243">
        <f t="shared" si="91"/>
        <v>0</v>
      </c>
      <c r="W74" s="243">
        <f t="shared" si="91"/>
        <v>0</v>
      </c>
      <c r="X74" s="243">
        <f t="shared" si="91"/>
        <v>0</v>
      </c>
      <c r="Y74" s="243">
        <f t="shared" si="91"/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20" customHeight="1" x14ac:dyDescent="0.45">
      <c r="A75" s="62"/>
      <c r="B75" s="231" t="s">
        <v>186</v>
      </c>
      <c r="C75" s="220"/>
      <c r="D75" s="220"/>
      <c r="E75" s="220">
        <v>1</v>
      </c>
      <c r="F75" s="242">
        <f t="shared" si="71"/>
        <v>0</v>
      </c>
      <c r="G75" s="261">
        <f t="shared" si="64"/>
        <v>0</v>
      </c>
      <c r="H75" s="242">
        <v>0</v>
      </c>
      <c r="I75" s="242">
        <f t="shared" si="68"/>
        <v>0</v>
      </c>
      <c r="J75" s="242">
        <f t="shared" si="69"/>
        <v>0</v>
      </c>
      <c r="K75" s="24"/>
      <c r="L75" s="243">
        <v>0</v>
      </c>
      <c r="M75" s="243">
        <f>$G$75</f>
        <v>0</v>
      </c>
      <c r="N75" s="243">
        <f t="shared" ref="N75:Y75" si="92">$G$75</f>
        <v>0</v>
      </c>
      <c r="O75" s="243">
        <f t="shared" si="92"/>
        <v>0</v>
      </c>
      <c r="P75" s="243">
        <f t="shared" si="92"/>
        <v>0</v>
      </c>
      <c r="Q75" s="243">
        <f t="shared" si="92"/>
        <v>0</v>
      </c>
      <c r="R75" s="243">
        <f t="shared" si="92"/>
        <v>0</v>
      </c>
      <c r="S75" s="243">
        <f t="shared" si="92"/>
        <v>0</v>
      </c>
      <c r="T75" s="243">
        <f t="shared" si="92"/>
        <v>0</v>
      </c>
      <c r="U75" s="243">
        <f t="shared" si="92"/>
        <v>0</v>
      </c>
      <c r="V75" s="243">
        <f t="shared" si="92"/>
        <v>0</v>
      </c>
      <c r="W75" s="243">
        <f t="shared" si="92"/>
        <v>0</v>
      </c>
      <c r="X75" s="243">
        <f t="shared" si="92"/>
        <v>0</v>
      </c>
      <c r="Y75" s="243">
        <f t="shared" si="92"/>
        <v>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20" customHeight="1" x14ac:dyDescent="0.45">
      <c r="A76" s="62"/>
      <c r="B76" s="231" t="s">
        <v>187</v>
      </c>
      <c r="C76" s="220"/>
      <c r="D76" s="220"/>
      <c r="E76" s="220">
        <v>1</v>
      </c>
      <c r="F76" s="242">
        <f t="shared" si="71"/>
        <v>0</v>
      </c>
      <c r="G76" s="261">
        <f t="shared" si="64"/>
        <v>0</v>
      </c>
      <c r="H76" s="242">
        <v>0</v>
      </c>
      <c r="I76" s="242">
        <f t="shared" si="68"/>
        <v>0</v>
      </c>
      <c r="J76" s="242">
        <f t="shared" si="69"/>
        <v>0</v>
      </c>
      <c r="K76" s="24"/>
      <c r="L76" s="243">
        <v>0</v>
      </c>
      <c r="M76" s="243">
        <f>$G$76</f>
        <v>0</v>
      </c>
      <c r="N76" s="243">
        <f t="shared" ref="N76:Y76" si="93">$G$76</f>
        <v>0</v>
      </c>
      <c r="O76" s="243">
        <f t="shared" si="93"/>
        <v>0</v>
      </c>
      <c r="P76" s="243">
        <f t="shared" si="93"/>
        <v>0</v>
      </c>
      <c r="Q76" s="243">
        <f t="shared" si="93"/>
        <v>0</v>
      </c>
      <c r="R76" s="243">
        <f t="shared" si="93"/>
        <v>0</v>
      </c>
      <c r="S76" s="243">
        <f t="shared" si="93"/>
        <v>0</v>
      </c>
      <c r="T76" s="243">
        <f t="shared" si="93"/>
        <v>0</v>
      </c>
      <c r="U76" s="243">
        <f t="shared" si="93"/>
        <v>0</v>
      </c>
      <c r="V76" s="243">
        <f t="shared" si="93"/>
        <v>0</v>
      </c>
      <c r="W76" s="243">
        <f t="shared" si="93"/>
        <v>0</v>
      </c>
      <c r="X76" s="243">
        <f t="shared" si="93"/>
        <v>0</v>
      </c>
      <c r="Y76" s="243">
        <f t="shared" si="93"/>
        <v>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20" customHeight="1" x14ac:dyDescent="0.45">
      <c r="A77" s="62"/>
      <c r="B77" s="231" t="s">
        <v>188</v>
      </c>
      <c r="C77" s="220" t="s">
        <v>289</v>
      </c>
      <c r="D77" s="220"/>
      <c r="E77" s="220">
        <v>1</v>
      </c>
      <c r="F77" s="242">
        <f t="shared" si="71"/>
        <v>125</v>
      </c>
      <c r="G77" s="261">
        <f t="shared" si="64"/>
        <v>125</v>
      </c>
      <c r="H77" s="292">
        <v>2500</v>
      </c>
      <c r="I77" s="242">
        <f t="shared" si="68"/>
        <v>2500</v>
      </c>
      <c r="J77" s="242">
        <f t="shared" si="69"/>
        <v>2900</v>
      </c>
      <c r="K77" s="24"/>
      <c r="L77" s="243">
        <v>0</v>
      </c>
      <c r="M77" s="243">
        <f>$G$77</f>
        <v>125</v>
      </c>
      <c r="N77" s="243">
        <f t="shared" ref="N77:Y77" si="94">$G$77</f>
        <v>125</v>
      </c>
      <c r="O77" s="243">
        <f t="shared" si="94"/>
        <v>125</v>
      </c>
      <c r="P77" s="243">
        <f t="shared" si="94"/>
        <v>125</v>
      </c>
      <c r="Q77" s="243">
        <f t="shared" si="94"/>
        <v>125</v>
      </c>
      <c r="R77" s="243">
        <f t="shared" si="94"/>
        <v>125</v>
      </c>
      <c r="S77" s="243">
        <f t="shared" si="94"/>
        <v>125</v>
      </c>
      <c r="T77" s="243">
        <f t="shared" si="94"/>
        <v>125</v>
      </c>
      <c r="U77" s="243">
        <f t="shared" si="94"/>
        <v>125</v>
      </c>
      <c r="V77" s="243">
        <f t="shared" si="94"/>
        <v>125</v>
      </c>
      <c r="W77" s="243">
        <f t="shared" si="94"/>
        <v>125</v>
      </c>
      <c r="X77" s="243">
        <f t="shared" si="94"/>
        <v>125</v>
      </c>
      <c r="Y77" s="243">
        <f t="shared" si="94"/>
        <v>125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20" customHeight="1" x14ac:dyDescent="0.45">
      <c r="A78" s="62"/>
      <c r="B78" s="231" t="s">
        <v>189</v>
      </c>
      <c r="C78" s="220"/>
      <c r="D78" s="220"/>
      <c r="E78" s="220">
        <v>1</v>
      </c>
      <c r="F78" s="242">
        <f t="shared" si="71"/>
        <v>0</v>
      </c>
      <c r="G78" s="261">
        <f t="shared" si="64"/>
        <v>0</v>
      </c>
      <c r="H78" s="242">
        <v>0</v>
      </c>
      <c r="I78" s="242">
        <f t="shared" si="68"/>
        <v>0</v>
      </c>
      <c r="J78" s="242">
        <f t="shared" si="69"/>
        <v>0</v>
      </c>
      <c r="K78" s="24"/>
      <c r="L78" s="243">
        <v>0</v>
      </c>
      <c r="M78" s="243">
        <f>$G$78</f>
        <v>0</v>
      </c>
      <c r="N78" s="243">
        <f t="shared" ref="N78:Y78" si="95">$G$78</f>
        <v>0</v>
      </c>
      <c r="O78" s="243">
        <f t="shared" si="95"/>
        <v>0</v>
      </c>
      <c r="P78" s="243">
        <f t="shared" si="95"/>
        <v>0</v>
      </c>
      <c r="Q78" s="243">
        <f t="shared" si="95"/>
        <v>0</v>
      </c>
      <c r="R78" s="243">
        <f t="shared" si="95"/>
        <v>0</v>
      </c>
      <c r="S78" s="243">
        <f t="shared" si="95"/>
        <v>0</v>
      </c>
      <c r="T78" s="243">
        <f t="shared" si="95"/>
        <v>0</v>
      </c>
      <c r="U78" s="243">
        <f t="shared" si="95"/>
        <v>0</v>
      </c>
      <c r="V78" s="243">
        <f t="shared" si="95"/>
        <v>0</v>
      </c>
      <c r="W78" s="243">
        <f t="shared" si="95"/>
        <v>0</v>
      </c>
      <c r="X78" s="243">
        <f t="shared" si="95"/>
        <v>0</v>
      </c>
      <c r="Y78" s="243">
        <f t="shared" si="95"/>
        <v>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20" customHeight="1" x14ac:dyDescent="0.45">
      <c r="A79" s="62"/>
      <c r="B79" s="231" t="s">
        <v>190</v>
      </c>
      <c r="C79" s="220"/>
      <c r="D79" s="220"/>
      <c r="E79" s="220">
        <v>1</v>
      </c>
      <c r="F79" s="242">
        <f t="shared" si="71"/>
        <v>0</v>
      </c>
      <c r="G79" s="261">
        <f t="shared" si="64"/>
        <v>0</v>
      </c>
      <c r="H79" s="242">
        <v>0</v>
      </c>
      <c r="I79" s="242">
        <f t="shared" si="68"/>
        <v>0</v>
      </c>
      <c r="J79" s="242">
        <f t="shared" si="69"/>
        <v>0</v>
      </c>
      <c r="K79" s="24"/>
      <c r="L79" s="243">
        <v>0</v>
      </c>
      <c r="M79" s="243">
        <f>$G$79</f>
        <v>0</v>
      </c>
      <c r="N79" s="243">
        <f t="shared" ref="N79:Y79" si="96">$G$79</f>
        <v>0</v>
      </c>
      <c r="O79" s="243">
        <f t="shared" si="96"/>
        <v>0</v>
      </c>
      <c r="P79" s="243">
        <f t="shared" si="96"/>
        <v>0</v>
      </c>
      <c r="Q79" s="243">
        <f t="shared" si="96"/>
        <v>0</v>
      </c>
      <c r="R79" s="243">
        <f t="shared" si="96"/>
        <v>0</v>
      </c>
      <c r="S79" s="243">
        <f t="shared" si="96"/>
        <v>0</v>
      </c>
      <c r="T79" s="243">
        <f t="shared" si="96"/>
        <v>0</v>
      </c>
      <c r="U79" s="243">
        <f t="shared" si="96"/>
        <v>0</v>
      </c>
      <c r="V79" s="243">
        <f t="shared" si="96"/>
        <v>0</v>
      </c>
      <c r="W79" s="243">
        <f t="shared" si="96"/>
        <v>0</v>
      </c>
      <c r="X79" s="243">
        <f t="shared" si="96"/>
        <v>0</v>
      </c>
      <c r="Y79" s="243">
        <f t="shared" si="96"/>
        <v>0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20" customHeight="1" x14ac:dyDescent="0.45">
      <c r="A80" s="62"/>
      <c r="B80" s="231" t="s">
        <v>191</v>
      </c>
      <c r="C80" s="220"/>
      <c r="D80" s="220"/>
      <c r="E80" s="220">
        <v>1</v>
      </c>
      <c r="F80" s="242">
        <f t="shared" si="71"/>
        <v>150</v>
      </c>
      <c r="G80" s="261">
        <f t="shared" si="64"/>
        <v>150</v>
      </c>
      <c r="H80" s="242">
        <v>3000</v>
      </c>
      <c r="I80" s="242">
        <f t="shared" si="68"/>
        <v>3000</v>
      </c>
      <c r="J80" s="242">
        <f t="shared" si="69"/>
        <v>3479.9999999999995</v>
      </c>
      <c r="K80" s="24"/>
      <c r="L80" s="243">
        <v>0</v>
      </c>
      <c r="M80" s="243">
        <f>$G$80</f>
        <v>150</v>
      </c>
      <c r="N80" s="243">
        <v>0</v>
      </c>
      <c r="O80" s="243">
        <v>0</v>
      </c>
      <c r="P80" s="243">
        <v>0</v>
      </c>
      <c r="Q80" s="243">
        <v>0</v>
      </c>
      <c r="R80" s="243">
        <f t="shared" ref="R80:X80" si="97">$G$80</f>
        <v>150</v>
      </c>
      <c r="S80" s="243">
        <v>0</v>
      </c>
      <c r="T80" s="243">
        <v>0</v>
      </c>
      <c r="U80" s="243">
        <v>0</v>
      </c>
      <c r="V80" s="243">
        <v>0</v>
      </c>
      <c r="W80" s="243">
        <v>0</v>
      </c>
      <c r="X80" s="243">
        <f t="shared" si="97"/>
        <v>150</v>
      </c>
      <c r="Y80" s="243">
        <v>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20" customHeight="1" x14ac:dyDescent="0.45">
      <c r="A81" s="62"/>
      <c r="B81" s="231" t="s">
        <v>192</v>
      </c>
      <c r="C81" s="220"/>
      <c r="D81" s="220"/>
      <c r="E81" s="220">
        <v>1</v>
      </c>
      <c r="F81" s="242">
        <f t="shared" si="71"/>
        <v>0</v>
      </c>
      <c r="G81" s="261">
        <f t="shared" si="64"/>
        <v>0</v>
      </c>
      <c r="H81" s="242">
        <v>0</v>
      </c>
      <c r="I81" s="242">
        <f t="shared" si="68"/>
        <v>0</v>
      </c>
      <c r="J81" s="242">
        <f t="shared" si="69"/>
        <v>0</v>
      </c>
      <c r="K81" s="24"/>
      <c r="L81" s="243">
        <v>0</v>
      </c>
      <c r="M81" s="243">
        <f>$G$81</f>
        <v>0</v>
      </c>
      <c r="N81" s="243">
        <f t="shared" ref="N81:Y81" si="98">$G$81</f>
        <v>0</v>
      </c>
      <c r="O81" s="243">
        <f t="shared" si="98"/>
        <v>0</v>
      </c>
      <c r="P81" s="243">
        <f t="shared" si="98"/>
        <v>0</v>
      </c>
      <c r="Q81" s="243">
        <f t="shared" si="98"/>
        <v>0</v>
      </c>
      <c r="R81" s="243">
        <f t="shared" si="98"/>
        <v>0</v>
      </c>
      <c r="S81" s="243">
        <f t="shared" si="98"/>
        <v>0</v>
      </c>
      <c r="T81" s="243">
        <f t="shared" si="98"/>
        <v>0</v>
      </c>
      <c r="U81" s="243">
        <f t="shared" si="98"/>
        <v>0</v>
      </c>
      <c r="V81" s="243">
        <f t="shared" si="98"/>
        <v>0</v>
      </c>
      <c r="W81" s="243">
        <f t="shared" si="98"/>
        <v>0</v>
      </c>
      <c r="X81" s="243">
        <f t="shared" si="98"/>
        <v>0</v>
      </c>
      <c r="Y81" s="243">
        <f t="shared" si="98"/>
        <v>0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20" customHeight="1" x14ac:dyDescent="0.45">
      <c r="A82" s="62"/>
      <c r="B82" s="231" t="s">
        <v>193</v>
      </c>
      <c r="C82" s="220"/>
      <c r="D82" s="220"/>
      <c r="E82" s="220">
        <v>1</v>
      </c>
      <c r="F82" s="242">
        <f t="shared" si="71"/>
        <v>0</v>
      </c>
      <c r="G82" s="261">
        <f t="shared" si="64"/>
        <v>0</v>
      </c>
      <c r="H82" s="242">
        <v>0</v>
      </c>
      <c r="I82" s="242">
        <f t="shared" si="68"/>
        <v>0</v>
      </c>
      <c r="J82" s="242">
        <f t="shared" si="69"/>
        <v>0</v>
      </c>
      <c r="K82" s="24"/>
      <c r="L82" s="243">
        <v>0</v>
      </c>
      <c r="M82" s="243">
        <f>$G$82</f>
        <v>0</v>
      </c>
      <c r="N82" s="243">
        <f t="shared" ref="N82:Y82" si="99">$G$82</f>
        <v>0</v>
      </c>
      <c r="O82" s="243">
        <f t="shared" si="99"/>
        <v>0</v>
      </c>
      <c r="P82" s="243">
        <f t="shared" si="99"/>
        <v>0</v>
      </c>
      <c r="Q82" s="243">
        <f t="shared" si="99"/>
        <v>0</v>
      </c>
      <c r="R82" s="243">
        <f t="shared" si="99"/>
        <v>0</v>
      </c>
      <c r="S82" s="243">
        <f t="shared" si="99"/>
        <v>0</v>
      </c>
      <c r="T82" s="243">
        <f t="shared" si="99"/>
        <v>0</v>
      </c>
      <c r="U82" s="243">
        <f t="shared" si="99"/>
        <v>0</v>
      </c>
      <c r="V82" s="243">
        <f t="shared" si="99"/>
        <v>0</v>
      </c>
      <c r="W82" s="243">
        <f t="shared" si="99"/>
        <v>0</v>
      </c>
      <c r="X82" s="243">
        <f t="shared" si="99"/>
        <v>0</v>
      </c>
      <c r="Y82" s="243">
        <f t="shared" si="99"/>
        <v>0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20" customHeight="1" x14ac:dyDescent="0.45">
      <c r="A83" s="62"/>
      <c r="B83" s="231" t="s">
        <v>194</v>
      </c>
      <c r="C83" s="220"/>
      <c r="D83" s="220"/>
      <c r="E83" s="220">
        <v>1</v>
      </c>
      <c r="F83" s="242">
        <f t="shared" si="71"/>
        <v>0</v>
      </c>
      <c r="G83" s="261">
        <f t="shared" si="64"/>
        <v>0</v>
      </c>
      <c r="H83" s="242">
        <v>0</v>
      </c>
      <c r="I83" s="242">
        <f t="shared" si="68"/>
        <v>0</v>
      </c>
      <c r="J83" s="242">
        <f t="shared" si="69"/>
        <v>0</v>
      </c>
      <c r="K83" s="24"/>
      <c r="L83" s="243">
        <v>0</v>
      </c>
      <c r="M83" s="243">
        <f>$G$83</f>
        <v>0</v>
      </c>
      <c r="N83" s="243">
        <f t="shared" ref="N83:Y83" si="100">$G$83</f>
        <v>0</v>
      </c>
      <c r="O83" s="243">
        <f t="shared" si="100"/>
        <v>0</v>
      </c>
      <c r="P83" s="243">
        <f t="shared" si="100"/>
        <v>0</v>
      </c>
      <c r="Q83" s="243">
        <f t="shared" si="100"/>
        <v>0</v>
      </c>
      <c r="R83" s="243">
        <f t="shared" si="100"/>
        <v>0</v>
      </c>
      <c r="S83" s="243">
        <f t="shared" si="100"/>
        <v>0</v>
      </c>
      <c r="T83" s="243">
        <f t="shared" si="100"/>
        <v>0</v>
      </c>
      <c r="U83" s="243">
        <f t="shared" si="100"/>
        <v>0</v>
      </c>
      <c r="V83" s="243">
        <f t="shared" si="100"/>
        <v>0</v>
      </c>
      <c r="W83" s="243">
        <f t="shared" si="100"/>
        <v>0</v>
      </c>
      <c r="X83" s="243">
        <f t="shared" si="100"/>
        <v>0</v>
      </c>
      <c r="Y83" s="243">
        <f t="shared" si="100"/>
        <v>0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20" customHeight="1" x14ac:dyDescent="0.45">
      <c r="A84" s="62"/>
      <c r="B84" s="231" t="s">
        <v>195</v>
      </c>
      <c r="C84" s="220"/>
      <c r="D84" s="220"/>
      <c r="E84" s="220">
        <v>1</v>
      </c>
      <c r="F84" s="242">
        <f t="shared" si="71"/>
        <v>0</v>
      </c>
      <c r="G84" s="261">
        <f t="shared" si="64"/>
        <v>0</v>
      </c>
      <c r="H84" s="242">
        <v>0</v>
      </c>
      <c r="I84" s="242">
        <f t="shared" si="68"/>
        <v>0</v>
      </c>
      <c r="J84" s="242">
        <f t="shared" si="69"/>
        <v>0</v>
      </c>
      <c r="K84" s="24"/>
      <c r="L84" s="243">
        <v>0</v>
      </c>
      <c r="M84" s="243">
        <f>$G$84</f>
        <v>0</v>
      </c>
      <c r="N84" s="243">
        <f t="shared" ref="N84:Y84" si="101">$G$84</f>
        <v>0</v>
      </c>
      <c r="O84" s="243">
        <f t="shared" si="101"/>
        <v>0</v>
      </c>
      <c r="P84" s="243">
        <f t="shared" si="101"/>
        <v>0</v>
      </c>
      <c r="Q84" s="243">
        <f t="shared" si="101"/>
        <v>0</v>
      </c>
      <c r="R84" s="243">
        <f t="shared" si="101"/>
        <v>0</v>
      </c>
      <c r="S84" s="243">
        <f t="shared" si="101"/>
        <v>0</v>
      </c>
      <c r="T84" s="243">
        <f t="shared" si="101"/>
        <v>0</v>
      </c>
      <c r="U84" s="243">
        <f t="shared" si="101"/>
        <v>0</v>
      </c>
      <c r="V84" s="243">
        <f t="shared" si="101"/>
        <v>0</v>
      </c>
      <c r="W84" s="243">
        <f t="shared" si="101"/>
        <v>0</v>
      </c>
      <c r="X84" s="243">
        <f t="shared" si="101"/>
        <v>0</v>
      </c>
      <c r="Y84" s="243">
        <f t="shared" si="101"/>
        <v>0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20" customHeight="1" x14ac:dyDescent="0.45">
      <c r="A85" s="62"/>
      <c r="B85" s="231" t="s">
        <v>196</v>
      </c>
      <c r="C85" s="220"/>
      <c r="D85" s="220"/>
      <c r="E85" s="220">
        <v>1</v>
      </c>
      <c r="F85" s="242">
        <f t="shared" si="71"/>
        <v>0</v>
      </c>
      <c r="G85" s="261">
        <f t="shared" si="64"/>
        <v>0</v>
      </c>
      <c r="H85" s="242">
        <v>0</v>
      </c>
      <c r="I85" s="242">
        <f t="shared" si="68"/>
        <v>0</v>
      </c>
      <c r="J85" s="242">
        <f t="shared" si="69"/>
        <v>0</v>
      </c>
      <c r="K85" s="24"/>
      <c r="L85" s="243">
        <v>0</v>
      </c>
      <c r="M85" s="243">
        <f>$G$85</f>
        <v>0</v>
      </c>
      <c r="N85" s="243">
        <f t="shared" ref="N85:Y85" si="102">$G$85</f>
        <v>0</v>
      </c>
      <c r="O85" s="243">
        <f t="shared" si="102"/>
        <v>0</v>
      </c>
      <c r="P85" s="243">
        <f t="shared" si="102"/>
        <v>0</v>
      </c>
      <c r="Q85" s="243">
        <f t="shared" si="102"/>
        <v>0</v>
      </c>
      <c r="R85" s="243">
        <f t="shared" si="102"/>
        <v>0</v>
      </c>
      <c r="S85" s="243">
        <f t="shared" si="102"/>
        <v>0</v>
      </c>
      <c r="T85" s="243">
        <f t="shared" si="102"/>
        <v>0</v>
      </c>
      <c r="U85" s="243">
        <f t="shared" si="102"/>
        <v>0</v>
      </c>
      <c r="V85" s="243">
        <f t="shared" si="102"/>
        <v>0</v>
      </c>
      <c r="W85" s="243">
        <f t="shared" si="102"/>
        <v>0</v>
      </c>
      <c r="X85" s="243">
        <f t="shared" si="102"/>
        <v>0</v>
      </c>
      <c r="Y85" s="243">
        <f t="shared" si="102"/>
        <v>0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20" customHeight="1" x14ac:dyDescent="0.45">
      <c r="A86" s="62"/>
      <c r="B86" s="231" t="s">
        <v>197</v>
      </c>
      <c r="C86" s="220" t="s">
        <v>298</v>
      </c>
      <c r="D86" s="220"/>
      <c r="E86" s="220">
        <v>1</v>
      </c>
      <c r="F86" s="242">
        <f t="shared" si="71"/>
        <v>63915</v>
      </c>
      <c r="G86" s="261">
        <f t="shared" si="64"/>
        <v>63915</v>
      </c>
      <c r="H86" s="242">
        <v>1278300</v>
      </c>
      <c r="I86" s="242">
        <f t="shared" si="68"/>
        <v>1278300</v>
      </c>
      <c r="J86" s="242">
        <f t="shared" si="69"/>
        <v>1482828</v>
      </c>
      <c r="K86" s="24"/>
      <c r="L86" s="243">
        <v>0</v>
      </c>
      <c r="M86" s="243">
        <f>$G$86</f>
        <v>63915</v>
      </c>
      <c r="N86" s="243">
        <f t="shared" ref="N86:Y86" si="103">$G$86</f>
        <v>63915</v>
      </c>
      <c r="O86" s="243">
        <f t="shared" si="103"/>
        <v>63915</v>
      </c>
      <c r="P86" s="243">
        <f t="shared" si="103"/>
        <v>63915</v>
      </c>
      <c r="Q86" s="243">
        <f t="shared" si="103"/>
        <v>63915</v>
      </c>
      <c r="R86" s="243">
        <f t="shared" si="103"/>
        <v>63915</v>
      </c>
      <c r="S86" s="243">
        <f t="shared" si="103"/>
        <v>63915</v>
      </c>
      <c r="T86" s="243">
        <f t="shared" si="103"/>
        <v>63915</v>
      </c>
      <c r="U86" s="243">
        <f t="shared" si="103"/>
        <v>63915</v>
      </c>
      <c r="V86" s="243">
        <f t="shared" si="103"/>
        <v>63915</v>
      </c>
      <c r="W86" s="243">
        <f t="shared" si="103"/>
        <v>63915</v>
      </c>
      <c r="X86" s="243">
        <f t="shared" si="103"/>
        <v>63915</v>
      </c>
      <c r="Y86" s="243">
        <f t="shared" si="103"/>
        <v>63915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20" customHeight="1" x14ac:dyDescent="0.45">
      <c r="A87" s="62"/>
      <c r="B87" s="231" t="s">
        <v>198</v>
      </c>
      <c r="C87" s="220" t="s">
        <v>290</v>
      </c>
      <c r="D87" s="220"/>
      <c r="E87" s="220">
        <v>1</v>
      </c>
      <c r="F87" s="242">
        <f t="shared" si="71"/>
        <v>0</v>
      </c>
      <c r="G87" s="261">
        <f t="shared" si="64"/>
        <v>0</v>
      </c>
      <c r="H87" s="242">
        <v>0</v>
      </c>
      <c r="I87" s="242">
        <f t="shared" si="68"/>
        <v>0</v>
      </c>
      <c r="J87" s="242">
        <f t="shared" si="69"/>
        <v>0</v>
      </c>
      <c r="K87" s="24"/>
      <c r="L87" s="243">
        <v>0</v>
      </c>
      <c r="M87" s="243">
        <f>$G$87</f>
        <v>0</v>
      </c>
      <c r="N87" s="243">
        <f t="shared" ref="N87:Y87" si="104">$G$87</f>
        <v>0</v>
      </c>
      <c r="O87" s="243">
        <f t="shared" si="104"/>
        <v>0</v>
      </c>
      <c r="P87" s="243">
        <f t="shared" si="104"/>
        <v>0</v>
      </c>
      <c r="Q87" s="243">
        <f t="shared" si="104"/>
        <v>0</v>
      </c>
      <c r="R87" s="243">
        <f t="shared" si="104"/>
        <v>0</v>
      </c>
      <c r="S87" s="243">
        <f t="shared" si="104"/>
        <v>0</v>
      </c>
      <c r="T87" s="243">
        <f t="shared" si="104"/>
        <v>0</v>
      </c>
      <c r="U87" s="243">
        <f t="shared" si="104"/>
        <v>0</v>
      </c>
      <c r="V87" s="243">
        <f t="shared" si="104"/>
        <v>0</v>
      </c>
      <c r="W87" s="243">
        <f t="shared" si="104"/>
        <v>0</v>
      </c>
      <c r="X87" s="243">
        <f t="shared" si="104"/>
        <v>0</v>
      </c>
      <c r="Y87" s="243">
        <f t="shared" si="104"/>
        <v>0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20" customHeight="1" x14ac:dyDescent="0.45">
      <c r="A88" s="62"/>
      <c r="B88" s="231" t="s">
        <v>199</v>
      </c>
      <c r="C88" s="220"/>
      <c r="D88" s="220"/>
      <c r="E88" s="220">
        <v>1</v>
      </c>
      <c r="F88" s="242">
        <f t="shared" si="71"/>
        <v>0</v>
      </c>
      <c r="G88" s="261">
        <f t="shared" si="64"/>
        <v>0</v>
      </c>
      <c r="H88" s="242">
        <v>0</v>
      </c>
      <c r="I88" s="242">
        <f t="shared" si="68"/>
        <v>0</v>
      </c>
      <c r="J88" s="242">
        <f t="shared" si="69"/>
        <v>0</v>
      </c>
      <c r="K88" s="24"/>
      <c r="L88" s="243">
        <v>0</v>
      </c>
      <c r="M88" s="243">
        <f>$G$88</f>
        <v>0</v>
      </c>
      <c r="N88" s="243">
        <f t="shared" ref="N88:Y88" si="105">$G$88</f>
        <v>0</v>
      </c>
      <c r="O88" s="243">
        <f t="shared" si="105"/>
        <v>0</v>
      </c>
      <c r="P88" s="243">
        <f t="shared" si="105"/>
        <v>0</v>
      </c>
      <c r="Q88" s="243">
        <f t="shared" si="105"/>
        <v>0</v>
      </c>
      <c r="R88" s="243">
        <f t="shared" si="105"/>
        <v>0</v>
      </c>
      <c r="S88" s="243">
        <f t="shared" si="105"/>
        <v>0</v>
      </c>
      <c r="T88" s="243">
        <f t="shared" si="105"/>
        <v>0</v>
      </c>
      <c r="U88" s="243">
        <f t="shared" si="105"/>
        <v>0</v>
      </c>
      <c r="V88" s="243">
        <f t="shared" si="105"/>
        <v>0</v>
      </c>
      <c r="W88" s="243">
        <f t="shared" si="105"/>
        <v>0</v>
      </c>
      <c r="X88" s="243">
        <f t="shared" si="105"/>
        <v>0</v>
      </c>
      <c r="Y88" s="243">
        <f t="shared" si="105"/>
        <v>0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20" customHeight="1" x14ac:dyDescent="0.45">
      <c r="A89" s="62"/>
      <c r="B89" s="231" t="s">
        <v>200</v>
      </c>
      <c r="C89" s="220"/>
      <c r="D89" s="220"/>
      <c r="E89" s="220">
        <v>1</v>
      </c>
      <c r="F89" s="242">
        <f t="shared" si="71"/>
        <v>0</v>
      </c>
      <c r="G89" s="261">
        <f t="shared" si="64"/>
        <v>0</v>
      </c>
      <c r="H89" s="242">
        <v>0</v>
      </c>
      <c r="I89" s="242">
        <f t="shared" si="68"/>
        <v>0</v>
      </c>
      <c r="J89" s="242">
        <f t="shared" si="69"/>
        <v>0</v>
      </c>
      <c r="K89" s="24"/>
      <c r="L89" s="243">
        <v>0</v>
      </c>
      <c r="M89" s="243">
        <f>$G$89</f>
        <v>0</v>
      </c>
      <c r="N89" s="243">
        <f t="shared" ref="N89:Y89" si="106">$G$89</f>
        <v>0</v>
      </c>
      <c r="O89" s="243">
        <f t="shared" si="106"/>
        <v>0</v>
      </c>
      <c r="P89" s="243">
        <f t="shared" si="106"/>
        <v>0</v>
      </c>
      <c r="Q89" s="243">
        <f t="shared" si="106"/>
        <v>0</v>
      </c>
      <c r="R89" s="243">
        <f t="shared" si="106"/>
        <v>0</v>
      </c>
      <c r="S89" s="243">
        <f t="shared" si="106"/>
        <v>0</v>
      </c>
      <c r="T89" s="243">
        <f t="shared" si="106"/>
        <v>0</v>
      </c>
      <c r="U89" s="243">
        <f t="shared" si="106"/>
        <v>0</v>
      </c>
      <c r="V89" s="243">
        <f t="shared" si="106"/>
        <v>0</v>
      </c>
      <c r="W89" s="243">
        <f t="shared" si="106"/>
        <v>0</v>
      </c>
      <c r="X89" s="243">
        <f t="shared" si="106"/>
        <v>0</v>
      </c>
      <c r="Y89" s="243">
        <f t="shared" si="106"/>
        <v>0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20" customHeight="1" x14ac:dyDescent="0.45">
      <c r="A90" s="62"/>
      <c r="B90" s="231" t="s">
        <v>201</v>
      </c>
      <c r="C90" s="220" t="s">
        <v>297</v>
      </c>
      <c r="D90" s="220"/>
      <c r="E90" s="220">
        <v>1</v>
      </c>
      <c r="F90" s="242">
        <f t="shared" si="71"/>
        <v>450</v>
      </c>
      <c r="G90" s="261">
        <f t="shared" si="64"/>
        <v>450</v>
      </c>
      <c r="H90" s="242">
        <v>9000</v>
      </c>
      <c r="I90" s="242">
        <f t="shared" si="68"/>
        <v>9000</v>
      </c>
      <c r="J90" s="242">
        <f t="shared" si="69"/>
        <v>10440</v>
      </c>
      <c r="K90" s="24"/>
      <c r="L90" s="243">
        <v>0</v>
      </c>
      <c r="M90" s="243">
        <v>0</v>
      </c>
      <c r="N90" s="243">
        <f t="shared" ref="N90" si="107">$G$90</f>
        <v>450</v>
      </c>
      <c r="O90" s="243">
        <v>0</v>
      </c>
      <c r="P90" s="243">
        <v>0</v>
      </c>
      <c r="Q90" s="243">
        <v>0</v>
      </c>
      <c r="R90" s="243">
        <v>0</v>
      </c>
      <c r="S90" s="243">
        <v>0</v>
      </c>
      <c r="T90" s="243">
        <v>0</v>
      </c>
      <c r="U90" s="243">
        <v>0</v>
      </c>
      <c r="V90" s="243">
        <v>0</v>
      </c>
      <c r="W90" s="243">
        <v>0</v>
      </c>
      <c r="X90" s="243">
        <v>0</v>
      </c>
      <c r="Y90" s="243"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20" customHeight="1" x14ac:dyDescent="0.45">
      <c r="A91" s="62"/>
      <c r="B91" s="231" t="s">
        <v>202</v>
      </c>
      <c r="C91" s="220" t="s">
        <v>466</v>
      </c>
      <c r="D91" s="220"/>
      <c r="E91" s="220">
        <v>1</v>
      </c>
      <c r="F91" s="242">
        <f t="shared" si="71"/>
        <v>250</v>
      </c>
      <c r="G91" s="261">
        <f t="shared" si="64"/>
        <v>250</v>
      </c>
      <c r="H91" s="242">
        <f>60000/12</f>
        <v>5000</v>
      </c>
      <c r="I91" s="242">
        <f t="shared" si="68"/>
        <v>5000</v>
      </c>
      <c r="J91" s="242">
        <f t="shared" si="69"/>
        <v>5800</v>
      </c>
      <c r="K91" s="24"/>
      <c r="L91" s="243">
        <v>0</v>
      </c>
      <c r="M91" s="243">
        <f>$G$91</f>
        <v>250</v>
      </c>
      <c r="N91" s="243">
        <f t="shared" ref="N91:Y91" si="108">$G$91</f>
        <v>250</v>
      </c>
      <c r="O91" s="243">
        <f t="shared" si="108"/>
        <v>250</v>
      </c>
      <c r="P91" s="243">
        <f t="shared" si="108"/>
        <v>250</v>
      </c>
      <c r="Q91" s="243">
        <f t="shared" si="108"/>
        <v>250</v>
      </c>
      <c r="R91" s="243">
        <f t="shared" si="108"/>
        <v>250</v>
      </c>
      <c r="S91" s="243">
        <f t="shared" si="108"/>
        <v>250</v>
      </c>
      <c r="T91" s="243">
        <f t="shared" si="108"/>
        <v>250</v>
      </c>
      <c r="U91" s="243">
        <f t="shared" si="108"/>
        <v>250</v>
      </c>
      <c r="V91" s="243">
        <f t="shared" si="108"/>
        <v>250</v>
      </c>
      <c r="W91" s="243">
        <f t="shared" si="108"/>
        <v>250</v>
      </c>
      <c r="X91" s="243">
        <f t="shared" si="108"/>
        <v>250</v>
      </c>
      <c r="Y91" s="243">
        <f t="shared" si="108"/>
        <v>250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20" customHeight="1" x14ac:dyDescent="0.45">
      <c r="A92" s="62"/>
      <c r="B92" s="231" t="s">
        <v>260</v>
      </c>
      <c r="C92" s="220"/>
      <c r="D92" s="220"/>
      <c r="E92" s="220">
        <v>1</v>
      </c>
      <c r="F92" s="242">
        <f t="shared" si="71"/>
        <v>0</v>
      </c>
      <c r="G92" s="261">
        <f t="shared" si="64"/>
        <v>0</v>
      </c>
      <c r="H92" s="242">
        <v>0</v>
      </c>
      <c r="I92" s="242">
        <f t="shared" si="68"/>
        <v>0</v>
      </c>
      <c r="J92" s="242">
        <f t="shared" si="69"/>
        <v>0</v>
      </c>
      <c r="K92" s="24"/>
      <c r="L92" s="243">
        <v>0</v>
      </c>
      <c r="M92" s="243">
        <f>$G$92</f>
        <v>0</v>
      </c>
      <c r="N92" s="243">
        <f t="shared" ref="N92:Y92" si="109">$G$92</f>
        <v>0</v>
      </c>
      <c r="O92" s="243">
        <f t="shared" si="109"/>
        <v>0</v>
      </c>
      <c r="P92" s="243">
        <f t="shared" si="109"/>
        <v>0</v>
      </c>
      <c r="Q92" s="243">
        <f t="shared" si="109"/>
        <v>0</v>
      </c>
      <c r="R92" s="243">
        <f t="shared" si="109"/>
        <v>0</v>
      </c>
      <c r="S92" s="243">
        <f t="shared" si="109"/>
        <v>0</v>
      </c>
      <c r="T92" s="243">
        <f t="shared" si="109"/>
        <v>0</v>
      </c>
      <c r="U92" s="243">
        <f t="shared" si="109"/>
        <v>0</v>
      </c>
      <c r="V92" s="243">
        <f t="shared" si="109"/>
        <v>0</v>
      </c>
      <c r="W92" s="243">
        <f t="shared" si="109"/>
        <v>0</v>
      </c>
      <c r="X92" s="243">
        <f t="shared" si="109"/>
        <v>0</v>
      </c>
      <c r="Y92" s="243">
        <f t="shared" si="109"/>
        <v>0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20" customHeight="1" x14ac:dyDescent="0.45">
      <c r="A93" s="62"/>
      <c r="B93" s="231" t="s">
        <v>204</v>
      </c>
      <c r="C93" s="220"/>
      <c r="D93" s="220"/>
      <c r="E93" s="220">
        <v>1</v>
      </c>
      <c r="F93" s="242">
        <f t="shared" si="71"/>
        <v>12.5</v>
      </c>
      <c r="G93" s="261">
        <f t="shared" si="64"/>
        <v>12.5</v>
      </c>
      <c r="H93" s="292">
        <v>250</v>
      </c>
      <c r="I93" s="242">
        <f t="shared" si="68"/>
        <v>250</v>
      </c>
      <c r="J93" s="242">
        <f t="shared" si="69"/>
        <v>290</v>
      </c>
      <c r="K93" s="24"/>
      <c r="L93" s="243">
        <v>0</v>
      </c>
      <c r="M93" s="243">
        <f>$G$93</f>
        <v>12.5</v>
      </c>
      <c r="N93" s="243">
        <f t="shared" ref="N93:Y93" si="110">$G$93</f>
        <v>12.5</v>
      </c>
      <c r="O93" s="243">
        <f t="shared" si="110"/>
        <v>12.5</v>
      </c>
      <c r="P93" s="243">
        <f t="shared" si="110"/>
        <v>12.5</v>
      </c>
      <c r="Q93" s="243">
        <f t="shared" si="110"/>
        <v>12.5</v>
      </c>
      <c r="R93" s="243">
        <f t="shared" si="110"/>
        <v>12.5</v>
      </c>
      <c r="S93" s="243">
        <f t="shared" si="110"/>
        <v>12.5</v>
      </c>
      <c r="T93" s="243">
        <f t="shared" si="110"/>
        <v>12.5</v>
      </c>
      <c r="U93" s="243">
        <f t="shared" si="110"/>
        <v>12.5</v>
      </c>
      <c r="V93" s="243">
        <f t="shared" si="110"/>
        <v>12.5</v>
      </c>
      <c r="W93" s="243">
        <f t="shared" si="110"/>
        <v>12.5</v>
      </c>
      <c r="X93" s="243">
        <f t="shared" si="110"/>
        <v>12.5</v>
      </c>
      <c r="Y93" s="243">
        <f t="shared" si="110"/>
        <v>12.5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20" customHeight="1" x14ac:dyDescent="0.45">
      <c r="A94" s="62"/>
      <c r="B94" s="231" t="s">
        <v>205</v>
      </c>
      <c r="C94" s="220" t="s">
        <v>291</v>
      </c>
      <c r="D94" s="220"/>
      <c r="E94" s="220">
        <v>1</v>
      </c>
      <c r="F94" s="242">
        <f t="shared" si="71"/>
        <v>0</v>
      </c>
      <c r="G94" s="261">
        <f t="shared" si="64"/>
        <v>0</v>
      </c>
      <c r="H94" s="242">
        <v>0</v>
      </c>
      <c r="I94" s="242">
        <f t="shared" si="68"/>
        <v>0</v>
      </c>
      <c r="J94" s="242">
        <f t="shared" si="69"/>
        <v>0</v>
      </c>
      <c r="K94" s="24"/>
      <c r="L94" s="243">
        <v>0</v>
      </c>
      <c r="M94" s="243">
        <f>$G$94</f>
        <v>0</v>
      </c>
      <c r="N94" s="243">
        <f t="shared" ref="N94:Y94" si="111">$G$94</f>
        <v>0</v>
      </c>
      <c r="O94" s="243">
        <f t="shared" si="111"/>
        <v>0</v>
      </c>
      <c r="P94" s="243">
        <f t="shared" si="111"/>
        <v>0</v>
      </c>
      <c r="Q94" s="243">
        <f t="shared" si="111"/>
        <v>0</v>
      </c>
      <c r="R94" s="243">
        <f t="shared" si="111"/>
        <v>0</v>
      </c>
      <c r="S94" s="243">
        <f t="shared" si="111"/>
        <v>0</v>
      </c>
      <c r="T94" s="243">
        <f t="shared" si="111"/>
        <v>0</v>
      </c>
      <c r="U94" s="243">
        <f t="shared" si="111"/>
        <v>0</v>
      </c>
      <c r="V94" s="243">
        <f t="shared" si="111"/>
        <v>0</v>
      </c>
      <c r="W94" s="243">
        <f t="shared" si="111"/>
        <v>0</v>
      </c>
      <c r="X94" s="243">
        <f t="shared" si="111"/>
        <v>0</v>
      </c>
      <c r="Y94" s="243">
        <f t="shared" si="111"/>
        <v>0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20" customHeight="1" x14ac:dyDescent="0.45">
      <c r="A95" s="62"/>
      <c r="B95" s="231" t="s">
        <v>206</v>
      </c>
      <c r="C95" s="220"/>
      <c r="D95" s="220"/>
      <c r="E95" s="220">
        <v>1</v>
      </c>
      <c r="F95" s="242">
        <f t="shared" si="71"/>
        <v>0</v>
      </c>
      <c r="G95" s="261">
        <f t="shared" si="64"/>
        <v>0</v>
      </c>
      <c r="H95" s="242">
        <v>0</v>
      </c>
      <c r="I95" s="242">
        <f t="shared" si="68"/>
        <v>0</v>
      </c>
      <c r="J95" s="242">
        <f t="shared" si="69"/>
        <v>0</v>
      </c>
      <c r="K95" s="24"/>
      <c r="L95" s="243">
        <v>0</v>
      </c>
      <c r="M95" s="243">
        <f>$G$95</f>
        <v>0</v>
      </c>
      <c r="N95" s="243">
        <f t="shared" ref="N95:Y95" si="112">$G$95</f>
        <v>0</v>
      </c>
      <c r="O95" s="243">
        <f t="shared" si="112"/>
        <v>0</v>
      </c>
      <c r="P95" s="243">
        <f t="shared" si="112"/>
        <v>0</v>
      </c>
      <c r="Q95" s="243">
        <f t="shared" si="112"/>
        <v>0</v>
      </c>
      <c r="R95" s="243">
        <f t="shared" si="112"/>
        <v>0</v>
      </c>
      <c r="S95" s="243">
        <f t="shared" si="112"/>
        <v>0</v>
      </c>
      <c r="T95" s="243">
        <f t="shared" si="112"/>
        <v>0</v>
      </c>
      <c r="U95" s="243">
        <f t="shared" si="112"/>
        <v>0</v>
      </c>
      <c r="V95" s="243">
        <f t="shared" si="112"/>
        <v>0</v>
      </c>
      <c r="W95" s="243">
        <f t="shared" si="112"/>
        <v>0</v>
      </c>
      <c r="X95" s="243">
        <f t="shared" si="112"/>
        <v>0</v>
      </c>
      <c r="Y95" s="243">
        <f t="shared" si="112"/>
        <v>0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20" customHeight="1" x14ac:dyDescent="0.45">
      <c r="A96" s="62"/>
      <c r="B96" s="231" t="s">
        <v>207</v>
      </c>
      <c r="C96" s="220"/>
      <c r="D96" s="220"/>
      <c r="E96" s="220">
        <v>1</v>
      </c>
      <c r="F96" s="242">
        <f t="shared" si="71"/>
        <v>0</v>
      </c>
      <c r="G96" s="261">
        <f t="shared" si="64"/>
        <v>0</v>
      </c>
      <c r="H96" s="242">
        <v>0</v>
      </c>
      <c r="I96" s="242">
        <f t="shared" si="68"/>
        <v>0</v>
      </c>
      <c r="J96" s="242">
        <f t="shared" si="69"/>
        <v>0</v>
      </c>
      <c r="K96" s="24"/>
      <c r="L96" s="243">
        <v>0</v>
      </c>
      <c r="M96" s="243">
        <f>$G$96</f>
        <v>0</v>
      </c>
      <c r="N96" s="243">
        <f t="shared" ref="N96:Y96" si="113">$G$96</f>
        <v>0</v>
      </c>
      <c r="O96" s="243">
        <f t="shared" si="113"/>
        <v>0</v>
      </c>
      <c r="P96" s="243">
        <f t="shared" si="113"/>
        <v>0</v>
      </c>
      <c r="Q96" s="243">
        <f t="shared" si="113"/>
        <v>0</v>
      </c>
      <c r="R96" s="243">
        <f t="shared" si="113"/>
        <v>0</v>
      </c>
      <c r="S96" s="243">
        <f t="shared" si="113"/>
        <v>0</v>
      </c>
      <c r="T96" s="243">
        <f t="shared" si="113"/>
        <v>0</v>
      </c>
      <c r="U96" s="243">
        <f t="shared" si="113"/>
        <v>0</v>
      </c>
      <c r="V96" s="243">
        <f t="shared" si="113"/>
        <v>0</v>
      </c>
      <c r="W96" s="243">
        <f t="shared" si="113"/>
        <v>0</v>
      </c>
      <c r="X96" s="243">
        <f t="shared" si="113"/>
        <v>0</v>
      </c>
      <c r="Y96" s="243">
        <f t="shared" si="113"/>
        <v>0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20" customHeight="1" x14ac:dyDescent="0.45">
      <c r="A97" s="62"/>
      <c r="B97" s="231" t="s">
        <v>208</v>
      </c>
      <c r="C97" s="220" t="s">
        <v>282</v>
      </c>
      <c r="D97" s="220"/>
      <c r="E97" s="220">
        <v>1</v>
      </c>
      <c r="F97" s="242">
        <f t="shared" si="71"/>
        <v>20</v>
      </c>
      <c r="G97" s="261">
        <f t="shared" si="64"/>
        <v>20</v>
      </c>
      <c r="H97" s="242">
        <v>400</v>
      </c>
      <c r="I97" s="242">
        <f t="shared" si="68"/>
        <v>400</v>
      </c>
      <c r="J97" s="242">
        <f t="shared" si="69"/>
        <v>463.99999999999994</v>
      </c>
      <c r="K97" s="24"/>
      <c r="L97" s="243">
        <v>0</v>
      </c>
      <c r="M97" s="243">
        <f>$G$97</f>
        <v>20</v>
      </c>
      <c r="N97" s="243">
        <f t="shared" ref="N97:Y97" si="114">$G$97</f>
        <v>20</v>
      </c>
      <c r="O97" s="243">
        <f t="shared" si="114"/>
        <v>20</v>
      </c>
      <c r="P97" s="243">
        <f t="shared" si="114"/>
        <v>20</v>
      </c>
      <c r="Q97" s="243">
        <f t="shared" si="114"/>
        <v>20</v>
      </c>
      <c r="R97" s="243">
        <f t="shared" si="114"/>
        <v>20</v>
      </c>
      <c r="S97" s="243">
        <f t="shared" si="114"/>
        <v>20</v>
      </c>
      <c r="T97" s="243">
        <f t="shared" si="114"/>
        <v>20</v>
      </c>
      <c r="U97" s="243">
        <f t="shared" si="114"/>
        <v>20</v>
      </c>
      <c r="V97" s="243">
        <f t="shared" si="114"/>
        <v>20</v>
      </c>
      <c r="W97" s="243">
        <f t="shared" si="114"/>
        <v>20</v>
      </c>
      <c r="X97" s="243">
        <f t="shared" si="114"/>
        <v>20</v>
      </c>
      <c r="Y97" s="243">
        <f t="shared" si="114"/>
        <v>20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20" customHeight="1" x14ac:dyDescent="0.45">
      <c r="A98" s="62"/>
      <c r="B98" s="231" t="s">
        <v>209</v>
      </c>
      <c r="C98" s="220"/>
      <c r="D98" s="220"/>
      <c r="E98" s="220">
        <v>1</v>
      </c>
      <c r="F98" s="242">
        <f t="shared" si="71"/>
        <v>0</v>
      </c>
      <c r="G98" s="261">
        <f t="shared" si="64"/>
        <v>0</v>
      </c>
      <c r="H98" s="242">
        <v>0</v>
      </c>
      <c r="I98" s="242">
        <f t="shared" si="68"/>
        <v>0</v>
      </c>
      <c r="J98" s="242">
        <f t="shared" si="69"/>
        <v>0</v>
      </c>
      <c r="K98" s="24"/>
      <c r="L98" s="243">
        <v>0</v>
      </c>
      <c r="M98" s="243">
        <f>$G$98</f>
        <v>0</v>
      </c>
      <c r="N98" s="243">
        <f t="shared" ref="N98:Y98" si="115">$G$98</f>
        <v>0</v>
      </c>
      <c r="O98" s="243">
        <f t="shared" si="115"/>
        <v>0</v>
      </c>
      <c r="P98" s="243">
        <f t="shared" si="115"/>
        <v>0</v>
      </c>
      <c r="Q98" s="243">
        <f t="shared" si="115"/>
        <v>0</v>
      </c>
      <c r="R98" s="243">
        <f t="shared" si="115"/>
        <v>0</v>
      </c>
      <c r="S98" s="243">
        <f t="shared" si="115"/>
        <v>0</v>
      </c>
      <c r="T98" s="243">
        <f t="shared" si="115"/>
        <v>0</v>
      </c>
      <c r="U98" s="243">
        <f t="shared" si="115"/>
        <v>0</v>
      </c>
      <c r="V98" s="243">
        <f t="shared" si="115"/>
        <v>0</v>
      </c>
      <c r="W98" s="243">
        <f t="shared" si="115"/>
        <v>0</v>
      </c>
      <c r="X98" s="243">
        <f t="shared" si="115"/>
        <v>0</v>
      </c>
      <c r="Y98" s="243">
        <f t="shared" si="115"/>
        <v>0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20" customHeight="1" x14ac:dyDescent="0.45">
      <c r="A99" s="62"/>
      <c r="B99" s="231" t="s">
        <v>210</v>
      </c>
      <c r="C99" s="220"/>
      <c r="D99" s="220"/>
      <c r="E99" s="220">
        <v>1</v>
      </c>
      <c r="F99" s="242">
        <f t="shared" si="71"/>
        <v>0</v>
      </c>
      <c r="G99" s="261">
        <f t="shared" si="64"/>
        <v>0</v>
      </c>
      <c r="H99" s="242">
        <v>0</v>
      </c>
      <c r="I99" s="242">
        <f t="shared" si="68"/>
        <v>0</v>
      </c>
      <c r="J99" s="242">
        <f t="shared" si="69"/>
        <v>0</v>
      </c>
      <c r="K99" s="24"/>
      <c r="L99" s="243">
        <v>0</v>
      </c>
      <c r="M99" s="243">
        <f>$G$99</f>
        <v>0</v>
      </c>
      <c r="N99" s="243">
        <f t="shared" ref="N99:Y99" si="116">$G$99</f>
        <v>0</v>
      </c>
      <c r="O99" s="243">
        <f t="shared" si="116"/>
        <v>0</v>
      </c>
      <c r="P99" s="243">
        <f t="shared" si="116"/>
        <v>0</v>
      </c>
      <c r="Q99" s="243">
        <f t="shared" si="116"/>
        <v>0</v>
      </c>
      <c r="R99" s="243">
        <f t="shared" si="116"/>
        <v>0</v>
      </c>
      <c r="S99" s="243">
        <f t="shared" si="116"/>
        <v>0</v>
      </c>
      <c r="T99" s="243">
        <f t="shared" si="116"/>
        <v>0</v>
      </c>
      <c r="U99" s="243">
        <f t="shared" si="116"/>
        <v>0</v>
      </c>
      <c r="V99" s="243">
        <f t="shared" si="116"/>
        <v>0</v>
      </c>
      <c r="W99" s="243">
        <f t="shared" si="116"/>
        <v>0</v>
      </c>
      <c r="X99" s="243">
        <f t="shared" si="116"/>
        <v>0</v>
      </c>
      <c r="Y99" s="243">
        <f t="shared" si="116"/>
        <v>0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20" customHeight="1" x14ac:dyDescent="0.45">
      <c r="A100" s="62"/>
      <c r="B100" s="231" t="s">
        <v>211</v>
      </c>
      <c r="C100" s="220"/>
      <c r="D100" s="220"/>
      <c r="E100" s="220">
        <v>1</v>
      </c>
      <c r="F100" s="242">
        <f t="shared" si="71"/>
        <v>0</v>
      </c>
      <c r="G100" s="261">
        <f t="shared" si="64"/>
        <v>0</v>
      </c>
      <c r="H100" s="242">
        <v>0</v>
      </c>
      <c r="I100" s="242">
        <f t="shared" si="68"/>
        <v>0</v>
      </c>
      <c r="J100" s="242">
        <f t="shared" si="69"/>
        <v>0</v>
      </c>
      <c r="K100" s="24"/>
      <c r="L100" s="243">
        <v>0</v>
      </c>
      <c r="M100" s="243">
        <f>$G$100</f>
        <v>0</v>
      </c>
      <c r="N100" s="243">
        <f t="shared" ref="N100:Y100" si="117">$G$100</f>
        <v>0</v>
      </c>
      <c r="O100" s="243">
        <f t="shared" si="117"/>
        <v>0</v>
      </c>
      <c r="P100" s="243">
        <f t="shared" si="117"/>
        <v>0</v>
      </c>
      <c r="Q100" s="243">
        <f t="shared" si="117"/>
        <v>0</v>
      </c>
      <c r="R100" s="243">
        <f t="shared" si="117"/>
        <v>0</v>
      </c>
      <c r="S100" s="243">
        <f t="shared" si="117"/>
        <v>0</v>
      </c>
      <c r="T100" s="243">
        <f t="shared" si="117"/>
        <v>0</v>
      </c>
      <c r="U100" s="243">
        <f t="shared" si="117"/>
        <v>0</v>
      </c>
      <c r="V100" s="243">
        <f t="shared" si="117"/>
        <v>0</v>
      </c>
      <c r="W100" s="243">
        <f t="shared" si="117"/>
        <v>0</v>
      </c>
      <c r="X100" s="243">
        <f t="shared" si="117"/>
        <v>0</v>
      </c>
      <c r="Y100" s="243">
        <f t="shared" si="117"/>
        <v>0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20" customHeight="1" x14ac:dyDescent="0.45">
      <c r="A101" s="62"/>
      <c r="B101" s="231" t="s">
        <v>212</v>
      </c>
      <c r="C101" s="220"/>
      <c r="D101" s="220"/>
      <c r="E101" s="220">
        <v>1</v>
      </c>
      <c r="F101" s="242">
        <f t="shared" si="71"/>
        <v>0</v>
      </c>
      <c r="G101" s="261">
        <f t="shared" si="64"/>
        <v>0</v>
      </c>
      <c r="H101" s="242">
        <v>0</v>
      </c>
      <c r="I101" s="242">
        <f t="shared" si="68"/>
        <v>0</v>
      </c>
      <c r="J101" s="242">
        <f t="shared" si="69"/>
        <v>0</v>
      </c>
      <c r="K101" s="24"/>
      <c r="L101" s="243">
        <v>0</v>
      </c>
      <c r="M101" s="243">
        <f>$G$101</f>
        <v>0</v>
      </c>
      <c r="N101" s="243">
        <f t="shared" ref="N101:Y101" si="118">$G$101</f>
        <v>0</v>
      </c>
      <c r="O101" s="243">
        <f t="shared" si="118"/>
        <v>0</v>
      </c>
      <c r="P101" s="243">
        <f t="shared" si="118"/>
        <v>0</v>
      </c>
      <c r="Q101" s="243">
        <f t="shared" si="118"/>
        <v>0</v>
      </c>
      <c r="R101" s="243">
        <f t="shared" si="118"/>
        <v>0</v>
      </c>
      <c r="S101" s="243">
        <f t="shared" si="118"/>
        <v>0</v>
      </c>
      <c r="T101" s="243">
        <f t="shared" si="118"/>
        <v>0</v>
      </c>
      <c r="U101" s="243">
        <f t="shared" si="118"/>
        <v>0</v>
      </c>
      <c r="V101" s="243">
        <f t="shared" si="118"/>
        <v>0</v>
      </c>
      <c r="W101" s="243">
        <f t="shared" si="118"/>
        <v>0</v>
      </c>
      <c r="X101" s="243">
        <f t="shared" si="118"/>
        <v>0</v>
      </c>
      <c r="Y101" s="243">
        <f t="shared" si="118"/>
        <v>0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20" customHeight="1" x14ac:dyDescent="0.45">
      <c r="A102" s="62"/>
      <c r="B102" s="231" t="s">
        <v>213</v>
      </c>
      <c r="C102" s="220"/>
      <c r="D102" s="220"/>
      <c r="E102" s="220">
        <v>1</v>
      </c>
      <c r="F102" s="242">
        <f t="shared" si="71"/>
        <v>0</v>
      </c>
      <c r="G102" s="261">
        <f t="shared" si="64"/>
        <v>0</v>
      </c>
      <c r="H102" s="242">
        <v>0</v>
      </c>
      <c r="I102" s="242">
        <f t="shared" si="68"/>
        <v>0</v>
      </c>
      <c r="J102" s="242">
        <f t="shared" si="69"/>
        <v>0</v>
      </c>
      <c r="K102" s="24"/>
      <c r="L102" s="243">
        <v>0</v>
      </c>
      <c r="M102" s="243">
        <f>$G$102</f>
        <v>0</v>
      </c>
      <c r="N102" s="243">
        <f t="shared" ref="N102:Y102" si="119">$G$102</f>
        <v>0</v>
      </c>
      <c r="O102" s="243">
        <f t="shared" si="119"/>
        <v>0</v>
      </c>
      <c r="P102" s="243">
        <f t="shared" si="119"/>
        <v>0</v>
      </c>
      <c r="Q102" s="243">
        <f t="shared" si="119"/>
        <v>0</v>
      </c>
      <c r="R102" s="243">
        <f t="shared" si="119"/>
        <v>0</v>
      </c>
      <c r="S102" s="243">
        <f t="shared" si="119"/>
        <v>0</v>
      </c>
      <c r="T102" s="243">
        <f t="shared" si="119"/>
        <v>0</v>
      </c>
      <c r="U102" s="243">
        <f t="shared" si="119"/>
        <v>0</v>
      </c>
      <c r="V102" s="243">
        <f t="shared" si="119"/>
        <v>0</v>
      </c>
      <c r="W102" s="243">
        <f t="shared" si="119"/>
        <v>0</v>
      </c>
      <c r="X102" s="243">
        <f t="shared" si="119"/>
        <v>0</v>
      </c>
      <c r="Y102" s="243">
        <f t="shared" si="119"/>
        <v>0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20" customHeight="1" x14ac:dyDescent="0.45">
      <c r="A103" s="62"/>
      <c r="B103" s="231" t="s">
        <v>214</v>
      </c>
      <c r="C103" s="220"/>
      <c r="D103" s="220"/>
      <c r="E103" s="220">
        <v>1</v>
      </c>
      <c r="F103" s="242">
        <f t="shared" si="71"/>
        <v>0</v>
      </c>
      <c r="G103" s="261">
        <f t="shared" si="64"/>
        <v>0</v>
      </c>
      <c r="H103" s="242">
        <v>0</v>
      </c>
      <c r="I103" s="242">
        <f t="shared" si="68"/>
        <v>0</v>
      </c>
      <c r="J103" s="242">
        <f t="shared" si="69"/>
        <v>0</v>
      </c>
      <c r="K103" s="24"/>
      <c r="L103" s="243">
        <v>0</v>
      </c>
      <c r="M103" s="243">
        <f>$G$103</f>
        <v>0</v>
      </c>
      <c r="N103" s="243">
        <f t="shared" ref="N103:Y103" si="120">$G$103</f>
        <v>0</v>
      </c>
      <c r="O103" s="243">
        <f t="shared" si="120"/>
        <v>0</v>
      </c>
      <c r="P103" s="243">
        <f t="shared" si="120"/>
        <v>0</v>
      </c>
      <c r="Q103" s="243">
        <f t="shared" si="120"/>
        <v>0</v>
      </c>
      <c r="R103" s="243">
        <f t="shared" si="120"/>
        <v>0</v>
      </c>
      <c r="S103" s="243">
        <f t="shared" si="120"/>
        <v>0</v>
      </c>
      <c r="T103" s="243">
        <f t="shared" si="120"/>
        <v>0</v>
      </c>
      <c r="U103" s="243">
        <f t="shared" si="120"/>
        <v>0</v>
      </c>
      <c r="V103" s="243">
        <f t="shared" si="120"/>
        <v>0</v>
      </c>
      <c r="W103" s="243">
        <f t="shared" si="120"/>
        <v>0</v>
      </c>
      <c r="X103" s="243">
        <f t="shared" si="120"/>
        <v>0</v>
      </c>
      <c r="Y103" s="243">
        <f t="shared" si="120"/>
        <v>0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20" customHeight="1" x14ac:dyDescent="0.45">
      <c r="A104" s="62"/>
      <c r="B104" s="231" t="s">
        <v>215</v>
      </c>
      <c r="C104" s="220"/>
      <c r="D104" s="220"/>
      <c r="E104" s="220">
        <v>1</v>
      </c>
      <c r="F104" s="242">
        <f t="shared" si="71"/>
        <v>0</v>
      </c>
      <c r="G104" s="261">
        <f t="shared" si="64"/>
        <v>0</v>
      </c>
      <c r="H104" s="242">
        <v>0</v>
      </c>
      <c r="I104" s="242">
        <f t="shared" si="68"/>
        <v>0</v>
      </c>
      <c r="J104" s="242">
        <f t="shared" si="69"/>
        <v>0</v>
      </c>
      <c r="K104" s="24"/>
      <c r="L104" s="243">
        <v>0</v>
      </c>
      <c r="M104" s="243">
        <f>$G$104</f>
        <v>0</v>
      </c>
      <c r="N104" s="243">
        <f t="shared" ref="N104:Y104" si="121">$G$104</f>
        <v>0</v>
      </c>
      <c r="O104" s="243">
        <f t="shared" si="121"/>
        <v>0</v>
      </c>
      <c r="P104" s="243">
        <f t="shared" si="121"/>
        <v>0</v>
      </c>
      <c r="Q104" s="243">
        <f t="shared" si="121"/>
        <v>0</v>
      </c>
      <c r="R104" s="243">
        <f t="shared" si="121"/>
        <v>0</v>
      </c>
      <c r="S104" s="243">
        <f t="shared" si="121"/>
        <v>0</v>
      </c>
      <c r="T104" s="243">
        <f t="shared" si="121"/>
        <v>0</v>
      </c>
      <c r="U104" s="243">
        <f t="shared" si="121"/>
        <v>0</v>
      </c>
      <c r="V104" s="243">
        <f t="shared" si="121"/>
        <v>0</v>
      </c>
      <c r="W104" s="243">
        <f t="shared" si="121"/>
        <v>0</v>
      </c>
      <c r="X104" s="243">
        <f t="shared" si="121"/>
        <v>0</v>
      </c>
      <c r="Y104" s="243">
        <f t="shared" si="121"/>
        <v>0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20" customHeight="1" x14ac:dyDescent="0.45">
      <c r="A105" s="62"/>
      <c r="B105" s="231" t="s">
        <v>93</v>
      </c>
      <c r="C105" s="220"/>
      <c r="D105" s="220"/>
      <c r="E105" s="220">
        <v>1</v>
      </c>
      <c r="F105" s="242">
        <f t="shared" si="71"/>
        <v>0</v>
      </c>
      <c r="G105" s="261">
        <f t="shared" si="64"/>
        <v>0</v>
      </c>
      <c r="H105" s="242">
        <v>0</v>
      </c>
      <c r="I105" s="242">
        <f t="shared" si="68"/>
        <v>0</v>
      </c>
      <c r="J105" s="242">
        <f t="shared" si="69"/>
        <v>0</v>
      </c>
      <c r="K105" s="24"/>
      <c r="L105" s="243">
        <v>0</v>
      </c>
      <c r="M105" s="243">
        <f>$G$105</f>
        <v>0</v>
      </c>
      <c r="N105" s="243">
        <f t="shared" ref="N105:Y105" si="122">$G$105</f>
        <v>0</v>
      </c>
      <c r="O105" s="243">
        <f t="shared" si="122"/>
        <v>0</v>
      </c>
      <c r="P105" s="243">
        <f t="shared" si="122"/>
        <v>0</v>
      </c>
      <c r="Q105" s="243">
        <f t="shared" si="122"/>
        <v>0</v>
      </c>
      <c r="R105" s="243">
        <f t="shared" si="122"/>
        <v>0</v>
      </c>
      <c r="S105" s="243">
        <f t="shared" si="122"/>
        <v>0</v>
      </c>
      <c r="T105" s="243">
        <f t="shared" si="122"/>
        <v>0</v>
      </c>
      <c r="U105" s="243">
        <f t="shared" si="122"/>
        <v>0</v>
      </c>
      <c r="V105" s="243">
        <f t="shared" si="122"/>
        <v>0</v>
      </c>
      <c r="W105" s="243">
        <f t="shared" si="122"/>
        <v>0</v>
      </c>
      <c r="X105" s="243">
        <f t="shared" si="122"/>
        <v>0</v>
      </c>
      <c r="Y105" s="243">
        <f t="shared" si="122"/>
        <v>0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20" customHeight="1" x14ac:dyDescent="0.45">
      <c r="A106" s="62"/>
      <c r="B106" s="231" t="s">
        <v>216</v>
      </c>
      <c r="C106" s="220"/>
      <c r="D106" s="220"/>
      <c r="E106" s="220">
        <v>1</v>
      </c>
      <c r="F106" s="242">
        <f t="shared" si="71"/>
        <v>0</v>
      </c>
      <c r="G106" s="261">
        <f t="shared" si="64"/>
        <v>0</v>
      </c>
      <c r="H106" s="242">
        <v>0</v>
      </c>
      <c r="I106" s="242">
        <f t="shared" si="68"/>
        <v>0</v>
      </c>
      <c r="J106" s="242">
        <f t="shared" si="69"/>
        <v>0</v>
      </c>
      <c r="K106" s="24"/>
      <c r="L106" s="243">
        <v>0</v>
      </c>
      <c r="M106" s="243">
        <f>$G$106</f>
        <v>0</v>
      </c>
      <c r="N106" s="243">
        <f t="shared" ref="N106:Y106" si="123">$G$106</f>
        <v>0</v>
      </c>
      <c r="O106" s="243">
        <f t="shared" si="123"/>
        <v>0</v>
      </c>
      <c r="P106" s="243">
        <f t="shared" si="123"/>
        <v>0</v>
      </c>
      <c r="Q106" s="243">
        <f t="shared" si="123"/>
        <v>0</v>
      </c>
      <c r="R106" s="243">
        <f t="shared" si="123"/>
        <v>0</v>
      </c>
      <c r="S106" s="243">
        <f t="shared" si="123"/>
        <v>0</v>
      </c>
      <c r="T106" s="243">
        <f t="shared" si="123"/>
        <v>0</v>
      </c>
      <c r="U106" s="243">
        <f t="shared" si="123"/>
        <v>0</v>
      </c>
      <c r="V106" s="243">
        <f t="shared" si="123"/>
        <v>0</v>
      </c>
      <c r="W106" s="243">
        <f t="shared" si="123"/>
        <v>0</v>
      </c>
      <c r="X106" s="243">
        <f t="shared" si="123"/>
        <v>0</v>
      </c>
      <c r="Y106" s="243">
        <f t="shared" si="123"/>
        <v>0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20" customHeight="1" x14ac:dyDescent="0.45">
      <c r="A107" s="62"/>
      <c r="B107" s="231" t="s">
        <v>217</v>
      </c>
      <c r="C107" s="220"/>
      <c r="D107" s="220"/>
      <c r="E107" s="220">
        <v>1</v>
      </c>
      <c r="F107" s="242">
        <f t="shared" si="71"/>
        <v>0</v>
      </c>
      <c r="G107" s="261">
        <f t="shared" si="64"/>
        <v>0</v>
      </c>
      <c r="H107" s="242">
        <v>0</v>
      </c>
      <c r="I107" s="242">
        <f t="shared" si="68"/>
        <v>0</v>
      </c>
      <c r="J107" s="242">
        <f t="shared" si="69"/>
        <v>0</v>
      </c>
      <c r="K107" s="24"/>
      <c r="L107" s="243">
        <v>0</v>
      </c>
      <c r="M107" s="243">
        <f>$G$107</f>
        <v>0</v>
      </c>
      <c r="N107" s="243">
        <f t="shared" ref="N107:Y107" si="124">$G$107</f>
        <v>0</v>
      </c>
      <c r="O107" s="243">
        <f t="shared" si="124"/>
        <v>0</v>
      </c>
      <c r="P107" s="243">
        <f t="shared" si="124"/>
        <v>0</v>
      </c>
      <c r="Q107" s="243">
        <f t="shared" si="124"/>
        <v>0</v>
      </c>
      <c r="R107" s="243">
        <f t="shared" si="124"/>
        <v>0</v>
      </c>
      <c r="S107" s="243">
        <f t="shared" si="124"/>
        <v>0</v>
      </c>
      <c r="T107" s="243">
        <f t="shared" si="124"/>
        <v>0</v>
      </c>
      <c r="U107" s="243">
        <f t="shared" si="124"/>
        <v>0</v>
      </c>
      <c r="V107" s="243">
        <f t="shared" si="124"/>
        <v>0</v>
      </c>
      <c r="W107" s="243">
        <f t="shared" si="124"/>
        <v>0</v>
      </c>
      <c r="X107" s="243">
        <f t="shared" si="124"/>
        <v>0</v>
      </c>
      <c r="Y107" s="243">
        <f t="shared" si="124"/>
        <v>0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20" customHeight="1" x14ac:dyDescent="0.45">
      <c r="A108" s="62"/>
      <c r="B108" s="231" t="s">
        <v>218</v>
      </c>
      <c r="C108" s="220" t="s">
        <v>437</v>
      </c>
      <c r="D108" s="220"/>
      <c r="E108" s="220">
        <v>1</v>
      </c>
      <c r="F108" s="242">
        <f t="shared" si="71"/>
        <v>5000</v>
      </c>
      <c r="G108" s="261">
        <f t="shared" si="64"/>
        <v>5000</v>
      </c>
      <c r="H108" s="242">
        <v>100000</v>
      </c>
      <c r="I108" s="242">
        <f t="shared" si="68"/>
        <v>100000</v>
      </c>
      <c r="J108" s="242">
        <f t="shared" si="69"/>
        <v>115999.99999999999</v>
      </c>
      <c r="K108" s="24"/>
      <c r="L108" s="243">
        <v>0</v>
      </c>
      <c r="M108" s="243">
        <f>$G$108</f>
        <v>5000</v>
      </c>
      <c r="N108" s="243">
        <f t="shared" ref="N108:Y108" si="125">$G$108</f>
        <v>5000</v>
      </c>
      <c r="O108" s="243">
        <f t="shared" si="125"/>
        <v>5000</v>
      </c>
      <c r="P108" s="243">
        <f t="shared" si="125"/>
        <v>5000</v>
      </c>
      <c r="Q108" s="243">
        <f t="shared" si="125"/>
        <v>5000</v>
      </c>
      <c r="R108" s="243">
        <f t="shared" si="125"/>
        <v>5000</v>
      </c>
      <c r="S108" s="243">
        <f t="shared" si="125"/>
        <v>5000</v>
      </c>
      <c r="T108" s="243">
        <f t="shared" si="125"/>
        <v>5000</v>
      </c>
      <c r="U108" s="243">
        <f t="shared" si="125"/>
        <v>5000</v>
      </c>
      <c r="V108" s="243">
        <f t="shared" si="125"/>
        <v>5000</v>
      </c>
      <c r="W108" s="243">
        <f t="shared" si="125"/>
        <v>5000</v>
      </c>
      <c r="X108" s="243">
        <f t="shared" si="125"/>
        <v>5000</v>
      </c>
      <c r="Y108" s="243">
        <f t="shared" si="125"/>
        <v>5000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20" customHeight="1" x14ac:dyDescent="0.45">
      <c r="A109" s="62"/>
      <c r="B109" s="231" t="s">
        <v>219</v>
      </c>
      <c r="C109" s="220" t="s">
        <v>292</v>
      </c>
      <c r="D109" s="220"/>
      <c r="E109" s="220">
        <v>1</v>
      </c>
      <c r="F109" s="242">
        <f t="shared" si="71"/>
        <v>900</v>
      </c>
      <c r="G109" s="261">
        <f t="shared" si="64"/>
        <v>900</v>
      </c>
      <c r="H109" s="242">
        <v>18000</v>
      </c>
      <c r="I109" s="242">
        <f t="shared" si="68"/>
        <v>18000</v>
      </c>
      <c r="J109" s="242">
        <f t="shared" si="69"/>
        <v>20880</v>
      </c>
      <c r="K109" s="24"/>
      <c r="L109" s="243">
        <v>0</v>
      </c>
      <c r="M109" s="243">
        <f>$G$109</f>
        <v>900</v>
      </c>
      <c r="N109" s="243">
        <f t="shared" ref="N109:Y109" si="126">$G$109</f>
        <v>900</v>
      </c>
      <c r="O109" s="243">
        <f t="shared" si="126"/>
        <v>900</v>
      </c>
      <c r="P109" s="243">
        <f t="shared" si="126"/>
        <v>900</v>
      </c>
      <c r="Q109" s="243">
        <f t="shared" si="126"/>
        <v>900</v>
      </c>
      <c r="R109" s="243">
        <f t="shared" si="126"/>
        <v>900</v>
      </c>
      <c r="S109" s="243">
        <f t="shared" si="126"/>
        <v>900</v>
      </c>
      <c r="T109" s="243">
        <f t="shared" si="126"/>
        <v>900</v>
      </c>
      <c r="U109" s="243">
        <f t="shared" si="126"/>
        <v>900</v>
      </c>
      <c r="V109" s="243">
        <f t="shared" si="126"/>
        <v>900</v>
      </c>
      <c r="W109" s="243">
        <f t="shared" si="126"/>
        <v>900</v>
      </c>
      <c r="X109" s="243">
        <f t="shared" si="126"/>
        <v>900</v>
      </c>
      <c r="Y109" s="243">
        <f t="shared" si="126"/>
        <v>900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20" customHeight="1" x14ac:dyDescent="0.45">
      <c r="A110" s="62"/>
      <c r="B110" s="231" t="s">
        <v>220</v>
      </c>
      <c r="C110" s="220" t="s">
        <v>293</v>
      </c>
      <c r="D110" s="220"/>
      <c r="E110" s="220">
        <v>1</v>
      </c>
      <c r="F110" s="242">
        <f t="shared" si="71"/>
        <v>0</v>
      </c>
      <c r="G110" s="261">
        <f t="shared" si="64"/>
        <v>0</v>
      </c>
      <c r="H110" s="242">
        <v>0</v>
      </c>
      <c r="I110" s="242">
        <f t="shared" si="68"/>
        <v>0</v>
      </c>
      <c r="J110" s="242">
        <f t="shared" si="69"/>
        <v>0</v>
      </c>
      <c r="K110" s="24"/>
      <c r="L110" s="243">
        <v>0</v>
      </c>
      <c r="M110" s="243">
        <f>$G$110</f>
        <v>0</v>
      </c>
      <c r="N110" s="243">
        <f t="shared" ref="N110:Y110" si="127">$G$110</f>
        <v>0</v>
      </c>
      <c r="O110" s="243">
        <f t="shared" si="127"/>
        <v>0</v>
      </c>
      <c r="P110" s="243">
        <f t="shared" si="127"/>
        <v>0</v>
      </c>
      <c r="Q110" s="243">
        <f t="shared" si="127"/>
        <v>0</v>
      </c>
      <c r="R110" s="243">
        <f t="shared" si="127"/>
        <v>0</v>
      </c>
      <c r="S110" s="243">
        <f t="shared" si="127"/>
        <v>0</v>
      </c>
      <c r="T110" s="243">
        <f t="shared" si="127"/>
        <v>0</v>
      </c>
      <c r="U110" s="243">
        <f t="shared" si="127"/>
        <v>0</v>
      </c>
      <c r="V110" s="243">
        <f t="shared" si="127"/>
        <v>0</v>
      </c>
      <c r="W110" s="243">
        <f t="shared" si="127"/>
        <v>0</v>
      </c>
      <c r="X110" s="243">
        <f t="shared" si="127"/>
        <v>0</v>
      </c>
      <c r="Y110" s="243">
        <f t="shared" si="127"/>
        <v>0</v>
      </c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20" customHeight="1" x14ac:dyDescent="0.45">
      <c r="A111" s="62"/>
      <c r="B111" s="231" t="s">
        <v>221</v>
      </c>
      <c r="C111" s="220" t="s">
        <v>294</v>
      </c>
      <c r="D111" s="220"/>
      <c r="E111" s="220">
        <v>1</v>
      </c>
      <c r="F111" s="242">
        <f t="shared" si="71"/>
        <v>5000</v>
      </c>
      <c r="G111" s="261">
        <f t="shared" si="64"/>
        <v>5000</v>
      </c>
      <c r="H111" s="242">
        <v>100000</v>
      </c>
      <c r="I111" s="242">
        <f t="shared" si="68"/>
        <v>100000</v>
      </c>
      <c r="J111" s="242">
        <f t="shared" si="69"/>
        <v>115999.99999999999</v>
      </c>
      <c r="K111" s="24"/>
      <c r="L111" s="243">
        <v>0</v>
      </c>
      <c r="M111" s="243">
        <v>0</v>
      </c>
      <c r="N111" s="243">
        <v>0</v>
      </c>
      <c r="O111" s="243">
        <v>0</v>
      </c>
      <c r="P111" s="243">
        <v>0</v>
      </c>
      <c r="Q111" s="243">
        <v>0</v>
      </c>
      <c r="R111" s="243">
        <v>0</v>
      </c>
      <c r="S111" s="243">
        <v>0</v>
      </c>
      <c r="T111" s="243">
        <v>0</v>
      </c>
      <c r="U111" s="243">
        <v>0</v>
      </c>
      <c r="V111" s="243">
        <v>0</v>
      </c>
      <c r="W111" s="243">
        <v>0</v>
      </c>
      <c r="X111" s="243">
        <v>0</v>
      </c>
      <c r="Y111" s="243">
        <f t="shared" ref="Y111" si="128">$G$111</f>
        <v>5000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20" customHeight="1" x14ac:dyDescent="0.45">
      <c r="A112" s="62"/>
      <c r="B112" s="231" t="s">
        <v>177</v>
      </c>
      <c r="C112" s="220"/>
      <c r="D112" s="220"/>
      <c r="E112" s="220">
        <v>1</v>
      </c>
      <c r="F112" s="242">
        <f t="shared" si="71"/>
        <v>0</v>
      </c>
      <c r="G112" s="261">
        <f t="shared" si="64"/>
        <v>0</v>
      </c>
      <c r="H112" s="242">
        <v>0</v>
      </c>
      <c r="I112" s="242">
        <f t="shared" si="68"/>
        <v>0</v>
      </c>
      <c r="J112" s="242">
        <f t="shared" si="69"/>
        <v>0</v>
      </c>
      <c r="K112" s="24"/>
      <c r="L112" s="243">
        <v>0</v>
      </c>
      <c r="M112" s="243">
        <f>$G$112</f>
        <v>0</v>
      </c>
      <c r="N112" s="243">
        <f t="shared" ref="N112:Y112" si="129">$G$112</f>
        <v>0</v>
      </c>
      <c r="O112" s="243">
        <f t="shared" si="129"/>
        <v>0</v>
      </c>
      <c r="P112" s="243">
        <f t="shared" si="129"/>
        <v>0</v>
      </c>
      <c r="Q112" s="243">
        <f t="shared" si="129"/>
        <v>0</v>
      </c>
      <c r="R112" s="243">
        <f t="shared" si="129"/>
        <v>0</v>
      </c>
      <c r="S112" s="243">
        <f t="shared" si="129"/>
        <v>0</v>
      </c>
      <c r="T112" s="243">
        <f t="shared" si="129"/>
        <v>0</v>
      </c>
      <c r="U112" s="243">
        <f t="shared" si="129"/>
        <v>0</v>
      </c>
      <c r="V112" s="243">
        <f t="shared" si="129"/>
        <v>0</v>
      </c>
      <c r="W112" s="243">
        <f t="shared" si="129"/>
        <v>0</v>
      </c>
      <c r="X112" s="243">
        <f t="shared" si="129"/>
        <v>0</v>
      </c>
      <c r="Y112" s="243">
        <f t="shared" si="129"/>
        <v>0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20" customHeight="1" x14ac:dyDescent="0.45">
      <c r="A113" s="62"/>
      <c r="B113" s="231" t="s">
        <v>222</v>
      </c>
      <c r="C113" s="220"/>
      <c r="D113" s="220"/>
      <c r="E113" s="220">
        <v>1</v>
      </c>
      <c r="F113" s="242">
        <f t="shared" si="71"/>
        <v>0</v>
      </c>
      <c r="G113" s="261">
        <f t="shared" si="64"/>
        <v>0</v>
      </c>
      <c r="H113" s="242">
        <v>0</v>
      </c>
      <c r="I113" s="242">
        <f t="shared" si="68"/>
        <v>0</v>
      </c>
      <c r="J113" s="242">
        <f t="shared" si="69"/>
        <v>0</v>
      </c>
      <c r="K113" s="24"/>
      <c r="L113" s="243">
        <v>0</v>
      </c>
      <c r="M113" s="243">
        <f>$G$113</f>
        <v>0</v>
      </c>
      <c r="N113" s="243">
        <f t="shared" ref="N113:Y113" si="130">$G$113</f>
        <v>0</v>
      </c>
      <c r="O113" s="243">
        <f t="shared" si="130"/>
        <v>0</v>
      </c>
      <c r="P113" s="243">
        <f t="shared" si="130"/>
        <v>0</v>
      </c>
      <c r="Q113" s="243">
        <f t="shared" si="130"/>
        <v>0</v>
      </c>
      <c r="R113" s="243">
        <f t="shared" si="130"/>
        <v>0</v>
      </c>
      <c r="S113" s="243">
        <f t="shared" si="130"/>
        <v>0</v>
      </c>
      <c r="T113" s="243">
        <f t="shared" si="130"/>
        <v>0</v>
      </c>
      <c r="U113" s="243">
        <f t="shared" si="130"/>
        <v>0</v>
      </c>
      <c r="V113" s="243">
        <f t="shared" si="130"/>
        <v>0</v>
      </c>
      <c r="W113" s="243">
        <f t="shared" si="130"/>
        <v>0</v>
      </c>
      <c r="X113" s="243">
        <f t="shared" si="130"/>
        <v>0</v>
      </c>
      <c r="Y113" s="243">
        <f t="shared" si="130"/>
        <v>0</v>
      </c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20" customHeight="1" x14ac:dyDescent="0.45">
      <c r="A114" s="62"/>
      <c r="B114" s="231" t="s">
        <v>223</v>
      </c>
      <c r="C114" s="220" t="s">
        <v>311</v>
      </c>
      <c r="D114" s="220"/>
      <c r="E114" s="220">
        <v>1</v>
      </c>
      <c r="F114" s="242">
        <f t="shared" si="71"/>
        <v>15</v>
      </c>
      <c r="G114" s="261">
        <f t="shared" si="64"/>
        <v>15</v>
      </c>
      <c r="H114" s="242">
        <v>300</v>
      </c>
      <c r="I114" s="242">
        <f t="shared" si="68"/>
        <v>300</v>
      </c>
      <c r="J114" s="242">
        <f t="shared" si="69"/>
        <v>348</v>
      </c>
      <c r="K114" s="24"/>
      <c r="L114" s="243">
        <v>0</v>
      </c>
      <c r="M114" s="243">
        <f>$G$114</f>
        <v>15</v>
      </c>
      <c r="N114" s="243">
        <f t="shared" ref="N114:Y114" si="131">$G$114</f>
        <v>15</v>
      </c>
      <c r="O114" s="243">
        <f t="shared" si="131"/>
        <v>15</v>
      </c>
      <c r="P114" s="243">
        <f t="shared" si="131"/>
        <v>15</v>
      </c>
      <c r="Q114" s="243">
        <f t="shared" si="131"/>
        <v>15</v>
      </c>
      <c r="R114" s="243">
        <f t="shared" si="131"/>
        <v>15</v>
      </c>
      <c r="S114" s="243">
        <f t="shared" si="131"/>
        <v>15</v>
      </c>
      <c r="T114" s="243">
        <f t="shared" si="131"/>
        <v>15</v>
      </c>
      <c r="U114" s="243">
        <f t="shared" si="131"/>
        <v>15</v>
      </c>
      <c r="V114" s="243">
        <f t="shared" si="131"/>
        <v>15</v>
      </c>
      <c r="W114" s="243">
        <f t="shared" si="131"/>
        <v>15</v>
      </c>
      <c r="X114" s="243">
        <f t="shared" si="131"/>
        <v>15</v>
      </c>
      <c r="Y114" s="243">
        <f t="shared" si="131"/>
        <v>15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20" customHeight="1" x14ac:dyDescent="0.45">
      <c r="A115" s="62"/>
      <c r="B115" s="68"/>
      <c r="C115" s="4"/>
      <c r="D115" s="50"/>
      <c r="E115" s="49"/>
      <c r="F115" s="53"/>
      <c r="G115" s="74"/>
      <c r="H115" s="53"/>
      <c r="I115" s="53"/>
      <c r="J115" s="74"/>
      <c r="K115" s="24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20" customHeight="1" x14ac:dyDescent="0.45">
      <c r="A116" s="62"/>
      <c r="B116" s="52"/>
      <c r="C116" s="52"/>
      <c r="D116" s="46"/>
      <c r="E116" s="4"/>
      <c r="F116" s="358">
        <f>EGRESOS!R22</f>
        <v>920937.5</v>
      </c>
      <c r="G116" s="359" t="s">
        <v>276</v>
      </c>
      <c r="H116" s="359"/>
      <c r="I116" s="325" t="s">
        <v>402</v>
      </c>
      <c r="J116" s="326"/>
      <c r="K116" s="24"/>
      <c r="L116" s="210">
        <f>SUM(L52:L114)</f>
        <v>0</v>
      </c>
      <c r="M116" s="210">
        <f t="shared" ref="M116:W116" si="132">SUM(M52:M114)</f>
        <v>70537.5</v>
      </c>
      <c r="N116" s="210">
        <f t="shared" si="132"/>
        <v>70837.5</v>
      </c>
      <c r="O116" s="210">
        <f t="shared" si="132"/>
        <v>70387.5</v>
      </c>
      <c r="P116" s="210">
        <f t="shared" si="132"/>
        <v>70387.5</v>
      </c>
      <c r="Q116" s="210">
        <f t="shared" si="132"/>
        <v>70387.5</v>
      </c>
      <c r="R116" s="210">
        <f t="shared" si="132"/>
        <v>70537.5</v>
      </c>
      <c r="S116" s="210">
        <f t="shared" si="132"/>
        <v>70387.5</v>
      </c>
      <c r="T116" s="210">
        <f t="shared" si="132"/>
        <v>70387.5</v>
      </c>
      <c r="U116" s="210">
        <f t="shared" si="132"/>
        <v>70387.5</v>
      </c>
      <c r="V116" s="210">
        <f t="shared" si="132"/>
        <v>70387.5</v>
      </c>
      <c r="W116" s="210">
        <f t="shared" si="132"/>
        <v>70387.5</v>
      </c>
      <c r="X116" s="210">
        <f>SUM(X52:X114)</f>
        <v>70537.5</v>
      </c>
      <c r="Y116" s="210">
        <f>SUM(Y52:Y114)</f>
        <v>75387.5</v>
      </c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20" customHeight="1" x14ac:dyDescent="0.45">
      <c r="A117" s="62"/>
      <c r="B117" s="52"/>
      <c r="C117" s="52"/>
      <c r="D117" s="4"/>
      <c r="E117" s="4"/>
      <c r="F117" s="359"/>
      <c r="G117" s="359"/>
      <c r="H117" s="359"/>
      <c r="I117" s="327" t="s">
        <v>397</v>
      </c>
      <c r="J117" s="328"/>
      <c r="K117" s="24"/>
      <c r="L117" s="211">
        <f>L116/$J$199</f>
        <v>0</v>
      </c>
      <c r="M117" s="211">
        <f t="shared" ref="M117" si="133">M116/$J$199</f>
        <v>3526.875</v>
      </c>
      <c r="N117" s="211">
        <f t="shared" ref="N117" si="134">N116/$J$199</f>
        <v>3541.875</v>
      </c>
      <c r="O117" s="211">
        <f t="shared" ref="O117" si="135">O116/$J$199</f>
        <v>3519.375</v>
      </c>
      <c r="P117" s="211">
        <f t="shared" ref="P117" si="136">P116/$J$199</f>
        <v>3519.375</v>
      </c>
      <c r="Q117" s="211">
        <f t="shared" ref="Q117" si="137">Q116/$J$199</f>
        <v>3519.375</v>
      </c>
      <c r="R117" s="211">
        <f t="shared" ref="R117" si="138">R116/$J$199</f>
        <v>3526.875</v>
      </c>
      <c r="S117" s="211">
        <f t="shared" ref="S117" si="139">S116/$J$199</f>
        <v>3519.375</v>
      </c>
      <c r="T117" s="211">
        <f t="shared" ref="T117" si="140">T116/$J$199</f>
        <v>3519.375</v>
      </c>
      <c r="U117" s="211">
        <f t="shared" ref="U117" si="141">U116/$J$199</f>
        <v>3519.375</v>
      </c>
      <c r="V117" s="211">
        <f t="shared" ref="V117" si="142">V116/$J$199</f>
        <v>3519.375</v>
      </c>
      <c r="W117" s="211">
        <f t="shared" ref="W117" si="143">W116/$J$199</f>
        <v>3519.375</v>
      </c>
      <c r="X117" s="211">
        <f t="shared" ref="X117" si="144">X116/$J$199</f>
        <v>3526.875</v>
      </c>
      <c r="Y117" s="211">
        <f t="shared" ref="Y117" si="145">Y116/$J$199</f>
        <v>3769.375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20" customHeight="1" x14ac:dyDescent="0.45">
      <c r="A118" s="62"/>
      <c r="B118" s="52"/>
      <c r="C118" s="52"/>
      <c r="D118" s="4"/>
      <c r="E118" s="4"/>
      <c r="F118" s="359"/>
      <c r="G118" s="359"/>
      <c r="H118" s="359"/>
      <c r="I118" s="325" t="s">
        <v>403</v>
      </c>
      <c r="J118" s="326"/>
      <c r="K118" s="24"/>
      <c r="L118" s="210">
        <f>SUM(L116:Y116)</f>
        <v>920937.5</v>
      </c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20" customHeight="1" x14ac:dyDescent="0.45">
      <c r="A119" s="62"/>
      <c r="B119" s="52"/>
      <c r="C119" s="52"/>
      <c r="D119" s="4"/>
      <c r="E119" s="75"/>
      <c r="F119" s="359"/>
      <c r="G119" s="359"/>
      <c r="H119" s="359"/>
      <c r="I119" s="327" t="s">
        <v>256</v>
      </c>
      <c r="J119" s="328"/>
      <c r="K119" s="24"/>
      <c r="L119" s="262">
        <f>SUM(L117:Y117)</f>
        <v>46046.875</v>
      </c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20" customHeight="1" x14ac:dyDescent="0.45">
      <c r="A120" s="62"/>
      <c r="B120" s="52"/>
      <c r="C120" s="52"/>
      <c r="D120" s="52"/>
      <c r="E120" s="52"/>
      <c r="F120" s="52"/>
      <c r="G120" s="52"/>
      <c r="H120" s="52"/>
      <c r="I120" s="52"/>
      <c r="J120" s="52"/>
      <c r="K120" s="24"/>
      <c r="L120" s="10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20" customHeight="1" x14ac:dyDescent="0.45">
      <c r="A121" s="62"/>
      <c r="B121" s="355" t="s">
        <v>86</v>
      </c>
      <c r="C121" s="355"/>
      <c r="D121" s="355"/>
      <c r="E121" s="355"/>
      <c r="F121" s="355"/>
      <c r="G121" s="355"/>
      <c r="H121" s="355"/>
      <c r="I121" s="355"/>
      <c r="J121" s="355"/>
      <c r="K121" s="24"/>
      <c r="Z121" s="2"/>
      <c r="AA121" s="2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20" customHeight="1" x14ac:dyDescent="0.45">
      <c r="A122" s="62"/>
      <c r="B122" s="352" t="s">
        <v>407</v>
      </c>
      <c r="C122" s="352" t="s">
        <v>408</v>
      </c>
      <c r="D122" s="352" t="s">
        <v>23</v>
      </c>
      <c r="E122" s="352" t="s">
        <v>244</v>
      </c>
      <c r="F122" s="352" t="s">
        <v>239</v>
      </c>
      <c r="G122" s="352" t="s">
        <v>344</v>
      </c>
      <c r="H122" s="352" t="s">
        <v>240</v>
      </c>
      <c r="I122" s="352" t="s">
        <v>256</v>
      </c>
      <c r="J122" s="353" t="s">
        <v>398</v>
      </c>
      <c r="K122" s="24"/>
      <c r="L122" s="169" t="s">
        <v>74</v>
      </c>
      <c r="M122" s="170" t="s">
        <v>356</v>
      </c>
      <c r="N122" s="170" t="s">
        <v>357</v>
      </c>
      <c r="O122" s="170" t="s">
        <v>358</v>
      </c>
      <c r="P122" s="170" t="s">
        <v>359</v>
      </c>
      <c r="Q122" s="170" t="s">
        <v>360</v>
      </c>
      <c r="R122" s="170" t="s">
        <v>361</v>
      </c>
      <c r="S122" s="170" t="s">
        <v>362</v>
      </c>
      <c r="T122" s="170" t="s">
        <v>363</v>
      </c>
      <c r="U122" s="170" t="s">
        <v>364</v>
      </c>
      <c r="V122" s="170" t="s">
        <v>365</v>
      </c>
      <c r="W122" s="170" t="s">
        <v>366</v>
      </c>
      <c r="X122" s="170" t="s">
        <v>367</v>
      </c>
      <c r="Y122" s="170" t="s">
        <v>368</v>
      </c>
      <c r="Z122" s="2"/>
      <c r="AA122" s="2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20" customHeight="1" x14ac:dyDescent="0.45">
      <c r="A123" s="62"/>
      <c r="B123" s="336"/>
      <c r="C123" s="336"/>
      <c r="D123" s="336"/>
      <c r="E123" s="336" t="s">
        <v>244</v>
      </c>
      <c r="F123" s="336"/>
      <c r="G123" s="336" t="s">
        <v>344</v>
      </c>
      <c r="H123" s="336" t="s">
        <v>240</v>
      </c>
      <c r="I123" s="336" t="s">
        <v>256</v>
      </c>
      <c r="J123" s="354"/>
      <c r="K123" s="24"/>
      <c r="L123" s="171" t="s">
        <v>251</v>
      </c>
      <c r="M123" s="172" t="s">
        <v>339</v>
      </c>
      <c r="N123" s="172" t="s">
        <v>340</v>
      </c>
      <c r="O123" s="172" t="s">
        <v>341</v>
      </c>
      <c r="P123" s="172" t="s">
        <v>330</v>
      </c>
      <c r="Q123" s="172" t="s">
        <v>331</v>
      </c>
      <c r="R123" s="172" t="s">
        <v>332</v>
      </c>
      <c r="S123" s="172" t="s">
        <v>333</v>
      </c>
      <c r="T123" s="172" t="s">
        <v>334</v>
      </c>
      <c r="U123" s="172" t="s">
        <v>335</v>
      </c>
      <c r="V123" s="172" t="s">
        <v>336</v>
      </c>
      <c r="W123" s="172" t="s">
        <v>337</v>
      </c>
      <c r="X123" s="172" t="s">
        <v>338</v>
      </c>
      <c r="Y123" s="172" t="s">
        <v>339</v>
      </c>
      <c r="Z123" s="2"/>
      <c r="AA123" s="2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20" customHeight="1" x14ac:dyDescent="0.45">
      <c r="A124" s="62"/>
      <c r="B124" s="337"/>
      <c r="C124" s="337"/>
      <c r="D124" s="337"/>
      <c r="E124" s="337"/>
      <c r="F124" s="337"/>
      <c r="G124" s="337" t="s">
        <v>242</v>
      </c>
      <c r="H124" s="337" t="s">
        <v>243</v>
      </c>
      <c r="I124" s="337" t="s">
        <v>243</v>
      </c>
      <c r="J124" s="229" t="s">
        <v>399</v>
      </c>
      <c r="K124" s="24"/>
      <c r="L124" s="207" t="s">
        <v>251</v>
      </c>
      <c r="M124" s="208">
        <v>31</v>
      </c>
      <c r="N124" s="208">
        <v>28</v>
      </c>
      <c r="O124" s="208">
        <v>31</v>
      </c>
      <c r="P124" s="208">
        <v>30</v>
      </c>
      <c r="Q124" s="208">
        <v>31</v>
      </c>
      <c r="R124" s="208">
        <v>30</v>
      </c>
      <c r="S124" s="208">
        <v>31</v>
      </c>
      <c r="T124" s="208">
        <v>31</v>
      </c>
      <c r="U124" s="208">
        <v>30</v>
      </c>
      <c r="V124" s="208">
        <v>31</v>
      </c>
      <c r="W124" s="208">
        <v>30</v>
      </c>
      <c r="X124" s="208">
        <v>31</v>
      </c>
      <c r="Y124" s="208">
        <v>31</v>
      </c>
      <c r="Z124" s="2"/>
      <c r="AA124" s="2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20" customHeight="1" x14ac:dyDescent="0.45">
      <c r="A125" s="62"/>
      <c r="B125" s="231" t="s">
        <v>118</v>
      </c>
      <c r="C125" s="220"/>
      <c r="D125" s="220"/>
      <c r="E125" s="220">
        <v>1</v>
      </c>
      <c r="F125" s="242">
        <f>+H125/$J$199</f>
        <v>25</v>
      </c>
      <c r="G125" s="261">
        <f t="shared" ref="G125:G128" si="146">F125</f>
        <v>25</v>
      </c>
      <c r="H125" s="242">
        <v>500</v>
      </c>
      <c r="I125" s="242">
        <f>(E125*H125)</f>
        <v>500</v>
      </c>
      <c r="J125" s="242">
        <f>I125*1.16</f>
        <v>580</v>
      </c>
      <c r="K125" s="24"/>
      <c r="L125" s="243">
        <v>0</v>
      </c>
      <c r="M125" s="243">
        <f>$G$125</f>
        <v>25</v>
      </c>
      <c r="N125" s="243">
        <f t="shared" ref="N125:Y125" si="147">$G$125</f>
        <v>25</v>
      </c>
      <c r="O125" s="243">
        <f t="shared" si="147"/>
        <v>25</v>
      </c>
      <c r="P125" s="243">
        <f t="shared" si="147"/>
        <v>25</v>
      </c>
      <c r="Q125" s="243">
        <f t="shared" si="147"/>
        <v>25</v>
      </c>
      <c r="R125" s="243">
        <f t="shared" si="147"/>
        <v>25</v>
      </c>
      <c r="S125" s="243">
        <f t="shared" si="147"/>
        <v>25</v>
      </c>
      <c r="T125" s="243">
        <f t="shared" si="147"/>
        <v>25</v>
      </c>
      <c r="U125" s="243">
        <f t="shared" si="147"/>
        <v>25</v>
      </c>
      <c r="V125" s="243">
        <f t="shared" si="147"/>
        <v>25</v>
      </c>
      <c r="W125" s="243">
        <f t="shared" si="147"/>
        <v>25</v>
      </c>
      <c r="X125" s="243">
        <f t="shared" si="147"/>
        <v>25</v>
      </c>
      <c r="Y125" s="243">
        <f t="shared" si="147"/>
        <v>25</v>
      </c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20" customHeight="1" x14ac:dyDescent="0.45">
      <c r="A126" s="62"/>
      <c r="B126" s="231" t="s">
        <v>119</v>
      </c>
      <c r="C126" s="220"/>
      <c r="D126" s="220"/>
      <c r="E126" s="220">
        <v>1</v>
      </c>
      <c r="F126" s="242">
        <f t="shared" ref="F126" si="148">+H126/$J$199</f>
        <v>15</v>
      </c>
      <c r="G126" s="261">
        <f t="shared" si="146"/>
        <v>15</v>
      </c>
      <c r="H126" s="242">
        <v>300</v>
      </c>
      <c r="I126" s="242">
        <f>(E126*H126)</f>
        <v>300</v>
      </c>
      <c r="J126" s="242">
        <f>I126*1.16</f>
        <v>348</v>
      </c>
      <c r="K126" s="24"/>
      <c r="L126" s="243">
        <v>0</v>
      </c>
      <c r="M126" s="243">
        <f>$G$126</f>
        <v>15</v>
      </c>
      <c r="N126" s="243">
        <f t="shared" ref="N126:Y126" si="149">$G$126</f>
        <v>15</v>
      </c>
      <c r="O126" s="243">
        <f t="shared" si="149"/>
        <v>15</v>
      </c>
      <c r="P126" s="243">
        <f t="shared" si="149"/>
        <v>15</v>
      </c>
      <c r="Q126" s="243">
        <f t="shared" si="149"/>
        <v>15</v>
      </c>
      <c r="R126" s="243">
        <f t="shared" si="149"/>
        <v>15</v>
      </c>
      <c r="S126" s="243">
        <f t="shared" si="149"/>
        <v>15</v>
      </c>
      <c r="T126" s="243">
        <f t="shared" si="149"/>
        <v>15</v>
      </c>
      <c r="U126" s="243">
        <f t="shared" si="149"/>
        <v>15</v>
      </c>
      <c r="V126" s="243">
        <f t="shared" si="149"/>
        <v>15</v>
      </c>
      <c r="W126" s="243">
        <f t="shared" si="149"/>
        <v>15</v>
      </c>
      <c r="X126" s="243">
        <f t="shared" si="149"/>
        <v>15</v>
      </c>
      <c r="Y126" s="243">
        <f t="shared" si="149"/>
        <v>15</v>
      </c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20" customHeight="1" x14ac:dyDescent="0.45">
      <c r="A127" s="62"/>
      <c r="B127" s="231" t="s">
        <v>120</v>
      </c>
      <c r="C127" s="220"/>
      <c r="D127" s="220"/>
      <c r="E127" s="220">
        <v>1</v>
      </c>
      <c r="F127" s="242">
        <f>+H127/$J$199</f>
        <v>0</v>
      </c>
      <c r="G127" s="261">
        <f t="shared" si="146"/>
        <v>0</v>
      </c>
      <c r="H127" s="242">
        <v>0</v>
      </c>
      <c r="I127" s="242">
        <f>(E127*H127)</f>
        <v>0</v>
      </c>
      <c r="J127" s="242">
        <f>I127*1.16</f>
        <v>0</v>
      </c>
      <c r="K127" s="24"/>
      <c r="L127" s="243">
        <v>0</v>
      </c>
      <c r="M127" s="243">
        <f>$G$127</f>
        <v>0</v>
      </c>
      <c r="N127" s="243">
        <f t="shared" ref="N127:Y127" si="150">$G$127</f>
        <v>0</v>
      </c>
      <c r="O127" s="243">
        <f t="shared" si="150"/>
        <v>0</v>
      </c>
      <c r="P127" s="243">
        <f t="shared" si="150"/>
        <v>0</v>
      </c>
      <c r="Q127" s="243">
        <f t="shared" si="150"/>
        <v>0</v>
      </c>
      <c r="R127" s="243">
        <f t="shared" si="150"/>
        <v>0</v>
      </c>
      <c r="S127" s="243">
        <f t="shared" si="150"/>
        <v>0</v>
      </c>
      <c r="T127" s="243">
        <f t="shared" si="150"/>
        <v>0</v>
      </c>
      <c r="U127" s="243">
        <f t="shared" si="150"/>
        <v>0</v>
      </c>
      <c r="V127" s="243">
        <f t="shared" si="150"/>
        <v>0</v>
      </c>
      <c r="W127" s="243">
        <f t="shared" si="150"/>
        <v>0</v>
      </c>
      <c r="X127" s="243">
        <f t="shared" si="150"/>
        <v>0</v>
      </c>
      <c r="Y127" s="243">
        <f t="shared" si="150"/>
        <v>0</v>
      </c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20" customHeight="1" x14ac:dyDescent="0.45">
      <c r="A128" s="62"/>
      <c r="B128" s="231" t="s">
        <v>121</v>
      </c>
      <c r="C128" s="220"/>
      <c r="D128" s="220"/>
      <c r="E128" s="220">
        <v>1</v>
      </c>
      <c r="F128" s="242">
        <f t="shared" ref="F128" si="151">+H128/$J$199</f>
        <v>0</v>
      </c>
      <c r="G128" s="261">
        <f t="shared" si="146"/>
        <v>0</v>
      </c>
      <c r="H128" s="242">
        <v>0</v>
      </c>
      <c r="I128" s="242">
        <f>(E128*H128)</f>
        <v>0</v>
      </c>
      <c r="J128" s="242">
        <f>I128*1.16</f>
        <v>0</v>
      </c>
      <c r="K128" s="24"/>
      <c r="L128" s="243">
        <v>0</v>
      </c>
      <c r="M128" s="243">
        <f>$G$128</f>
        <v>0</v>
      </c>
      <c r="N128" s="243">
        <f t="shared" ref="N128:Y128" si="152">$G$128</f>
        <v>0</v>
      </c>
      <c r="O128" s="243">
        <f t="shared" si="152"/>
        <v>0</v>
      </c>
      <c r="P128" s="243">
        <f t="shared" si="152"/>
        <v>0</v>
      </c>
      <c r="Q128" s="243">
        <f t="shared" si="152"/>
        <v>0</v>
      </c>
      <c r="R128" s="243">
        <f t="shared" si="152"/>
        <v>0</v>
      </c>
      <c r="S128" s="243">
        <f t="shared" si="152"/>
        <v>0</v>
      </c>
      <c r="T128" s="243">
        <f t="shared" si="152"/>
        <v>0</v>
      </c>
      <c r="U128" s="243">
        <f t="shared" si="152"/>
        <v>0</v>
      </c>
      <c r="V128" s="243">
        <f t="shared" si="152"/>
        <v>0</v>
      </c>
      <c r="W128" s="243">
        <f t="shared" si="152"/>
        <v>0</v>
      </c>
      <c r="X128" s="243">
        <f t="shared" si="152"/>
        <v>0</v>
      </c>
      <c r="Y128" s="243">
        <f t="shared" si="152"/>
        <v>0</v>
      </c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20" customHeight="1" x14ac:dyDescent="0.45">
      <c r="A129" s="62"/>
      <c r="B129" s="68"/>
      <c r="C129" s="76"/>
      <c r="E129" s="74"/>
      <c r="F129" s="53"/>
      <c r="G129" s="4"/>
      <c r="H129" s="4"/>
      <c r="I129" s="4"/>
      <c r="J129" s="74"/>
      <c r="K129" s="24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20" customHeight="1" x14ac:dyDescent="0.45">
      <c r="A130" s="62"/>
      <c r="B130" s="4"/>
      <c r="C130" s="4"/>
      <c r="E130" s="4"/>
      <c r="F130" s="4"/>
      <c r="H130"/>
      <c r="I130" s="325" t="s">
        <v>402</v>
      </c>
      <c r="J130" s="326"/>
      <c r="K130" s="24"/>
      <c r="L130" s="210">
        <f>SUM(L125:L128)</f>
        <v>0</v>
      </c>
      <c r="M130" s="210">
        <f t="shared" ref="M130:W130" si="153">SUM(M125:M128)</f>
        <v>40</v>
      </c>
      <c r="N130" s="210">
        <f t="shared" si="153"/>
        <v>40</v>
      </c>
      <c r="O130" s="210">
        <f t="shared" si="153"/>
        <v>40</v>
      </c>
      <c r="P130" s="210">
        <f t="shared" si="153"/>
        <v>40</v>
      </c>
      <c r="Q130" s="210">
        <f t="shared" si="153"/>
        <v>40</v>
      </c>
      <c r="R130" s="210">
        <f t="shared" si="153"/>
        <v>40</v>
      </c>
      <c r="S130" s="210">
        <f t="shared" si="153"/>
        <v>40</v>
      </c>
      <c r="T130" s="210">
        <f t="shared" si="153"/>
        <v>40</v>
      </c>
      <c r="U130" s="210">
        <f t="shared" si="153"/>
        <v>40</v>
      </c>
      <c r="V130" s="210">
        <f t="shared" si="153"/>
        <v>40</v>
      </c>
      <c r="W130" s="210">
        <f t="shared" si="153"/>
        <v>40</v>
      </c>
      <c r="X130" s="210">
        <f>SUM(X125:X128)</f>
        <v>40</v>
      </c>
      <c r="Y130" s="210">
        <f>SUM(Y125:Y128)</f>
        <v>40</v>
      </c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20" customHeight="1" x14ac:dyDescent="0.45">
      <c r="A131" s="62"/>
      <c r="B131" s="4"/>
      <c r="C131" s="4"/>
      <c r="E131" s="4"/>
      <c r="F131" s="4"/>
      <c r="H131"/>
      <c r="I131" s="327" t="s">
        <v>397</v>
      </c>
      <c r="J131" s="328"/>
      <c r="K131" s="24"/>
      <c r="L131" s="211">
        <f>L130/$J$199</f>
        <v>0</v>
      </c>
      <c r="M131" s="211">
        <f t="shared" ref="M131" si="154">M130/$J$199</f>
        <v>2</v>
      </c>
      <c r="N131" s="211">
        <f t="shared" ref="N131" si="155">N130/$J$199</f>
        <v>2</v>
      </c>
      <c r="O131" s="211">
        <f t="shared" ref="O131" si="156">O130/$J$199</f>
        <v>2</v>
      </c>
      <c r="P131" s="211">
        <f t="shared" ref="P131" si="157">P130/$J$199</f>
        <v>2</v>
      </c>
      <c r="Q131" s="211">
        <f t="shared" ref="Q131" si="158">Q130/$J$199</f>
        <v>2</v>
      </c>
      <c r="R131" s="211">
        <f t="shared" ref="R131" si="159">R130/$J$199</f>
        <v>2</v>
      </c>
      <c r="S131" s="211">
        <f t="shared" ref="S131" si="160">S130/$J$199</f>
        <v>2</v>
      </c>
      <c r="T131" s="211">
        <f t="shared" ref="T131" si="161">T130/$J$199</f>
        <v>2</v>
      </c>
      <c r="U131" s="211">
        <f t="shared" ref="U131" si="162">U130/$J$199</f>
        <v>2</v>
      </c>
      <c r="V131" s="211">
        <f t="shared" ref="V131" si="163">V130/$J$199</f>
        <v>2</v>
      </c>
      <c r="W131" s="211">
        <f t="shared" ref="W131" si="164">W130/$J$199</f>
        <v>2</v>
      </c>
      <c r="X131" s="211">
        <f t="shared" ref="X131" si="165">X130/$J$199</f>
        <v>2</v>
      </c>
      <c r="Y131" s="211">
        <f t="shared" ref="Y131" si="166">Y130/$J$199</f>
        <v>2</v>
      </c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20" customHeight="1" x14ac:dyDescent="0.45">
      <c r="A132" s="62"/>
      <c r="B132" s="52"/>
      <c r="C132" s="52"/>
      <c r="E132" s="52"/>
      <c r="F132" s="52"/>
      <c r="G132" s="52"/>
      <c r="H132" s="52"/>
      <c r="I132" s="325" t="s">
        <v>403</v>
      </c>
      <c r="J132" s="326"/>
      <c r="K132" s="24"/>
      <c r="L132" s="210">
        <f>SUM(L130:Y130)</f>
        <v>520</v>
      </c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20" customHeight="1" x14ac:dyDescent="0.45">
      <c r="A133" s="62"/>
      <c r="B133" s="52"/>
      <c r="C133" s="52"/>
      <c r="D133" s="52"/>
      <c r="E133" s="52"/>
      <c r="F133" s="52"/>
      <c r="G133" s="52"/>
      <c r="H133" s="52"/>
      <c r="I133" s="327" t="s">
        <v>256</v>
      </c>
      <c r="J133" s="328"/>
      <c r="K133" s="24"/>
      <c r="L133" s="262">
        <f>SUM(L131:Y131)</f>
        <v>26</v>
      </c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20" customHeight="1" x14ac:dyDescent="0.45">
      <c r="A134" s="62"/>
      <c r="B134" s="52"/>
      <c r="C134" s="52"/>
      <c r="D134" s="52"/>
      <c r="E134" s="52"/>
      <c r="F134" s="52"/>
      <c r="G134" s="52"/>
      <c r="H134" s="52"/>
      <c r="I134" s="52"/>
      <c r="J134" s="77"/>
      <c r="K134" s="24"/>
      <c r="L134" s="10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20" customHeight="1" x14ac:dyDescent="0.45">
      <c r="A135" s="62"/>
      <c r="B135" s="355" t="s">
        <v>87</v>
      </c>
      <c r="C135" s="355"/>
      <c r="D135" s="355"/>
      <c r="E135" s="355"/>
      <c r="F135" s="355"/>
      <c r="G135" s="355"/>
      <c r="H135" s="355"/>
      <c r="I135" s="355"/>
      <c r="J135" s="355"/>
      <c r="K135" s="24"/>
      <c r="Z135" s="2"/>
      <c r="AA135" s="2"/>
    </row>
    <row r="136" spans="1:37" s="4" customFormat="1" ht="20" customHeight="1" x14ac:dyDescent="0.45">
      <c r="A136" s="62"/>
      <c r="B136" s="352" t="s">
        <v>407</v>
      </c>
      <c r="C136" s="352" t="s">
        <v>408</v>
      </c>
      <c r="D136" s="352" t="s">
        <v>23</v>
      </c>
      <c r="E136" s="352" t="s">
        <v>244</v>
      </c>
      <c r="F136" s="352" t="s">
        <v>239</v>
      </c>
      <c r="G136" s="352" t="s">
        <v>344</v>
      </c>
      <c r="H136" s="352" t="s">
        <v>240</v>
      </c>
      <c r="I136" s="352" t="s">
        <v>256</v>
      </c>
      <c r="J136" s="353" t="s">
        <v>398</v>
      </c>
      <c r="K136" s="24"/>
      <c r="L136" s="169" t="s">
        <v>74</v>
      </c>
      <c r="M136" s="170" t="s">
        <v>356</v>
      </c>
      <c r="N136" s="170" t="s">
        <v>357</v>
      </c>
      <c r="O136" s="170" t="s">
        <v>358</v>
      </c>
      <c r="P136" s="170" t="s">
        <v>359</v>
      </c>
      <c r="Q136" s="170" t="s">
        <v>360</v>
      </c>
      <c r="R136" s="170" t="s">
        <v>361</v>
      </c>
      <c r="S136" s="170" t="s">
        <v>362</v>
      </c>
      <c r="T136" s="170" t="s">
        <v>363</v>
      </c>
      <c r="U136" s="170" t="s">
        <v>364</v>
      </c>
      <c r="V136" s="170" t="s">
        <v>365</v>
      </c>
      <c r="W136" s="170" t="s">
        <v>366</v>
      </c>
      <c r="X136" s="170" t="s">
        <v>367</v>
      </c>
      <c r="Y136" s="170" t="s">
        <v>368</v>
      </c>
      <c r="Z136" s="2"/>
      <c r="AA136" s="2"/>
    </row>
    <row r="137" spans="1:37" s="4" customFormat="1" ht="20" customHeight="1" x14ac:dyDescent="0.45">
      <c r="A137" s="62"/>
      <c r="B137" s="336"/>
      <c r="C137" s="336"/>
      <c r="D137" s="336"/>
      <c r="E137" s="336" t="s">
        <v>244</v>
      </c>
      <c r="F137" s="336"/>
      <c r="G137" s="336" t="s">
        <v>344</v>
      </c>
      <c r="H137" s="336" t="s">
        <v>240</v>
      </c>
      <c r="I137" s="336" t="s">
        <v>256</v>
      </c>
      <c r="J137" s="354"/>
      <c r="K137" s="24"/>
      <c r="L137" s="171" t="s">
        <v>251</v>
      </c>
      <c r="M137" s="172" t="s">
        <v>339</v>
      </c>
      <c r="N137" s="172" t="s">
        <v>340</v>
      </c>
      <c r="O137" s="172" t="s">
        <v>341</v>
      </c>
      <c r="P137" s="172" t="s">
        <v>330</v>
      </c>
      <c r="Q137" s="172" t="s">
        <v>331</v>
      </c>
      <c r="R137" s="172" t="s">
        <v>332</v>
      </c>
      <c r="S137" s="172" t="s">
        <v>333</v>
      </c>
      <c r="T137" s="172" t="s">
        <v>334</v>
      </c>
      <c r="U137" s="172" t="s">
        <v>335</v>
      </c>
      <c r="V137" s="172" t="s">
        <v>336</v>
      </c>
      <c r="W137" s="172" t="s">
        <v>337</v>
      </c>
      <c r="X137" s="172" t="s">
        <v>338</v>
      </c>
      <c r="Y137" s="172" t="s">
        <v>339</v>
      </c>
      <c r="Z137" s="2"/>
      <c r="AA137" s="2"/>
    </row>
    <row r="138" spans="1:37" s="4" customFormat="1" ht="20" customHeight="1" x14ac:dyDescent="0.45">
      <c r="A138" s="62"/>
      <c r="B138" s="337"/>
      <c r="C138" s="337"/>
      <c r="D138" s="337"/>
      <c r="E138" s="337"/>
      <c r="F138" s="337"/>
      <c r="G138" s="337" t="s">
        <v>242</v>
      </c>
      <c r="H138" s="337" t="s">
        <v>243</v>
      </c>
      <c r="I138" s="337" t="s">
        <v>243</v>
      </c>
      <c r="J138" s="229" t="s">
        <v>399</v>
      </c>
      <c r="K138" s="24"/>
      <c r="L138" s="207" t="s">
        <v>251</v>
      </c>
      <c r="M138" s="208">
        <v>31</v>
      </c>
      <c r="N138" s="208">
        <v>28</v>
      </c>
      <c r="O138" s="208">
        <v>31</v>
      </c>
      <c r="P138" s="208">
        <v>30</v>
      </c>
      <c r="Q138" s="208">
        <v>31</v>
      </c>
      <c r="R138" s="208">
        <v>30</v>
      </c>
      <c r="S138" s="208">
        <v>31</v>
      </c>
      <c r="T138" s="208">
        <v>31</v>
      </c>
      <c r="U138" s="208">
        <v>30</v>
      </c>
      <c r="V138" s="208">
        <v>31</v>
      </c>
      <c r="W138" s="208">
        <v>30</v>
      </c>
      <c r="X138" s="208">
        <v>31</v>
      </c>
      <c r="Y138" s="208">
        <v>31</v>
      </c>
      <c r="Z138" s="2"/>
      <c r="AA138" s="2"/>
    </row>
    <row r="139" spans="1:37" s="4" customFormat="1" ht="20" customHeight="1" x14ac:dyDescent="0.45">
      <c r="A139" s="62"/>
      <c r="B139" s="231" t="s">
        <v>122</v>
      </c>
      <c r="C139" s="220"/>
      <c r="D139" s="220"/>
      <c r="E139" s="220">
        <v>1</v>
      </c>
      <c r="F139" s="242">
        <f>+H139/$J$199</f>
        <v>0</v>
      </c>
      <c r="G139" s="261">
        <f t="shared" ref="G139:G140" si="167">F139</f>
        <v>0</v>
      </c>
      <c r="H139" s="242">
        <v>0</v>
      </c>
      <c r="I139" s="242">
        <f>(E139*H139)</f>
        <v>0</v>
      </c>
      <c r="J139" s="242">
        <f>I139*1.16</f>
        <v>0</v>
      </c>
      <c r="K139" s="24"/>
      <c r="L139" s="243">
        <v>0</v>
      </c>
      <c r="M139" s="243">
        <f>$G$139</f>
        <v>0</v>
      </c>
      <c r="N139" s="243">
        <f t="shared" ref="N139:Y139" si="168">$G$139</f>
        <v>0</v>
      </c>
      <c r="O139" s="243">
        <f t="shared" si="168"/>
        <v>0</v>
      </c>
      <c r="P139" s="243">
        <f t="shared" si="168"/>
        <v>0</v>
      </c>
      <c r="Q139" s="243">
        <f t="shared" si="168"/>
        <v>0</v>
      </c>
      <c r="R139" s="243">
        <f t="shared" si="168"/>
        <v>0</v>
      </c>
      <c r="S139" s="243">
        <f t="shared" si="168"/>
        <v>0</v>
      </c>
      <c r="T139" s="243">
        <f t="shared" si="168"/>
        <v>0</v>
      </c>
      <c r="U139" s="243">
        <f t="shared" si="168"/>
        <v>0</v>
      </c>
      <c r="V139" s="243">
        <f t="shared" si="168"/>
        <v>0</v>
      </c>
      <c r="W139" s="243">
        <f t="shared" si="168"/>
        <v>0</v>
      </c>
      <c r="X139" s="243">
        <f t="shared" si="168"/>
        <v>0</v>
      </c>
      <c r="Y139" s="243">
        <f t="shared" si="168"/>
        <v>0</v>
      </c>
    </row>
    <row r="140" spans="1:37" s="4" customFormat="1" ht="20" customHeight="1" x14ac:dyDescent="0.45">
      <c r="A140" s="62"/>
      <c r="B140" s="231" t="s">
        <v>123</v>
      </c>
      <c r="C140" s="220"/>
      <c r="D140" s="220"/>
      <c r="E140" s="220">
        <v>1</v>
      </c>
      <c r="F140" s="242">
        <f t="shared" ref="F140" si="169">+H140/$J$199</f>
        <v>0</v>
      </c>
      <c r="G140" s="261">
        <f t="shared" si="167"/>
        <v>0</v>
      </c>
      <c r="H140" s="242">
        <v>0</v>
      </c>
      <c r="I140" s="242">
        <f>(E140*H140)</f>
        <v>0</v>
      </c>
      <c r="J140" s="242">
        <f>I140*1.16</f>
        <v>0</v>
      </c>
      <c r="K140" s="24"/>
      <c r="L140" s="243">
        <v>0</v>
      </c>
      <c r="M140" s="243">
        <f>$G$140</f>
        <v>0</v>
      </c>
      <c r="N140" s="243">
        <f t="shared" ref="N140:Y140" si="170">$G$140</f>
        <v>0</v>
      </c>
      <c r="O140" s="243">
        <f t="shared" si="170"/>
        <v>0</v>
      </c>
      <c r="P140" s="243">
        <f t="shared" si="170"/>
        <v>0</v>
      </c>
      <c r="Q140" s="243">
        <f t="shared" si="170"/>
        <v>0</v>
      </c>
      <c r="R140" s="243">
        <f t="shared" si="170"/>
        <v>0</v>
      </c>
      <c r="S140" s="243">
        <f t="shared" si="170"/>
        <v>0</v>
      </c>
      <c r="T140" s="243">
        <f t="shared" si="170"/>
        <v>0</v>
      </c>
      <c r="U140" s="243">
        <f t="shared" si="170"/>
        <v>0</v>
      </c>
      <c r="V140" s="243">
        <f t="shared" si="170"/>
        <v>0</v>
      </c>
      <c r="W140" s="243">
        <f t="shared" si="170"/>
        <v>0</v>
      </c>
      <c r="X140" s="243">
        <f t="shared" si="170"/>
        <v>0</v>
      </c>
      <c r="Y140" s="243">
        <f t="shared" si="170"/>
        <v>0</v>
      </c>
    </row>
    <row r="141" spans="1:37" ht="20" customHeight="1" x14ac:dyDescent="0.45">
      <c r="A141" s="62"/>
      <c r="D141" s="88"/>
      <c r="K141" s="24"/>
    </row>
    <row r="142" spans="1:37" s="4" customFormat="1" ht="20" customHeight="1" x14ac:dyDescent="0.45">
      <c r="A142" s="62"/>
      <c r="B142" s="50"/>
      <c r="C142" s="50"/>
      <c r="D142" s="154"/>
      <c r="G142"/>
      <c r="H142"/>
      <c r="I142" s="325" t="s">
        <v>402</v>
      </c>
      <c r="J142" s="326"/>
      <c r="K142" s="24"/>
      <c r="L142" s="210">
        <f t="shared" ref="L142:W142" si="171">SUM(L139:L141)</f>
        <v>0</v>
      </c>
      <c r="M142" s="210">
        <f t="shared" si="171"/>
        <v>0</v>
      </c>
      <c r="N142" s="210">
        <f t="shared" si="171"/>
        <v>0</v>
      </c>
      <c r="O142" s="210">
        <f t="shared" si="171"/>
        <v>0</v>
      </c>
      <c r="P142" s="210">
        <f t="shared" si="171"/>
        <v>0</v>
      </c>
      <c r="Q142" s="210">
        <f t="shared" si="171"/>
        <v>0</v>
      </c>
      <c r="R142" s="210">
        <f t="shared" si="171"/>
        <v>0</v>
      </c>
      <c r="S142" s="210">
        <f t="shared" si="171"/>
        <v>0</v>
      </c>
      <c r="T142" s="210">
        <f t="shared" si="171"/>
        <v>0</v>
      </c>
      <c r="U142" s="210">
        <f t="shared" si="171"/>
        <v>0</v>
      </c>
      <c r="V142" s="210">
        <f t="shared" si="171"/>
        <v>0</v>
      </c>
      <c r="W142" s="210">
        <f t="shared" si="171"/>
        <v>0</v>
      </c>
      <c r="X142" s="210">
        <f>SUM(X139:X141)</f>
        <v>0</v>
      </c>
      <c r="Y142" s="210">
        <f>SUM(Y139:Y141)</f>
        <v>0</v>
      </c>
    </row>
    <row r="143" spans="1:37" s="4" customFormat="1" ht="20" customHeight="1" x14ac:dyDescent="0.45">
      <c r="A143" s="62"/>
      <c r="B143" s="50"/>
      <c r="C143" s="50"/>
      <c r="D143" s="50"/>
      <c r="G143"/>
      <c r="H143"/>
      <c r="I143" s="327" t="s">
        <v>397</v>
      </c>
      <c r="J143" s="328"/>
      <c r="K143" s="24"/>
      <c r="L143" s="211">
        <f>L142/$J$199</f>
        <v>0</v>
      </c>
      <c r="M143" s="211">
        <f t="shared" ref="M143" si="172">M142/$J$199</f>
        <v>0</v>
      </c>
      <c r="N143" s="211">
        <f t="shared" ref="N143" si="173">N142/$J$199</f>
        <v>0</v>
      </c>
      <c r="O143" s="211">
        <f t="shared" ref="O143" si="174">O142/$J$199</f>
        <v>0</v>
      </c>
      <c r="P143" s="211">
        <f t="shared" ref="P143" si="175">P142/$J$199</f>
        <v>0</v>
      </c>
      <c r="Q143" s="211">
        <f t="shared" ref="Q143" si="176">Q142/$J$199</f>
        <v>0</v>
      </c>
      <c r="R143" s="211">
        <f t="shared" ref="R143" si="177">R142/$J$199</f>
        <v>0</v>
      </c>
      <c r="S143" s="211">
        <f t="shared" ref="S143" si="178">S142/$J$199</f>
        <v>0</v>
      </c>
      <c r="T143" s="211">
        <f t="shared" ref="T143" si="179">T142/$J$199</f>
        <v>0</v>
      </c>
      <c r="U143" s="211">
        <f t="shared" ref="U143" si="180">U142/$J$199</f>
        <v>0</v>
      </c>
      <c r="V143" s="211">
        <f t="shared" ref="V143" si="181">V142/$J$199</f>
        <v>0</v>
      </c>
      <c r="W143" s="211">
        <f t="shared" ref="W143" si="182">W142/$J$199</f>
        <v>0</v>
      </c>
      <c r="X143" s="211">
        <f t="shared" ref="X143" si="183">X142/$J$199</f>
        <v>0</v>
      </c>
      <c r="Y143" s="211">
        <f t="shared" ref="Y143" si="184">Y142/$J$199</f>
        <v>0</v>
      </c>
    </row>
    <row r="144" spans="1:37" s="4" customFormat="1" ht="20" customHeight="1" x14ac:dyDescent="0.45">
      <c r="A144" s="62"/>
      <c r="B144" s="78"/>
      <c r="C144" s="78"/>
      <c r="D144" s="78"/>
      <c r="E144" s="78"/>
      <c r="F144" s="78"/>
      <c r="G144" s="78"/>
      <c r="H144" s="78"/>
      <c r="I144" s="325" t="s">
        <v>403</v>
      </c>
      <c r="J144" s="326"/>
      <c r="K144" s="24"/>
      <c r="L144" s="210">
        <f>SUM(L142:Y142)</f>
        <v>0</v>
      </c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</row>
    <row r="145" spans="1:27" s="4" customFormat="1" ht="20" customHeight="1" x14ac:dyDescent="0.45">
      <c r="A145" s="62"/>
      <c r="B145" s="78"/>
      <c r="C145" s="78"/>
      <c r="D145" s="78"/>
      <c r="E145" s="78"/>
      <c r="F145" s="78"/>
      <c r="G145" s="78"/>
      <c r="H145" s="78"/>
      <c r="I145" s="327" t="s">
        <v>256</v>
      </c>
      <c r="J145" s="328"/>
      <c r="K145" s="24"/>
      <c r="L145" s="262">
        <f>SUM(L143:Y143)</f>
        <v>0</v>
      </c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</row>
    <row r="146" spans="1:27" s="4" customFormat="1" ht="20" customHeight="1" x14ac:dyDescent="0.45">
      <c r="A146" s="62"/>
      <c r="B146" s="78"/>
      <c r="C146" s="78"/>
      <c r="D146" s="78"/>
      <c r="E146" s="78"/>
      <c r="F146" s="78"/>
      <c r="G146" s="78"/>
      <c r="H146" s="78"/>
      <c r="I146" s="78"/>
      <c r="J146" s="77"/>
      <c r="K146" s="24"/>
      <c r="L146" s="10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17"/>
      <c r="Y146" s="17"/>
    </row>
    <row r="147" spans="1:27" s="4" customFormat="1" ht="20" customHeight="1" x14ac:dyDescent="0.45">
      <c r="A147" s="62"/>
      <c r="B147" s="355" t="s">
        <v>88</v>
      </c>
      <c r="C147" s="355"/>
      <c r="D147" s="355"/>
      <c r="E147" s="355"/>
      <c r="F147" s="355"/>
      <c r="G147" s="355"/>
      <c r="H147" s="355"/>
      <c r="I147" s="355"/>
      <c r="J147" s="355"/>
      <c r="K147" s="24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s="2"/>
      <c r="AA147" s="2"/>
    </row>
    <row r="148" spans="1:27" s="4" customFormat="1" ht="20" customHeight="1" x14ac:dyDescent="0.45">
      <c r="A148" s="62"/>
      <c r="B148" s="352" t="s">
        <v>407</v>
      </c>
      <c r="C148" s="352" t="s">
        <v>408</v>
      </c>
      <c r="D148" s="352" t="s">
        <v>23</v>
      </c>
      <c r="E148" s="352" t="s">
        <v>244</v>
      </c>
      <c r="F148" s="352" t="s">
        <v>239</v>
      </c>
      <c r="G148" s="352" t="s">
        <v>344</v>
      </c>
      <c r="H148" s="352" t="s">
        <v>240</v>
      </c>
      <c r="I148" s="352" t="s">
        <v>256</v>
      </c>
      <c r="J148" s="353" t="s">
        <v>398</v>
      </c>
      <c r="K148" s="24"/>
      <c r="L148" s="169" t="s">
        <v>74</v>
      </c>
      <c r="M148" s="170" t="s">
        <v>356</v>
      </c>
      <c r="N148" s="170" t="s">
        <v>357</v>
      </c>
      <c r="O148" s="170" t="s">
        <v>358</v>
      </c>
      <c r="P148" s="170" t="s">
        <v>359</v>
      </c>
      <c r="Q148" s="170" t="s">
        <v>360</v>
      </c>
      <c r="R148" s="170" t="s">
        <v>361</v>
      </c>
      <c r="S148" s="170" t="s">
        <v>362</v>
      </c>
      <c r="T148" s="170" t="s">
        <v>363</v>
      </c>
      <c r="U148" s="170" t="s">
        <v>364</v>
      </c>
      <c r="V148" s="170" t="s">
        <v>365</v>
      </c>
      <c r="W148" s="170" t="s">
        <v>366</v>
      </c>
      <c r="X148" s="170" t="s">
        <v>367</v>
      </c>
      <c r="Y148" s="170" t="s">
        <v>368</v>
      </c>
      <c r="Z148" s="2"/>
      <c r="AA148" s="2"/>
    </row>
    <row r="149" spans="1:27" s="4" customFormat="1" ht="20" customHeight="1" x14ac:dyDescent="0.45">
      <c r="A149" s="62"/>
      <c r="B149" s="336"/>
      <c r="C149" s="336"/>
      <c r="D149" s="336"/>
      <c r="E149" s="336" t="s">
        <v>244</v>
      </c>
      <c r="F149" s="336"/>
      <c r="G149" s="336" t="s">
        <v>344</v>
      </c>
      <c r="H149" s="336" t="s">
        <v>240</v>
      </c>
      <c r="I149" s="336" t="s">
        <v>256</v>
      </c>
      <c r="J149" s="354"/>
      <c r="K149" s="24"/>
      <c r="L149" s="171" t="s">
        <v>251</v>
      </c>
      <c r="M149" s="172" t="s">
        <v>339</v>
      </c>
      <c r="N149" s="172" t="s">
        <v>340</v>
      </c>
      <c r="O149" s="172" t="s">
        <v>341</v>
      </c>
      <c r="P149" s="172" t="s">
        <v>330</v>
      </c>
      <c r="Q149" s="172" t="s">
        <v>331</v>
      </c>
      <c r="R149" s="172" t="s">
        <v>332</v>
      </c>
      <c r="S149" s="172" t="s">
        <v>333</v>
      </c>
      <c r="T149" s="172" t="s">
        <v>334</v>
      </c>
      <c r="U149" s="172" t="s">
        <v>335</v>
      </c>
      <c r="V149" s="172" t="s">
        <v>336</v>
      </c>
      <c r="W149" s="172" t="s">
        <v>337</v>
      </c>
      <c r="X149" s="172" t="s">
        <v>338</v>
      </c>
      <c r="Y149" s="172" t="s">
        <v>339</v>
      </c>
      <c r="Z149" s="2"/>
      <c r="AA149" s="2"/>
    </row>
    <row r="150" spans="1:27" s="4" customFormat="1" ht="20" customHeight="1" x14ac:dyDescent="0.45">
      <c r="A150" s="62"/>
      <c r="B150" s="337"/>
      <c r="C150" s="337"/>
      <c r="D150" s="337"/>
      <c r="E150" s="337"/>
      <c r="F150" s="337"/>
      <c r="G150" s="337" t="s">
        <v>242</v>
      </c>
      <c r="H150" s="337" t="s">
        <v>243</v>
      </c>
      <c r="I150" s="337" t="s">
        <v>243</v>
      </c>
      <c r="J150" s="229" t="s">
        <v>399</v>
      </c>
      <c r="K150" s="24"/>
      <c r="L150" s="207" t="s">
        <v>251</v>
      </c>
      <c r="M150" s="208">
        <v>31</v>
      </c>
      <c r="N150" s="208">
        <v>28</v>
      </c>
      <c r="O150" s="208">
        <v>31</v>
      </c>
      <c r="P150" s="208">
        <v>30</v>
      </c>
      <c r="Q150" s="208">
        <v>31</v>
      </c>
      <c r="R150" s="208">
        <v>30</v>
      </c>
      <c r="S150" s="208">
        <v>31</v>
      </c>
      <c r="T150" s="208">
        <v>31</v>
      </c>
      <c r="U150" s="208">
        <v>30</v>
      </c>
      <c r="V150" s="208">
        <v>31</v>
      </c>
      <c r="W150" s="208">
        <v>30</v>
      </c>
      <c r="X150" s="208">
        <v>31</v>
      </c>
      <c r="Y150" s="208">
        <v>31</v>
      </c>
      <c r="Z150" s="2"/>
      <c r="AA150" s="2"/>
    </row>
    <row r="151" spans="1:27" s="4" customFormat="1" ht="20" customHeight="1" x14ac:dyDescent="0.45">
      <c r="A151" s="62"/>
      <c r="B151" s="231" t="s">
        <v>159</v>
      </c>
      <c r="C151" s="220" t="s">
        <v>264</v>
      </c>
      <c r="D151" s="220"/>
      <c r="E151" s="220">
        <v>1</v>
      </c>
      <c r="F151" s="242">
        <f>+H151/$J$199</f>
        <v>0</v>
      </c>
      <c r="G151" s="261">
        <f t="shared" ref="G151:G159" si="185">F151</f>
        <v>0</v>
      </c>
      <c r="H151" s="242">
        <v>0</v>
      </c>
      <c r="I151" s="242">
        <f>(E151*H151)</f>
        <v>0</v>
      </c>
      <c r="J151" s="242">
        <f>I151*1.16</f>
        <v>0</v>
      </c>
      <c r="K151" s="24"/>
      <c r="L151" s="243">
        <v>0</v>
      </c>
      <c r="M151" s="243">
        <f>$G$151</f>
        <v>0</v>
      </c>
      <c r="N151" s="243">
        <f t="shared" ref="N151:Y151" si="186">$G$151</f>
        <v>0</v>
      </c>
      <c r="O151" s="243">
        <f t="shared" si="186"/>
        <v>0</v>
      </c>
      <c r="P151" s="243">
        <f t="shared" si="186"/>
        <v>0</v>
      </c>
      <c r="Q151" s="243">
        <f t="shared" si="186"/>
        <v>0</v>
      </c>
      <c r="R151" s="243">
        <f t="shared" si="186"/>
        <v>0</v>
      </c>
      <c r="S151" s="243">
        <f t="shared" si="186"/>
        <v>0</v>
      </c>
      <c r="T151" s="243">
        <f t="shared" si="186"/>
        <v>0</v>
      </c>
      <c r="U151" s="243">
        <f t="shared" si="186"/>
        <v>0</v>
      </c>
      <c r="V151" s="243">
        <f t="shared" si="186"/>
        <v>0</v>
      </c>
      <c r="W151" s="243">
        <f t="shared" si="186"/>
        <v>0</v>
      </c>
      <c r="X151" s="243">
        <f t="shared" si="186"/>
        <v>0</v>
      </c>
      <c r="Y151" s="243">
        <f t="shared" si="186"/>
        <v>0</v>
      </c>
    </row>
    <row r="152" spans="1:27" s="4" customFormat="1" ht="20" customHeight="1" x14ac:dyDescent="0.45">
      <c r="A152" s="62"/>
      <c r="B152" s="231" t="s">
        <v>159</v>
      </c>
      <c r="C152" s="220" t="s">
        <v>265</v>
      </c>
      <c r="D152" s="220"/>
      <c r="E152" s="220">
        <v>1</v>
      </c>
      <c r="F152" s="242">
        <f t="shared" ref="F152:F153" si="187">+H152/$J$199</f>
        <v>22.5</v>
      </c>
      <c r="G152" s="261">
        <f t="shared" si="185"/>
        <v>22.5</v>
      </c>
      <c r="H152" s="242">
        <v>450</v>
      </c>
      <c r="I152" s="242">
        <f>(E152*H152)</f>
        <v>450</v>
      </c>
      <c r="J152" s="242">
        <f>I152*1.16</f>
        <v>522</v>
      </c>
      <c r="K152" s="24"/>
      <c r="L152" s="243">
        <v>0</v>
      </c>
      <c r="M152" s="243">
        <f>$G$152</f>
        <v>22.5</v>
      </c>
      <c r="N152" s="243">
        <f t="shared" ref="N152:Y152" si="188">$G$152</f>
        <v>22.5</v>
      </c>
      <c r="O152" s="243">
        <f t="shared" si="188"/>
        <v>22.5</v>
      </c>
      <c r="P152" s="243">
        <f t="shared" si="188"/>
        <v>22.5</v>
      </c>
      <c r="Q152" s="243">
        <f t="shared" si="188"/>
        <v>22.5</v>
      </c>
      <c r="R152" s="243">
        <f t="shared" si="188"/>
        <v>22.5</v>
      </c>
      <c r="S152" s="243">
        <f t="shared" si="188"/>
        <v>22.5</v>
      </c>
      <c r="T152" s="243">
        <f t="shared" si="188"/>
        <v>22.5</v>
      </c>
      <c r="U152" s="243">
        <f t="shared" si="188"/>
        <v>22.5</v>
      </c>
      <c r="V152" s="243">
        <f t="shared" si="188"/>
        <v>22.5</v>
      </c>
      <c r="W152" s="243">
        <f t="shared" si="188"/>
        <v>22.5</v>
      </c>
      <c r="X152" s="243">
        <f t="shared" si="188"/>
        <v>22.5</v>
      </c>
      <c r="Y152" s="243">
        <f t="shared" si="188"/>
        <v>22.5</v>
      </c>
    </row>
    <row r="153" spans="1:27" s="4" customFormat="1" ht="20" customHeight="1" x14ac:dyDescent="0.45">
      <c r="A153" s="62"/>
      <c r="B153" s="231" t="s">
        <v>159</v>
      </c>
      <c r="C153" s="220" t="s">
        <v>266</v>
      </c>
      <c r="D153" s="220"/>
      <c r="E153" s="220">
        <v>1</v>
      </c>
      <c r="F153" s="242">
        <f t="shared" si="187"/>
        <v>0</v>
      </c>
      <c r="G153" s="261">
        <f t="shared" si="185"/>
        <v>0</v>
      </c>
      <c r="H153" s="242">
        <v>0</v>
      </c>
      <c r="I153" s="242">
        <f t="shared" ref="I153:I159" si="189">(E153*H153)</f>
        <v>0</v>
      </c>
      <c r="J153" s="242">
        <f t="shared" ref="J153:J159" si="190">I153*1.16</f>
        <v>0</v>
      </c>
      <c r="K153" s="24"/>
      <c r="L153" s="243">
        <v>0</v>
      </c>
      <c r="M153" s="243">
        <f>$G$153</f>
        <v>0</v>
      </c>
      <c r="N153" s="243">
        <f t="shared" ref="N153:Y153" si="191">$G$153</f>
        <v>0</v>
      </c>
      <c r="O153" s="243">
        <f t="shared" si="191"/>
        <v>0</v>
      </c>
      <c r="P153" s="243">
        <f t="shared" si="191"/>
        <v>0</v>
      </c>
      <c r="Q153" s="243">
        <f t="shared" si="191"/>
        <v>0</v>
      </c>
      <c r="R153" s="243">
        <f t="shared" si="191"/>
        <v>0</v>
      </c>
      <c r="S153" s="243">
        <f t="shared" si="191"/>
        <v>0</v>
      </c>
      <c r="T153" s="243">
        <f t="shared" si="191"/>
        <v>0</v>
      </c>
      <c r="U153" s="243">
        <f t="shared" si="191"/>
        <v>0</v>
      </c>
      <c r="V153" s="243">
        <f t="shared" si="191"/>
        <v>0</v>
      </c>
      <c r="W153" s="243">
        <f t="shared" si="191"/>
        <v>0</v>
      </c>
      <c r="X153" s="243">
        <f t="shared" si="191"/>
        <v>0</v>
      </c>
      <c r="Y153" s="243">
        <f t="shared" si="191"/>
        <v>0</v>
      </c>
    </row>
    <row r="154" spans="1:27" s="4" customFormat="1" ht="20" customHeight="1" x14ac:dyDescent="0.45">
      <c r="A154" s="62"/>
      <c r="B154" s="231" t="s">
        <v>159</v>
      </c>
      <c r="C154" s="220" t="s">
        <v>267</v>
      </c>
      <c r="D154" s="220"/>
      <c r="E154" s="220">
        <v>1</v>
      </c>
      <c r="F154" s="242">
        <f t="shared" ref="F154:F159" si="192">+H154/$J$199</f>
        <v>12.5</v>
      </c>
      <c r="G154" s="261">
        <f t="shared" si="185"/>
        <v>12.5</v>
      </c>
      <c r="H154" s="242">
        <v>250</v>
      </c>
      <c r="I154" s="242">
        <f t="shared" si="189"/>
        <v>250</v>
      </c>
      <c r="J154" s="242">
        <f t="shared" si="190"/>
        <v>290</v>
      </c>
      <c r="K154" s="24"/>
      <c r="L154" s="243">
        <v>0</v>
      </c>
      <c r="M154" s="243">
        <f>$G$154</f>
        <v>12.5</v>
      </c>
      <c r="N154" s="243">
        <f t="shared" ref="N154:Y154" si="193">$G$154</f>
        <v>12.5</v>
      </c>
      <c r="O154" s="243">
        <f t="shared" si="193"/>
        <v>12.5</v>
      </c>
      <c r="P154" s="243">
        <f t="shared" si="193"/>
        <v>12.5</v>
      </c>
      <c r="Q154" s="243">
        <f t="shared" si="193"/>
        <v>12.5</v>
      </c>
      <c r="R154" s="243">
        <f t="shared" si="193"/>
        <v>12.5</v>
      </c>
      <c r="S154" s="243">
        <f t="shared" si="193"/>
        <v>12.5</v>
      </c>
      <c r="T154" s="243">
        <f t="shared" si="193"/>
        <v>12.5</v>
      </c>
      <c r="U154" s="243">
        <f t="shared" si="193"/>
        <v>12.5</v>
      </c>
      <c r="V154" s="243">
        <f t="shared" si="193"/>
        <v>12.5</v>
      </c>
      <c r="W154" s="243">
        <f t="shared" si="193"/>
        <v>12.5</v>
      </c>
      <c r="X154" s="243">
        <f t="shared" si="193"/>
        <v>12.5</v>
      </c>
      <c r="Y154" s="243">
        <f t="shared" si="193"/>
        <v>12.5</v>
      </c>
    </row>
    <row r="155" spans="1:27" s="4" customFormat="1" ht="20" customHeight="1" x14ac:dyDescent="0.45">
      <c r="A155" s="62"/>
      <c r="B155" s="231" t="s">
        <v>159</v>
      </c>
      <c r="C155" s="220" t="s">
        <v>438</v>
      </c>
      <c r="D155" s="220"/>
      <c r="E155" s="220">
        <v>1</v>
      </c>
      <c r="F155" s="242">
        <f t="shared" si="192"/>
        <v>0</v>
      </c>
      <c r="G155" s="261">
        <f t="shared" si="185"/>
        <v>0</v>
      </c>
      <c r="H155" s="242">
        <v>0</v>
      </c>
      <c r="I155" s="242">
        <f t="shared" si="189"/>
        <v>0</v>
      </c>
      <c r="J155" s="242">
        <f t="shared" si="190"/>
        <v>0</v>
      </c>
      <c r="K155" s="24"/>
      <c r="L155" s="243">
        <v>0</v>
      </c>
      <c r="M155" s="243">
        <f>$G$155</f>
        <v>0</v>
      </c>
      <c r="N155" s="243">
        <f t="shared" ref="N155:Y155" si="194">$G$155</f>
        <v>0</v>
      </c>
      <c r="O155" s="243">
        <f t="shared" si="194"/>
        <v>0</v>
      </c>
      <c r="P155" s="243">
        <f t="shared" si="194"/>
        <v>0</v>
      </c>
      <c r="Q155" s="243">
        <f t="shared" si="194"/>
        <v>0</v>
      </c>
      <c r="R155" s="243">
        <f t="shared" si="194"/>
        <v>0</v>
      </c>
      <c r="S155" s="243">
        <f t="shared" si="194"/>
        <v>0</v>
      </c>
      <c r="T155" s="243">
        <f t="shared" si="194"/>
        <v>0</v>
      </c>
      <c r="U155" s="243">
        <f t="shared" si="194"/>
        <v>0</v>
      </c>
      <c r="V155" s="243">
        <f t="shared" si="194"/>
        <v>0</v>
      </c>
      <c r="W155" s="243">
        <f t="shared" si="194"/>
        <v>0</v>
      </c>
      <c r="X155" s="243">
        <f t="shared" si="194"/>
        <v>0</v>
      </c>
      <c r="Y155" s="243">
        <f t="shared" si="194"/>
        <v>0</v>
      </c>
    </row>
    <row r="156" spans="1:27" s="4" customFormat="1" ht="20" customHeight="1" x14ac:dyDescent="0.45">
      <c r="A156" s="62"/>
      <c r="B156" s="231" t="s">
        <v>159</v>
      </c>
      <c r="C156" s="220" t="s">
        <v>295</v>
      </c>
      <c r="D156" s="220"/>
      <c r="E156" s="220">
        <v>1</v>
      </c>
      <c r="F156" s="242">
        <f t="shared" si="192"/>
        <v>0</v>
      </c>
      <c r="G156" s="261">
        <f t="shared" si="185"/>
        <v>0</v>
      </c>
      <c r="H156" s="242">
        <v>0</v>
      </c>
      <c r="I156" s="242">
        <f t="shared" si="189"/>
        <v>0</v>
      </c>
      <c r="J156" s="242">
        <f t="shared" si="190"/>
        <v>0</v>
      </c>
      <c r="K156" s="24"/>
      <c r="L156" s="243">
        <v>0</v>
      </c>
      <c r="M156" s="243">
        <f>$G$156</f>
        <v>0</v>
      </c>
      <c r="N156" s="243">
        <f t="shared" ref="N156:Y156" si="195">$G$156</f>
        <v>0</v>
      </c>
      <c r="O156" s="243">
        <f t="shared" si="195"/>
        <v>0</v>
      </c>
      <c r="P156" s="243">
        <f t="shared" si="195"/>
        <v>0</v>
      </c>
      <c r="Q156" s="243">
        <f t="shared" si="195"/>
        <v>0</v>
      </c>
      <c r="R156" s="243">
        <f t="shared" si="195"/>
        <v>0</v>
      </c>
      <c r="S156" s="243">
        <f t="shared" si="195"/>
        <v>0</v>
      </c>
      <c r="T156" s="243">
        <f t="shared" si="195"/>
        <v>0</v>
      </c>
      <c r="U156" s="243">
        <f t="shared" si="195"/>
        <v>0</v>
      </c>
      <c r="V156" s="243">
        <f t="shared" si="195"/>
        <v>0</v>
      </c>
      <c r="W156" s="243">
        <f t="shared" si="195"/>
        <v>0</v>
      </c>
      <c r="X156" s="243">
        <f t="shared" si="195"/>
        <v>0</v>
      </c>
      <c r="Y156" s="243">
        <f t="shared" si="195"/>
        <v>0</v>
      </c>
    </row>
    <row r="157" spans="1:27" s="4" customFormat="1" ht="20" customHeight="1" x14ac:dyDescent="0.45">
      <c r="A157" s="62"/>
      <c r="B157" s="231" t="s">
        <v>159</v>
      </c>
      <c r="C157" s="220" t="s">
        <v>269</v>
      </c>
      <c r="D157" s="220"/>
      <c r="E157" s="220">
        <v>1</v>
      </c>
      <c r="F157" s="242">
        <f t="shared" si="192"/>
        <v>0</v>
      </c>
      <c r="G157" s="261">
        <f t="shared" si="185"/>
        <v>0</v>
      </c>
      <c r="H157" s="242">
        <v>0</v>
      </c>
      <c r="I157" s="242">
        <f t="shared" si="189"/>
        <v>0</v>
      </c>
      <c r="J157" s="242">
        <f t="shared" si="190"/>
        <v>0</v>
      </c>
      <c r="K157" s="24"/>
      <c r="L157" s="243">
        <v>0</v>
      </c>
      <c r="M157" s="243">
        <f>$G$157</f>
        <v>0</v>
      </c>
      <c r="N157" s="243">
        <f t="shared" ref="N157:Y157" si="196">$G$157</f>
        <v>0</v>
      </c>
      <c r="O157" s="243">
        <f t="shared" si="196"/>
        <v>0</v>
      </c>
      <c r="P157" s="243">
        <f t="shared" si="196"/>
        <v>0</v>
      </c>
      <c r="Q157" s="243">
        <f t="shared" si="196"/>
        <v>0</v>
      </c>
      <c r="R157" s="243">
        <f t="shared" si="196"/>
        <v>0</v>
      </c>
      <c r="S157" s="243">
        <f t="shared" si="196"/>
        <v>0</v>
      </c>
      <c r="T157" s="243">
        <f t="shared" si="196"/>
        <v>0</v>
      </c>
      <c r="U157" s="243">
        <f t="shared" si="196"/>
        <v>0</v>
      </c>
      <c r="V157" s="243">
        <f t="shared" si="196"/>
        <v>0</v>
      </c>
      <c r="W157" s="243">
        <f t="shared" si="196"/>
        <v>0</v>
      </c>
      <c r="X157" s="243">
        <f t="shared" si="196"/>
        <v>0</v>
      </c>
      <c r="Y157" s="243">
        <f t="shared" si="196"/>
        <v>0</v>
      </c>
    </row>
    <row r="158" spans="1:27" s="4" customFormat="1" ht="20" customHeight="1" x14ac:dyDescent="0.45">
      <c r="A158" s="62"/>
      <c r="B158" s="231" t="s">
        <v>159</v>
      </c>
      <c r="C158" s="220" t="s">
        <v>270</v>
      </c>
      <c r="D158" s="220"/>
      <c r="E158" s="220">
        <v>1</v>
      </c>
      <c r="F158" s="242">
        <f t="shared" si="192"/>
        <v>0</v>
      </c>
      <c r="G158" s="261">
        <f t="shared" si="185"/>
        <v>0</v>
      </c>
      <c r="H158" s="242">
        <v>0</v>
      </c>
      <c r="I158" s="242">
        <f t="shared" si="189"/>
        <v>0</v>
      </c>
      <c r="J158" s="242">
        <f t="shared" si="190"/>
        <v>0</v>
      </c>
      <c r="K158" s="24"/>
      <c r="L158" s="243">
        <v>0</v>
      </c>
      <c r="M158" s="243">
        <f>$G$158</f>
        <v>0</v>
      </c>
      <c r="N158" s="243">
        <f t="shared" ref="N158:Y158" si="197">$G$158</f>
        <v>0</v>
      </c>
      <c r="O158" s="243">
        <f t="shared" si="197"/>
        <v>0</v>
      </c>
      <c r="P158" s="243">
        <f t="shared" si="197"/>
        <v>0</v>
      </c>
      <c r="Q158" s="243">
        <f t="shared" si="197"/>
        <v>0</v>
      </c>
      <c r="R158" s="243">
        <f t="shared" si="197"/>
        <v>0</v>
      </c>
      <c r="S158" s="243">
        <f t="shared" si="197"/>
        <v>0</v>
      </c>
      <c r="T158" s="243">
        <f t="shared" si="197"/>
        <v>0</v>
      </c>
      <c r="U158" s="243">
        <f t="shared" si="197"/>
        <v>0</v>
      </c>
      <c r="V158" s="243">
        <f t="shared" si="197"/>
        <v>0</v>
      </c>
      <c r="W158" s="243">
        <f t="shared" si="197"/>
        <v>0</v>
      </c>
      <c r="X158" s="243">
        <f t="shared" si="197"/>
        <v>0</v>
      </c>
      <c r="Y158" s="243">
        <f t="shared" si="197"/>
        <v>0</v>
      </c>
    </row>
    <row r="159" spans="1:27" s="4" customFormat="1" ht="20" customHeight="1" x14ac:dyDescent="0.45">
      <c r="A159" s="62"/>
      <c r="B159" s="231" t="s">
        <v>159</v>
      </c>
      <c r="C159" s="220" t="s">
        <v>268</v>
      </c>
      <c r="D159" s="220"/>
      <c r="E159" s="220">
        <v>1</v>
      </c>
      <c r="F159" s="242">
        <f t="shared" si="192"/>
        <v>0</v>
      </c>
      <c r="G159" s="261">
        <f t="shared" si="185"/>
        <v>0</v>
      </c>
      <c r="H159" s="242">
        <v>0</v>
      </c>
      <c r="I159" s="242">
        <f t="shared" si="189"/>
        <v>0</v>
      </c>
      <c r="J159" s="242">
        <f t="shared" si="190"/>
        <v>0</v>
      </c>
      <c r="K159" s="24"/>
      <c r="L159" s="243">
        <v>0</v>
      </c>
      <c r="M159" s="243">
        <f>$G$159</f>
        <v>0</v>
      </c>
      <c r="N159" s="243">
        <f t="shared" ref="N159:Y159" si="198">$G$159</f>
        <v>0</v>
      </c>
      <c r="O159" s="243">
        <f t="shared" si="198"/>
        <v>0</v>
      </c>
      <c r="P159" s="243">
        <f t="shared" si="198"/>
        <v>0</v>
      </c>
      <c r="Q159" s="243">
        <f t="shared" si="198"/>
        <v>0</v>
      </c>
      <c r="R159" s="243">
        <f t="shared" si="198"/>
        <v>0</v>
      </c>
      <c r="S159" s="243">
        <f t="shared" si="198"/>
        <v>0</v>
      </c>
      <c r="T159" s="243">
        <f t="shared" si="198"/>
        <v>0</v>
      </c>
      <c r="U159" s="243">
        <f t="shared" si="198"/>
        <v>0</v>
      </c>
      <c r="V159" s="243">
        <f t="shared" si="198"/>
        <v>0</v>
      </c>
      <c r="W159" s="243">
        <f t="shared" si="198"/>
        <v>0</v>
      </c>
      <c r="X159" s="243">
        <f t="shared" si="198"/>
        <v>0</v>
      </c>
      <c r="Y159" s="243">
        <f t="shared" si="198"/>
        <v>0</v>
      </c>
    </row>
    <row r="160" spans="1:27" s="4" customFormat="1" ht="20" customHeight="1" x14ac:dyDescent="0.45">
      <c r="A160" s="62"/>
      <c r="B160" s="79" t="s">
        <v>159</v>
      </c>
      <c r="C160" s="5"/>
      <c r="D160" s="46"/>
      <c r="E160" s="74"/>
      <c r="F160" s="74"/>
      <c r="J160" s="74"/>
      <c r="K160" s="24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7" s="4" customFormat="1" ht="20" customHeight="1" x14ac:dyDescent="0.45">
      <c r="A161" s="62"/>
      <c r="B161" s="5"/>
      <c r="C161" s="5"/>
      <c r="D161" s="46"/>
      <c r="E161" s="74"/>
      <c r="F161" s="74"/>
      <c r="J161" s="74"/>
      <c r="K161" s="24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7" s="4" customFormat="1" ht="20" customHeight="1" x14ac:dyDescent="0.45">
      <c r="A162" s="62"/>
      <c r="B162" s="52"/>
      <c r="C162" s="52"/>
      <c r="D162" s="52"/>
      <c r="E162" s="52"/>
      <c r="F162" s="52"/>
      <c r="G162"/>
      <c r="H162"/>
      <c r="I162" s="325" t="s">
        <v>402</v>
      </c>
      <c r="J162" s="326"/>
      <c r="K162" s="24"/>
      <c r="L162" s="210">
        <f>SUM(L151:L159)</f>
        <v>0</v>
      </c>
      <c r="M162" s="210">
        <f t="shared" ref="M162:W162" si="199">SUM(M151:M159)</f>
        <v>35</v>
      </c>
      <c r="N162" s="210">
        <f t="shared" si="199"/>
        <v>35</v>
      </c>
      <c r="O162" s="210">
        <f t="shared" si="199"/>
        <v>35</v>
      </c>
      <c r="P162" s="210">
        <f t="shared" si="199"/>
        <v>35</v>
      </c>
      <c r="Q162" s="210">
        <f t="shared" si="199"/>
        <v>35</v>
      </c>
      <c r="R162" s="210">
        <f t="shared" si="199"/>
        <v>35</v>
      </c>
      <c r="S162" s="210">
        <f t="shared" si="199"/>
        <v>35</v>
      </c>
      <c r="T162" s="210">
        <f t="shared" si="199"/>
        <v>35</v>
      </c>
      <c r="U162" s="210">
        <f t="shared" si="199"/>
        <v>35</v>
      </c>
      <c r="V162" s="210">
        <f t="shared" si="199"/>
        <v>35</v>
      </c>
      <c r="W162" s="210">
        <f t="shared" si="199"/>
        <v>35</v>
      </c>
      <c r="X162" s="210">
        <f>SUM(X151:X159)</f>
        <v>35</v>
      </c>
      <c r="Y162" s="210">
        <f>SUM(Y151:Y159)</f>
        <v>35</v>
      </c>
    </row>
    <row r="163" spans="1:27" s="4" customFormat="1" ht="20" customHeight="1" x14ac:dyDescent="0.45">
      <c r="A163" s="62"/>
      <c r="B163" s="52"/>
      <c r="C163" s="52"/>
      <c r="D163" s="52"/>
      <c r="E163" s="52"/>
      <c r="F163" s="52"/>
      <c r="G163"/>
      <c r="H163"/>
      <c r="I163" s="327" t="s">
        <v>397</v>
      </c>
      <c r="J163" s="328"/>
      <c r="K163" s="24"/>
      <c r="L163" s="211">
        <f>L162/$J$199</f>
        <v>0</v>
      </c>
      <c r="M163" s="211">
        <f t="shared" ref="M163" si="200">M162/$J$199</f>
        <v>1.75</v>
      </c>
      <c r="N163" s="211">
        <f t="shared" ref="N163" si="201">N162/$J$199</f>
        <v>1.75</v>
      </c>
      <c r="O163" s="211">
        <f t="shared" ref="O163" si="202">O162/$J$199</f>
        <v>1.75</v>
      </c>
      <c r="P163" s="211">
        <f t="shared" ref="P163" si="203">P162/$J$199</f>
        <v>1.75</v>
      </c>
      <c r="Q163" s="211">
        <f t="shared" ref="Q163" si="204">Q162/$J$199</f>
        <v>1.75</v>
      </c>
      <c r="R163" s="211">
        <f t="shared" ref="R163" si="205">R162/$J$199</f>
        <v>1.75</v>
      </c>
      <c r="S163" s="211">
        <f t="shared" ref="S163" si="206">S162/$J$199</f>
        <v>1.75</v>
      </c>
      <c r="T163" s="211">
        <f t="shared" ref="T163" si="207">T162/$J$199</f>
        <v>1.75</v>
      </c>
      <c r="U163" s="211">
        <f t="shared" ref="U163" si="208">U162/$J$199</f>
        <v>1.75</v>
      </c>
      <c r="V163" s="211">
        <f t="shared" ref="V163" si="209">V162/$J$199</f>
        <v>1.75</v>
      </c>
      <c r="W163" s="211">
        <f t="shared" ref="W163" si="210">W162/$J$199</f>
        <v>1.75</v>
      </c>
      <c r="X163" s="211">
        <f t="shared" ref="X163" si="211">X162/$J$199</f>
        <v>1.75</v>
      </c>
      <c r="Y163" s="211">
        <f t="shared" ref="Y163" si="212">Y162/$J$199</f>
        <v>1.75</v>
      </c>
    </row>
    <row r="164" spans="1:27" s="4" customFormat="1" ht="20" customHeight="1" x14ac:dyDescent="0.45">
      <c r="A164" s="62"/>
      <c r="B164" s="52"/>
      <c r="C164" s="52"/>
      <c r="D164" s="52"/>
      <c r="E164" s="52"/>
      <c r="F164" s="52"/>
      <c r="G164" s="52"/>
      <c r="H164" s="52"/>
      <c r="I164" s="325" t="s">
        <v>403</v>
      </c>
      <c r="J164" s="326"/>
      <c r="K164" s="24"/>
      <c r="L164" s="210">
        <f>SUM(L162:Y162)</f>
        <v>455</v>
      </c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</row>
    <row r="165" spans="1:27" s="4" customFormat="1" ht="20" customHeight="1" x14ac:dyDescent="0.45">
      <c r="A165" s="62"/>
      <c r="B165" s="52"/>
      <c r="C165" s="52"/>
      <c r="D165" s="52"/>
      <c r="E165" s="52"/>
      <c r="F165" s="52"/>
      <c r="G165" s="52"/>
      <c r="H165" s="52"/>
      <c r="I165" s="327" t="s">
        <v>256</v>
      </c>
      <c r="J165" s="328"/>
      <c r="K165" s="24"/>
      <c r="L165" s="262">
        <f>SUM(L163:Y163)</f>
        <v>22.75</v>
      </c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</row>
    <row r="166" spans="1:27" s="4" customFormat="1" ht="20" customHeight="1" x14ac:dyDescent="0.45">
      <c r="A166" s="62"/>
      <c r="B166" s="52"/>
      <c r="C166" s="52"/>
      <c r="E166" s="75"/>
      <c r="F166" s="75"/>
      <c r="G166" s="75"/>
      <c r="H166" s="75"/>
      <c r="I166" s="75"/>
      <c r="J166" s="75"/>
      <c r="K166" s="24"/>
      <c r="M166" s="10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spans="1:27" s="4" customFormat="1" ht="20" customHeight="1" x14ac:dyDescent="0.45">
      <c r="A167" s="62"/>
      <c r="B167" s="355" t="s">
        <v>90</v>
      </c>
      <c r="C167" s="355"/>
      <c r="D167" s="355"/>
      <c r="E167" s="355"/>
      <c r="F167" s="355"/>
      <c r="G167" s="355"/>
      <c r="H167" s="355"/>
      <c r="I167" s="355"/>
      <c r="J167" s="355"/>
      <c r="K167" s="24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 s="2"/>
      <c r="AA167" s="2"/>
    </row>
    <row r="168" spans="1:27" s="4" customFormat="1" ht="20" customHeight="1" x14ac:dyDescent="0.45">
      <c r="A168" s="62"/>
      <c r="B168" s="352" t="s">
        <v>407</v>
      </c>
      <c r="C168" s="352" t="s">
        <v>408</v>
      </c>
      <c r="D168" s="352" t="s">
        <v>23</v>
      </c>
      <c r="E168" s="352" t="s">
        <v>244</v>
      </c>
      <c r="F168" s="352" t="s">
        <v>239</v>
      </c>
      <c r="G168" s="352" t="s">
        <v>344</v>
      </c>
      <c r="H168" s="352" t="s">
        <v>240</v>
      </c>
      <c r="I168" s="352" t="s">
        <v>256</v>
      </c>
      <c r="J168" s="353" t="s">
        <v>398</v>
      </c>
      <c r="K168" s="24"/>
      <c r="L168" s="169" t="s">
        <v>74</v>
      </c>
      <c r="M168" s="170" t="s">
        <v>356</v>
      </c>
      <c r="N168" s="170" t="s">
        <v>357</v>
      </c>
      <c r="O168" s="170" t="s">
        <v>358</v>
      </c>
      <c r="P168" s="170" t="s">
        <v>359</v>
      </c>
      <c r="Q168" s="170" t="s">
        <v>360</v>
      </c>
      <c r="R168" s="170" t="s">
        <v>361</v>
      </c>
      <c r="S168" s="170" t="s">
        <v>362</v>
      </c>
      <c r="T168" s="170" t="s">
        <v>363</v>
      </c>
      <c r="U168" s="170" t="s">
        <v>364</v>
      </c>
      <c r="V168" s="170" t="s">
        <v>365</v>
      </c>
      <c r="W168" s="170" t="s">
        <v>366</v>
      </c>
      <c r="X168" s="170" t="s">
        <v>367</v>
      </c>
      <c r="Y168" s="170" t="s">
        <v>368</v>
      </c>
      <c r="Z168" s="2"/>
      <c r="AA168" s="2"/>
    </row>
    <row r="169" spans="1:27" s="4" customFormat="1" ht="20" customHeight="1" x14ac:dyDescent="0.45">
      <c r="A169" s="62"/>
      <c r="B169" s="336"/>
      <c r="C169" s="336"/>
      <c r="D169" s="336"/>
      <c r="E169" s="336" t="s">
        <v>244</v>
      </c>
      <c r="F169" s="336"/>
      <c r="G169" s="336" t="s">
        <v>344</v>
      </c>
      <c r="H169" s="336" t="s">
        <v>240</v>
      </c>
      <c r="I169" s="336" t="s">
        <v>256</v>
      </c>
      <c r="J169" s="354"/>
      <c r="K169" s="24"/>
      <c r="L169" s="171" t="s">
        <v>251</v>
      </c>
      <c r="M169" s="172" t="s">
        <v>339</v>
      </c>
      <c r="N169" s="172" t="s">
        <v>340</v>
      </c>
      <c r="O169" s="172" t="s">
        <v>341</v>
      </c>
      <c r="P169" s="172" t="s">
        <v>330</v>
      </c>
      <c r="Q169" s="172" t="s">
        <v>331</v>
      </c>
      <c r="R169" s="172" t="s">
        <v>332</v>
      </c>
      <c r="S169" s="172" t="s">
        <v>333</v>
      </c>
      <c r="T169" s="172" t="s">
        <v>334</v>
      </c>
      <c r="U169" s="172" t="s">
        <v>335</v>
      </c>
      <c r="V169" s="172" t="s">
        <v>336</v>
      </c>
      <c r="W169" s="172" t="s">
        <v>337</v>
      </c>
      <c r="X169" s="172" t="s">
        <v>338</v>
      </c>
      <c r="Y169" s="172" t="s">
        <v>339</v>
      </c>
      <c r="Z169" s="2"/>
      <c r="AA169" s="2"/>
    </row>
    <row r="170" spans="1:27" s="4" customFormat="1" ht="20" customHeight="1" x14ac:dyDescent="0.45">
      <c r="A170" s="62"/>
      <c r="B170" s="337"/>
      <c r="C170" s="337"/>
      <c r="D170" s="337"/>
      <c r="E170" s="337"/>
      <c r="F170" s="337"/>
      <c r="G170" s="337" t="s">
        <v>242</v>
      </c>
      <c r="H170" s="337" t="s">
        <v>243</v>
      </c>
      <c r="I170" s="337" t="s">
        <v>243</v>
      </c>
      <c r="J170" s="229" t="s">
        <v>399</v>
      </c>
      <c r="K170" s="24"/>
      <c r="L170" s="207" t="s">
        <v>251</v>
      </c>
      <c r="M170" s="208">
        <v>31</v>
      </c>
      <c r="N170" s="208">
        <v>28</v>
      </c>
      <c r="O170" s="208">
        <v>31</v>
      </c>
      <c r="P170" s="208">
        <v>30</v>
      </c>
      <c r="Q170" s="208">
        <v>31</v>
      </c>
      <c r="R170" s="208">
        <v>30</v>
      </c>
      <c r="S170" s="208">
        <v>31</v>
      </c>
      <c r="T170" s="208">
        <v>31</v>
      </c>
      <c r="U170" s="208">
        <v>30</v>
      </c>
      <c r="V170" s="208">
        <v>31</v>
      </c>
      <c r="W170" s="208">
        <v>30</v>
      </c>
      <c r="X170" s="208">
        <v>31</v>
      </c>
      <c r="Y170" s="208">
        <v>31</v>
      </c>
      <c r="Z170" s="2"/>
      <c r="AA170" s="2"/>
    </row>
    <row r="171" spans="1:27" s="4" customFormat="1" ht="20" customHeight="1" x14ac:dyDescent="0.45">
      <c r="A171" s="62"/>
      <c r="B171" s="231" t="s">
        <v>90</v>
      </c>
      <c r="C171" s="220"/>
      <c r="D171" s="220"/>
      <c r="E171" s="220">
        <v>1</v>
      </c>
      <c r="F171" s="242">
        <f>+H171/$J$199</f>
        <v>250</v>
      </c>
      <c r="G171" s="261">
        <f t="shared" ref="G171:G172" si="213">F171</f>
        <v>250</v>
      </c>
      <c r="H171" s="242">
        <v>5000</v>
      </c>
      <c r="I171" s="242">
        <f>(E171*H171)</f>
        <v>5000</v>
      </c>
      <c r="J171" s="242">
        <f>I171*1.16</f>
        <v>5800</v>
      </c>
      <c r="K171" s="24"/>
      <c r="L171" s="243">
        <v>0</v>
      </c>
      <c r="M171" s="243">
        <f>$G$171</f>
        <v>250</v>
      </c>
      <c r="N171" s="243">
        <f t="shared" ref="N171:Y171" si="214">$G$171</f>
        <v>250</v>
      </c>
      <c r="O171" s="243">
        <f t="shared" si="214"/>
        <v>250</v>
      </c>
      <c r="P171" s="243">
        <f t="shared" si="214"/>
        <v>250</v>
      </c>
      <c r="Q171" s="243">
        <f t="shared" si="214"/>
        <v>250</v>
      </c>
      <c r="R171" s="243">
        <f t="shared" si="214"/>
        <v>250</v>
      </c>
      <c r="S171" s="243">
        <f t="shared" si="214"/>
        <v>250</v>
      </c>
      <c r="T171" s="243">
        <f t="shared" si="214"/>
        <v>250</v>
      </c>
      <c r="U171" s="243">
        <f t="shared" si="214"/>
        <v>250</v>
      </c>
      <c r="V171" s="243">
        <f t="shared" si="214"/>
        <v>250</v>
      </c>
      <c r="W171" s="243">
        <f t="shared" si="214"/>
        <v>250</v>
      </c>
      <c r="X171" s="243">
        <f t="shared" si="214"/>
        <v>250</v>
      </c>
      <c r="Y171" s="243">
        <f t="shared" si="214"/>
        <v>250</v>
      </c>
    </row>
    <row r="172" spans="1:27" s="4" customFormat="1" ht="20" customHeight="1" x14ac:dyDescent="0.45">
      <c r="A172" s="62"/>
      <c r="B172" s="231" t="s">
        <v>90</v>
      </c>
      <c r="C172" s="220"/>
      <c r="D172" s="220"/>
      <c r="E172" s="220">
        <v>1</v>
      </c>
      <c r="F172" s="242">
        <f t="shared" ref="F172" si="215">+H172/$J$199</f>
        <v>0</v>
      </c>
      <c r="G172" s="261">
        <f t="shared" si="213"/>
        <v>0</v>
      </c>
      <c r="H172" s="242">
        <v>0</v>
      </c>
      <c r="I172" s="242">
        <f>(E172*H172)</f>
        <v>0</v>
      </c>
      <c r="J172" s="242">
        <f>I172*1.16</f>
        <v>0</v>
      </c>
      <c r="K172" s="24"/>
      <c r="L172" s="243">
        <v>0</v>
      </c>
      <c r="M172" s="243">
        <f>$G$172</f>
        <v>0</v>
      </c>
      <c r="N172" s="243">
        <f t="shared" ref="N172:Y172" si="216">$G$172</f>
        <v>0</v>
      </c>
      <c r="O172" s="243">
        <f t="shared" si="216"/>
        <v>0</v>
      </c>
      <c r="P172" s="243">
        <f t="shared" si="216"/>
        <v>0</v>
      </c>
      <c r="Q172" s="243">
        <f t="shared" si="216"/>
        <v>0</v>
      </c>
      <c r="R172" s="243">
        <f t="shared" si="216"/>
        <v>0</v>
      </c>
      <c r="S172" s="243">
        <f t="shared" si="216"/>
        <v>0</v>
      </c>
      <c r="T172" s="243">
        <f t="shared" si="216"/>
        <v>0</v>
      </c>
      <c r="U172" s="243">
        <f t="shared" si="216"/>
        <v>0</v>
      </c>
      <c r="V172" s="243">
        <f t="shared" si="216"/>
        <v>0</v>
      </c>
      <c r="W172" s="243">
        <f t="shared" si="216"/>
        <v>0</v>
      </c>
      <c r="X172" s="243">
        <f t="shared" si="216"/>
        <v>0</v>
      </c>
      <c r="Y172" s="243">
        <f t="shared" si="216"/>
        <v>0</v>
      </c>
    </row>
    <row r="173" spans="1:27" s="4" customFormat="1" ht="20" customHeight="1" x14ac:dyDescent="0.45">
      <c r="A173" s="62"/>
      <c r="B173" s="79"/>
      <c r="D173" s="65"/>
      <c r="E173" s="80"/>
      <c r="F173" s="81"/>
      <c r="G173" s="74"/>
      <c r="H173" s="53"/>
      <c r="I173" s="53"/>
      <c r="J173" s="74"/>
      <c r="K173" s="2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7" s="4" customFormat="1" ht="20" customHeight="1" x14ac:dyDescent="0.45">
      <c r="A174" s="62"/>
      <c r="B174" s="82"/>
      <c r="C174" s="82"/>
      <c r="D174" s="155"/>
      <c r="E174" s="83"/>
      <c r="F174" s="64"/>
      <c r="G174"/>
      <c r="H174"/>
      <c r="I174" s="325" t="s">
        <v>402</v>
      </c>
      <c r="J174" s="326"/>
      <c r="K174" s="24"/>
      <c r="L174" s="210">
        <f>SUM(L171:L172)</f>
        <v>0</v>
      </c>
      <c r="M174" s="210">
        <f t="shared" ref="M174:W174" si="217">SUM(M171:M172)</f>
        <v>250</v>
      </c>
      <c r="N174" s="210">
        <f t="shared" si="217"/>
        <v>250</v>
      </c>
      <c r="O174" s="210">
        <f t="shared" si="217"/>
        <v>250</v>
      </c>
      <c r="P174" s="210">
        <f t="shared" si="217"/>
        <v>250</v>
      </c>
      <c r="Q174" s="210">
        <f t="shared" si="217"/>
        <v>250</v>
      </c>
      <c r="R174" s="210">
        <f t="shared" si="217"/>
        <v>250</v>
      </c>
      <c r="S174" s="210">
        <f t="shared" si="217"/>
        <v>250</v>
      </c>
      <c r="T174" s="210">
        <f t="shared" si="217"/>
        <v>250</v>
      </c>
      <c r="U174" s="210">
        <f t="shared" si="217"/>
        <v>250</v>
      </c>
      <c r="V174" s="210">
        <f t="shared" si="217"/>
        <v>250</v>
      </c>
      <c r="W174" s="210">
        <f t="shared" si="217"/>
        <v>250</v>
      </c>
      <c r="X174" s="210">
        <f>SUM(X171:X172)</f>
        <v>250</v>
      </c>
      <c r="Y174" s="210">
        <f>SUM(Y171:Y172)</f>
        <v>250</v>
      </c>
    </row>
    <row r="175" spans="1:27" s="4" customFormat="1" ht="20" customHeight="1" x14ac:dyDescent="0.45">
      <c r="A175" s="62"/>
      <c r="B175" s="82"/>
      <c r="C175" s="82"/>
      <c r="D175" s="155"/>
      <c r="E175" s="83"/>
      <c r="F175" s="64"/>
      <c r="G175"/>
      <c r="H175"/>
      <c r="I175" s="327" t="s">
        <v>397</v>
      </c>
      <c r="J175" s="328"/>
      <c r="K175" s="24"/>
      <c r="L175" s="211">
        <f>L174/$J$199</f>
        <v>0</v>
      </c>
      <c r="M175" s="211">
        <f t="shared" ref="M175" si="218">M174/$J$199</f>
        <v>12.5</v>
      </c>
      <c r="N175" s="211">
        <f t="shared" ref="N175" si="219">N174/$J$199</f>
        <v>12.5</v>
      </c>
      <c r="O175" s="211">
        <f t="shared" ref="O175" si="220">O174/$J$199</f>
        <v>12.5</v>
      </c>
      <c r="P175" s="211">
        <f t="shared" ref="P175" si="221">P174/$J$199</f>
        <v>12.5</v>
      </c>
      <c r="Q175" s="211">
        <f t="shared" ref="Q175" si="222">Q174/$J$199</f>
        <v>12.5</v>
      </c>
      <c r="R175" s="211">
        <f t="shared" ref="R175" si="223">R174/$J$199</f>
        <v>12.5</v>
      </c>
      <c r="S175" s="211">
        <f t="shared" ref="S175" si="224">S174/$J$199</f>
        <v>12.5</v>
      </c>
      <c r="T175" s="211">
        <f t="shared" ref="T175" si="225">T174/$J$199</f>
        <v>12.5</v>
      </c>
      <c r="U175" s="211">
        <f t="shared" ref="U175" si="226">U174/$J$199</f>
        <v>12.5</v>
      </c>
      <c r="V175" s="211">
        <f t="shared" ref="V175" si="227">V174/$J$199</f>
        <v>12.5</v>
      </c>
      <c r="W175" s="211">
        <f t="shared" ref="W175" si="228">W174/$J$199</f>
        <v>12.5</v>
      </c>
      <c r="X175" s="211">
        <f t="shared" ref="X175" si="229">X174/$J$199</f>
        <v>12.5</v>
      </c>
      <c r="Y175" s="211">
        <f t="shared" ref="Y175" si="230">Y174/$J$199</f>
        <v>12.5</v>
      </c>
    </row>
    <row r="176" spans="1:27" s="4" customFormat="1" ht="20" customHeight="1" x14ac:dyDescent="0.45">
      <c r="A176" s="62"/>
      <c r="B176" s="82"/>
      <c r="C176" s="82"/>
      <c r="D176" s="82"/>
      <c r="E176" s="83"/>
      <c r="F176" s="64"/>
      <c r="G176" s="78"/>
      <c r="H176" s="78"/>
      <c r="I176" s="325" t="s">
        <v>403</v>
      </c>
      <c r="J176" s="326"/>
      <c r="K176" s="24"/>
      <c r="L176" s="210">
        <f>SUM(L174:Y174)</f>
        <v>3250</v>
      </c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</row>
    <row r="177" spans="1:27" s="4" customFormat="1" ht="20" customHeight="1" x14ac:dyDescent="0.45">
      <c r="A177" s="62"/>
      <c r="B177" s="82"/>
      <c r="C177" s="82"/>
      <c r="D177" s="82"/>
      <c r="E177" s="83"/>
      <c r="F177" s="64"/>
      <c r="G177" s="78"/>
      <c r="H177" s="78"/>
      <c r="I177" s="327" t="s">
        <v>256</v>
      </c>
      <c r="J177" s="328"/>
      <c r="K177" s="24"/>
      <c r="L177" s="262">
        <f>SUM(L175:Y175)</f>
        <v>162.5</v>
      </c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</row>
    <row r="178" spans="1:27" s="4" customFormat="1" ht="20" customHeight="1" x14ac:dyDescent="0.45">
      <c r="A178" s="62"/>
      <c r="B178" s="84"/>
      <c r="C178" s="84"/>
      <c r="D178" s="84"/>
      <c r="E178" s="85"/>
      <c r="F178" s="86"/>
      <c r="G178" s="78"/>
      <c r="H178" s="78"/>
      <c r="I178" s="78"/>
      <c r="J178" s="78"/>
      <c r="K178" s="24"/>
      <c r="L178" s="78"/>
      <c r="M178" s="10"/>
      <c r="N178" s="78"/>
      <c r="O178" s="78"/>
      <c r="P178" s="78"/>
      <c r="Q178" s="78"/>
      <c r="R178" s="78"/>
      <c r="S178" s="78"/>
      <c r="T178" s="78"/>
      <c r="U178" s="78"/>
      <c r="V178" s="78"/>
      <c r="W178" s="78"/>
    </row>
    <row r="179" spans="1:27" s="4" customFormat="1" ht="20" customHeight="1" x14ac:dyDescent="0.45">
      <c r="A179" s="62"/>
      <c r="B179" s="355" t="s">
        <v>91</v>
      </c>
      <c r="C179" s="355"/>
      <c r="D179" s="355"/>
      <c r="E179" s="355"/>
      <c r="F179" s="355"/>
      <c r="G179" s="355"/>
      <c r="H179" s="355"/>
      <c r="I179" s="355"/>
      <c r="J179" s="355"/>
      <c r="K179" s="24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2"/>
      <c r="AA179" s="2"/>
    </row>
    <row r="180" spans="1:27" s="4" customFormat="1" ht="20" customHeight="1" x14ac:dyDescent="0.45">
      <c r="A180" s="62"/>
      <c r="B180" s="352" t="s">
        <v>407</v>
      </c>
      <c r="C180" s="352" t="s">
        <v>408</v>
      </c>
      <c r="D180" s="352" t="s">
        <v>23</v>
      </c>
      <c r="E180" s="352" t="s">
        <v>244</v>
      </c>
      <c r="F180" s="352" t="s">
        <v>239</v>
      </c>
      <c r="G180" s="352" t="s">
        <v>344</v>
      </c>
      <c r="H180" s="352" t="s">
        <v>240</v>
      </c>
      <c r="I180" s="352" t="s">
        <v>256</v>
      </c>
      <c r="J180" s="353" t="s">
        <v>398</v>
      </c>
      <c r="K180" s="24"/>
      <c r="L180" s="169" t="s">
        <v>74</v>
      </c>
      <c r="M180" s="170" t="s">
        <v>356</v>
      </c>
      <c r="N180" s="170" t="s">
        <v>357</v>
      </c>
      <c r="O180" s="170" t="s">
        <v>358</v>
      </c>
      <c r="P180" s="170" t="s">
        <v>359</v>
      </c>
      <c r="Q180" s="170" t="s">
        <v>360</v>
      </c>
      <c r="R180" s="170" t="s">
        <v>361</v>
      </c>
      <c r="S180" s="170" t="s">
        <v>362</v>
      </c>
      <c r="T180" s="170" t="s">
        <v>363</v>
      </c>
      <c r="U180" s="170" t="s">
        <v>364</v>
      </c>
      <c r="V180" s="170" t="s">
        <v>365</v>
      </c>
      <c r="W180" s="170" t="s">
        <v>366</v>
      </c>
      <c r="X180" s="170" t="s">
        <v>367</v>
      </c>
      <c r="Y180" s="170" t="s">
        <v>368</v>
      </c>
      <c r="Z180" s="2"/>
      <c r="AA180" s="2"/>
    </row>
    <row r="181" spans="1:27" s="4" customFormat="1" ht="20" customHeight="1" x14ac:dyDescent="0.45">
      <c r="A181" s="62"/>
      <c r="B181" s="336"/>
      <c r="C181" s="336"/>
      <c r="D181" s="336"/>
      <c r="E181" s="336" t="s">
        <v>244</v>
      </c>
      <c r="F181" s="336"/>
      <c r="G181" s="336" t="s">
        <v>344</v>
      </c>
      <c r="H181" s="336" t="s">
        <v>240</v>
      </c>
      <c r="I181" s="336" t="s">
        <v>256</v>
      </c>
      <c r="J181" s="354"/>
      <c r="K181" s="24"/>
      <c r="L181" s="171" t="s">
        <v>251</v>
      </c>
      <c r="M181" s="172" t="s">
        <v>339</v>
      </c>
      <c r="N181" s="172" t="s">
        <v>340</v>
      </c>
      <c r="O181" s="172" t="s">
        <v>341</v>
      </c>
      <c r="P181" s="172" t="s">
        <v>330</v>
      </c>
      <c r="Q181" s="172" t="s">
        <v>331</v>
      </c>
      <c r="R181" s="172" t="s">
        <v>332</v>
      </c>
      <c r="S181" s="172" t="s">
        <v>333</v>
      </c>
      <c r="T181" s="172" t="s">
        <v>334</v>
      </c>
      <c r="U181" s="172" t="s">
        <v>335</v>
      </c>
      <c r="V181" s="172" t="s">
        <v>336</v>
      </c>
      <c r="W181" s="172" t="s">
        <v>337</v>
      </c>
      <c r="X181" s="172" t="s">
        <v>338</v>
      </c>
      <c r="Y181" s="172" t="s">
        <v>339</v>
      </c>
      <c r="Z181" s="2"/>
      <c r="AA181" s="2"/>
    </row>
    <row r="182" spans="1:27" s="4" customFormat="1" ht="20" customHeight="1" x14ac:dyDescent="0.45">
      <c r="A182" s="62"/>
      <c r="B182" s="337"/>
      <c r="C182" s="337"/>
      <c r="D182" s="337"/>
      <c r="E182" s="337"/>
      <c r="F182" s="337"/>
      <c r="G182" s="337" t="s">
        <v>242</v>
      </c>
      <c r="H182" s="337" t="s">
        <v>243</v>
      </c>
      <c r="I182" s="337" t="s">
        <v>243</v>
      </c>
      <c r="J182" s="229" t="s">
        <v>399</v>
      </c>
      <c r="K182" s="24"/>
      <c r="L182" s="207" t="s">
        <v>251</v>
      </c>
      <c r="M182" s="208">
        <v>31</v>
      </c>
      <c r="N182" s="208">
        <v>28</v>
      </c>
      <c r="O182" s="208">
        <v>31</v>
      </c>
      <c r="P182" s="208">
        <v>30</v>
      </c>
      <c r="Q182" s="208">
        <v>31</v>
      </c>
      <c r="R182" s="208">
        <v>30</v>
      </c>
      <c r="S182" s="208">
        <v>31</v>
      </c>
      <c r="T182" s="208">
        <v>31</v>
      </c>
      <c r="U182" s="208">
        <v>30</v>
      </c>
      <c r="V182" s="208">
        <v>31</v>
      </c>
      <c r="W182" s="208">
        <v>30</v>
      </c>
      <c r="X182" s="208">
        <v>31</v>
      </c>
      <c r="Y182" s="208">
        <v>31</v>
      </c>
      <c r="Z182" s="2"/>
      <c r="AA182" s="2"/>
    </row>
    <row r="183" spans="1:27" s="4" customFormat="1" ht="20" customHeight="1" x14ac:dyDescent="0.45">
      <c r="A183" s="62"/>
      <c r="B183" s="231" t="s">
        <v>91</v>
      </c>
      <c r="C183" s="220" t="s">
        <v>273</v>
      </c>
      <c r="D183" s="220"/>
      <c r="E183" s="220">
        <v>1</v>
      </c>
      <c r="F183" s="242">
        <f>+H183/$J$199</f>
        <v>0</v>
      </c>
      <c r="G183" s="261">
        <f t="shared" ref="G183:G185" si="231">F183</f>
        <v>0</v>
      </c>
      <c r="H183" s="242">
        <v>0</v>
      </c>
      <c r="I183" s="242">
        <f>(E183*H183)</f>
        <v>0</v>
      </c>
      <c r="J183" s="242">
        <f>I183*1.16</f>
        <v>0</v>
      </c>
      <c r="K183" s="24"/>
      <c r="L183" s="243">
        <v>0</v>
      </c>
      <c r="M183" s="243">
        <f>$G$183</f>
        <v>0</v>
      </c>
      <c r="N183" s="243">
        <f t="shared" ref="N183:Y183" si="232">$G$183</f>
        <v>0</v>
      </c>
      <c r="O183" s="243">
        <f t="shared" si="232"/>
        <v>0</v>
      </c>
      <c r="P183" s="243">
        <f t="shared" si="232"/>
        <v>0</v>
      </c>
      <c r="Q183" s="243">
        <f t="shared" si="232"/>
        <v>0</v>
      </c>
      <c r="R183" s="243">
        <f t="shared" si="232"/>
        <v>0</v>
      </c>
      <c r="S183" s="243">
        <f t="shared" si="232"/>
        <v>0</v>
      </c>
      <c r="T183" s="243">
        <f t="shared" si="232"/>
        <v>0</v>
      </c>
      <c r="U183" s="243">
        <f t="shared" si="232"/>
        <v>0</v>
      </c>
      <c r="V183" s="243">
        <f t="shared" si="232"/>
        <v>0</v>
      </c>
      <c r="W183" s="243">
        <f t="shared" si="232"/>
        <v>0</v>
      </c>
      <c r="X183" s="243">
        <f t="shared" si="232"/>
        <v>0</v>
      </c>
      <c r="Y183" s="243">
        <f t="shared" si="232"/>
        <v>0</v>
      </c>
    </row>
    <row r="184" spans="1:27" s="4" customFormat="1" ht="20" customHeight="1" x14ac:dyDescent="0.45">
      <c r="A184" s="62"/>
      <c r="B184" s="231" t="s">
        <v>91</v>
      </c>
      <c r="C184" s="220" t="s">
        <v>272</v>
      </c>
      <c r="D184" s="220"/>
      <c r="E184" s="220">
        <v>1</v>
      </c>
      <c r="F184" s="242">
        <f t="shared" ref="F184" si="233">+H184/$J$199</f>
        <v>113.03399999999999</v>
      </c>
      <c r="G184" s="261">
        <f t="shared" si="231"/>
        <v>113.03399999999999</v>
      </c>
      <c r="H184" s="242">
        <v>2260.6799999999998</v>
      </c>
      <c r="I184" s="242">
        <f>(E184*H184)</f>
        <v>2260.6799999999998</v>
      </c>
      <c r="J184" s="242">
        <f>I184*1.16</f>
        <v>2622.3887999999997</v>
      </c>
      <c r="K184" s="24"/>
      <c r="L184" s="243">
        <v>0</v>
      </c>
      <c r="M184" s="243">
        <f>$G$184</f>
        <v>113.03399999999999</v>
      </c>
      <c r="N184" s="243">
        <f t="shared" ref="N184:Y184" si="234">$G$184</f>
        <v>113.03399999999999</v>
      </c>
      <c r="O184" s="243">
        <f t="shared" si="234"/>
        <v>113.03399999999999</v>
      </c>
      <c r="P184" s="243">
        <f t="shared" si="234"/>
        <v>113.03399999999999</v>
      </c>
      <c r="Q184" s="243">
        <f t="shared" si="234"/>
        <v>113.03399999999999</v>
      </c>
      <c r="R184" s="243">
        <f t="shared" si="234"/>
        <v>113.03399999999999</v>
      </c>
      <c r="S184" s="243">
        <f t="shared" si="234"/>
        <v>113.03399999999999</v>
      </c>
      <c r="T184" s="243">
        <f t="shared" si="234"/>
        <v>113.03399999999999</v>
      </c>
      <c r="U184" s="243">
        <f t="shared" si="234"/>
        <v>113.03399999999999</v>
      </c>
      <c r="V184" s="243">
        <f t="shared" si="234"/>
        <v>113.03399999999999</v>
      </c>
      <c r="W184" s="243">
        <f t="shared" si="234"/>
        <v>113.03399999999999</v>
      </c>
      <c r="X184" s="243">
        <f t="shared" si="234"/>
        <v>113.03399999999999</v>
      </c>
      <c r="Y184" s="243">
        <f t="shared" si="234"/>
        <v>113.03399999999999</v>
      </c>
    </row>
    <row r="185" spans="1:27" s="4" customFormat="1" ht="20" customHeight="1" x14ac:dyDescent="0.45">
      <c r="A185" s="62"/>
      <c r="B185" s="231" t="s">
        <v>91</v>
      </c>
      <c r="C185" s="220" t="s">
        <v>274</v>
      </c>
      <c r="D185" s="220"/>
      <c r="E185" s="220">
        <v>1</v>
      </c>
      <c r="F185" s="242">
        <f>+H185/$J$199</f>
        <v>0</v>
      </c>
      <c r="G185" s="261">
        <f t="shared" si="231"/>
        <v>0</v>
      </c>
      <c r="H185" s="242">
        <v>0</v>
      </c>
      <c r="I185" s="242">
        <f>(E185*H185)</f>
        <v>0</v>
      </c>
      <c r="J185" s="242">
        <f>I185*1.16</f>
        <v>0</v>
      </c>
      <c r="K185" s="24"/>
      <c r="L185" s="243">
        <v>0</v>
      </c>
      <c r="M185" s="243">
        <f>$G$185</f>
        <v>0</v>
      </c>
      <c r="N185" s="243">
        <f t="shared" ref="N185:Y185" si="235">$G$185</f>
        <v>0</v>
      </c>
      <c r="O185" s="243">
        <f t="shared" si="235"/>
        <v>0</v>
      </c>
      <c r="P185" s="243">
        <f t="shared" si="235"/>
        <v>0</v>
      </c>
      <c r="Q185" s="243">
        <f t="shared" si="235"/>
        <v>0</v>
      </c>
      <c r="R185" s="243">
        <f t="shared" si="235"/>
        <v>0</v>
      </c>
      <c r="S185" s="243">
        <f t="shared" si="235"/>
        <v>0</v>
      </c>
      <c r="T185" s="243">
        <f t="shared" si="235"/>
        <v>0</v>
      </c>
      <c r="U185" s="243">
        <f t="shared" si="235"/>
        <v>0</v>
      </c>
      <c r="V185" s="243">
        <f t="shared" si="235"/>
        <v>0</v>
      </c>
      <c r="W185" s="243">
        <f t="shared" si="235"/>
        <v>0</v>
      </c>
      <c r="X185" s="243">
        <f t="shared" si="235"/>
        <v>0</v>
      </c>
      <c r="Y185" s="243">
        <f t="shared" si="235"/>
        <v>0</v>
      </c>
    </row>
    <row r="186" spans="1:27" s="4" customFormat="1" ht="20" customHeight="1" x14ac:dyDescent="0.45">
      <c r="A186" s="62"/>
      <c r="B186" s="46"/>
      <c r="C186" s="5"/>
      <c r="D186" s="46"/>
      <c r="E186" s="87"/>
      <c r="G186" s="74"/>
      <c r="H186" s="74"/>
      <c r="I186" s="74"/>
      <c r="J186" s="53"/>
      <c r="K186" s="24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spans="1:27" s="4" customFormat="1" ht="20" customHeight="1" x14ac:dyDescent="0.45">
      <c r="A187" s="62"/>
      <c r="B187" s="46"/>
      <c r="C187" s="46"/>
      <c r="D187" s="153"/>
      <c r="E187" s="87"/>
      <c r="G187"/>
      <c r="H187"/>
      <c r="I187" s="325" t="s">
        <v>402</v>
      </c>
      <c r="J187" s="326"/>
      <c r="K187" s="24"/>
      <c r="L187" s="210">
        <f>SUM(L183:L185)</f>
        <v>0</v>
      </c>
      <c r="M187" s="210">
        <f t="shared" ref="M187:W187" si="236">SUM(M183:M185)</f>
        <v>113.03399999999999</v>
      </c>
      <c r="N187" s="210">
        <f t="shared" si="236"/>
        <v>113.03399999999999</v>
      </c>
      <c r="O187" s="210">
        <f t="shared" si="236"/>
        <v>113.03399999999999</v>
      </c>
      <c r="P187" s="210">
        <f t="shared" si="236"/>
        <v>113.03399999999999</v>
      </c>
      <c r="Q187" s="210">
        <f t="shared" si="236"/>
        <v>113.03399999999999</v>
      </c>
      <c r="R187" s="210">
        <f t="shared" si="236"/>
        <v>113.03399999999999</v>
      </c>
      <c r="S187" s="210">
        <f t="shared" si="236"/>
        <v>113.03399999999999</v>
      </c>
      <c r="T187" s="210">
        <f t="shared" si="236"/>
        <v>113.03399999999999</v>
      </c>
      <c r="U187" s="210">
        <f t="shared" si="236"/>
        <v>113.03399999999999</v>
      </c>
      <c r="V187" s="210">
        <f t="shared" si="236"/>
        <v>113.03399999999999</v>
      </c>
      <c r="W187" s="210">
        <f t="shared" si="236"/>
        <v>113.03399999999999</v>
      </c>
      <c r="X187" s="210">
        <f>SUM(X183:X185)</f>
        <v>113.03399999999999</v>
      </c>
      <c r="Y187" s="210">
        <f>SUM(Y183:Y185)</f>
        <v>113.03399999999999</v>
      </c>
    </row>
    <row r="188" spans="1:27" s="4" customFormat="1" ht="20" customHeight="1" x14ac:dyDescent="0.45">
      <c r="A188" s="62"/>
      <c r="B188" s="46"/>
      <c r="C188" s="46"/>
      <c r="D188" s="153"/>
      <c r="E188" s="87"/>
      <c r="G188"/>
      <c r="H188"/>
      <c r="I188" s="327" t="s">
        <v>397</v>
      </c>
      <c r="J188" s="328"/>
      <c r="K188" s="24"/>
      <c r="L188" s="211">
        <f>L187/$J$199</f>
        <v>0</v>
      </c>
      <c r="M188" s="211">
        <f t="shared" ref="M188" si="237">M187/$J$199</f>
        <v>5.6516999999999999</v>
      </c>
      <c r="N188" s="211">
        <f t="shared" ref="N188" si="238">N187/$J$199</f>
        <v>5.6516999999999999</v>
      </c>
      <c r="O188" s="211">
        <f t="shared" ref="O188" si="239">O187/$J$199</f>
        <v>5.6516999999999999</v>
      </c>
      <c r="P188" s="211">
        <f t="shared" ref="P188" si="240">P187/$J$199</f>
        <v>5.6516999999999999</v>
      </c>
      <c r="Q188" s="211">
        <f t="shared" ref="Q188" si="241">Q187/$J$199</f>
        <v>5.6516999999999999</v>
      </c>
      <c r="R188" s="211">
        <f t="shared" ref="R188" si="242">R187/$J$199</f>
        <v>5.6516999999999999</v>
      </c>
      <c r="S188" s="211">
        <f t="shared" ref="S188" si="243">S187/$J$199</f>
        <v>5.6516999999999999</v>
      </c>
      <c r="T188" s="211">
        <f t="shared" ref="T188" si="244">T187/$J$199</f>
        <v>5.6516999999999999</v>
      </c>
      <c r="U188" s="211">
        <f t="shared" ref="U188" si="245">U187/$J$199</f>
        <v>5.6516999999999999</v>
      </c>
      <c r="V188" s="211">
        <f t="shared" ref="V188" si="246">V187/$J$199</f>
        <v>5.6516999999999999</v>
      </c>
      <c r="W188" s="211">
        <f t="shared" ref="W188" si="247">W187/$J$199</f>
        <v>5.6516999999999999</v>
      </c>
      <c r="X188" s="211">
        <f t="shared" ref="X188" si="248">X187/$J$199</f>
        <v>5.6516999999999999</v>
      </c>
      <c r="Y188" s="211">
        <f t="shared" ref="Y188" si="249">Y187/$J$199</f>
        <v>5.6516999999999999</v>
      </c>
    </row>
    <row r="189" spans="1:27" s="4" customFormat="1" ht="20" customHeight="1" x14ac:dyDescent="0.45">
      <c r="A189" s="62"/>
      <c r="B189" s="46"/>
      <c r="C189" s="46"/>
      <c r="D189" s="153" t="s">
        <v>410</v>
      </c>
      <c r="E189" s="87"/>
      <c r="G189" s="78"/>
      <c r="H189" s="78"/>
      <c r="I189" s="325" t="s">
        <v>403</v>
      </c>
      <c r="J189" s="326"/>
      <c r="K189" s="24"/>
      <c r="L189" s="210">
        <f>SUM(L187:Y187)</f>
        <v>1469.442</v>
      </c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</row>
    <row r="190" spans="1:27" s="4" customFormat="1" ht="20" customHeight="1" x14ac:dyDescent="0.45">
      <c r="A190" s="62"/>
      <c r="B190" s="46"/>
      <c r="C190" s="46"/>
      <c r="D190" s="46"/>
      <c r="E190" s="87"/>
      <c r="G190" s="78"/>
      <c r="H190" s="78"/>
      <c r="I190" s="327" t="s">
        <v>256</v>
      </c>
      <c r="J190" s="328"/>
      <c r="K190" s="24"/>
      <c r="L190" s="262">
        <f>SUM(L188:Y188)</f>
        <v>73.472099999999998</v>
      </c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</row>
    <row r="191" spans="1:27" s="4" customFormat="1" ht="20" customHeight="1" x14ac:dyDescent="0.45">
      <c r="A191" s="62"/>
      <c r="B191" s="52"/>
      <c r="C191" s="52"/>
      <c r="D191" s="52"/>
      <c r="E191" s="52"/>
      <c r="F191" s="52"/>
      <c r="G191" s="52"/>
      <c r="H191" s="52"/>
      <c r="I191" s="52"/>
      <c r="J191" s="52"/>
      <c r="K191" s="24"/>
      <c r="L191" s="52"/>
      <c r="M191" s="10"/>
      <c r="N191" s="52"/>
      <c r="O191" s="52"/>
      <c r="P191" s="52"/>
      <c r="Q191" s="52"/>
      <c r="R191" s="52"/>
      <c r="S191" s="52"/>
      <c r="T191" s="52"/>
      <c r="U191" s="52"/>
      <c r="V191" s="52"/>
      <c r="W191" s="52"/>
    </row>
    <row r="192" spans="1:27" s="4" customFormat="1" ht="20" customHeight="1" x14ac:dyDescent="0.45">
      <c r="A192" s="62"/>
      <c r="K192" s="24"/>
    </row>
    <row r="193" spans="1:25" s="4" customFormat="1" ht="20" customHeight="1" x14ac:dyDescent="0.45">
      <c r="A193" s="62"/>
      <c r="B193"/>
      <c r="C193"/>
      <c r="D193" s="52"/>
      <c r="E193" s="52"/>
      <c r="F193" s="358">
        <f>EGRESOS!R28</f>
        <v>5694.4419999999991</v>
      </c>
      <c r="G193" s="359" t="s">
        <v>277</v>
      </c>
      <c r="H193" s="359"/>
      <c r="I193" s="325" t="s">
        <v>402</v>
      </c>
      <c r="J193" s="326"/>
      <c r="K193" s="24"/>
      <c r="L193" s="210">
        <f>L187+L174+L162+L142+L130</f>
        <v>0</v>
      </c>
      <c r="M193" s="210">
        <f t="shared" ref="M193:Y193" si="250">M187+M174+M162+M142+M130</f>
        <v>438.03399999999999</v>
      </c>
      <c r="N193" s="210">
        <f t="shared" si="250"/>
        <v>438.03399999999999</v>
      </c>
      <c r="O193" s="210">
        <f t="shared" si="250"/>
        <v>438.03399999999999</v>
      </c>
      <c r="P193" s="210">
        <f t="shared" si="250"/>
        <v>438.03399999999999</v>
      </c>
      <c r="Q193" s="210">
        <f t="shared" si="250"/>
        <v>438.03399999999999</v>
      </c>
      <c r="R193" s="210">
        <f t="shared" si="250"/>
        <v>438.03399999999999</v>
      </c>
      <c r="S193" s="210">
        <f t="shared" si="250"/>
        <v>438.03399999999999</v>
      </c>
      <c r="T193" s="210">
        <f t="shared" si="250"/>
        <v>438.03399999999999</v>
      </c>
      <c r="U193" s="210">
        <f t="shared" si="250"/>
        <v>438.03399999999999</v>
      </c>
      <c r="V193" s="210">
        <f t="shared" si="250"/>
        <v>438.03399999999999</v>
      </c>
      <c r="W193" s="210">
        <f t="shared" si="250"/>
        <v>438.03399999999999</v>
      </c>
      <c r="X193" s="210">
        <f t="shared" si="250"/>
        <v>438.03399999999999</v>
      </c>
      <c r="Y193" s="210">
        <f t="shared" si="250"/>
        <v>438.03399999999999</v>
      </c>
    </row>
    <row r="194" spans="1:25" s="4" customFormat="1" ht="20" customHeight="1" x14ac:dyDescent="0.45">
      <c r="A194" s="62"/>
      <c r="B194"/>
      <c r="C194"/>
      <c r="F194" s="359"/>
      <c r="G194" s="359"/>
      <c r="H194" s="359"/>
      <c r="I194" s="327" t="s">
        <v>397</v>
      </c>
      <c r="J194" s="328"/>
      <c r="K194" s="24"/>
      <c r="L194" s="211">
        <f>L193/$J$199</f>
        <v>0</v>
      </c>
      <c r="M194" s="211">
        <f t="shared" ref="M194" si="251">M193/$J$199</f>
        <v>21.901699999999998</v>
      </c>
      <c r="N194" s="211">
        <f t="shared" ref="N194" si="252">N193/$J$199</f>
        <v>21.901699999999998</v>
      </c>
      <c r="O194" s="211">
        <f t="shared" ref="O194" si="253">O193/$J$199</f>
        <v>21.901699999999998</v>
      </c>
      <c r="P194" s="211">
        <f t="shared" ref="P194" si="254">P193/$J$199</f>
        <v>21.901699999999998</v>
      </c>
      <c r="Q194" s="211">
        <f t="shared" ref="Q194" si="255">Q193/$J$199</f>
        <v>21.901699999999998</v>
      </c>
      <c r="R194" s="211">
        <f t="shared" ref="R194" si="256">R193/$J$199</f>
        <v>21.901699999999998</v>
      </c>
      <c r="S194" s="211">
        <f t="shared" ref="S194" si="257">S193/$J$199</f>
        <v>21.901699999999998</v>
      </c>
      <c r="T194" s="211">
        <f t="shared" ref="T194" si="258">T193/$J$199</f>
        <v>21.901699999999998</v>
      </c>
      <c r="U194" s="211">
        <f t="shared" ref="U194" si="259">U193/$J$199</f>
        <v>21.901699999999998</v>
      </c>
      <c r="V194" s="211">
        <f t="shared" ref="V194" si="260">V193/$J$199</f>
        <v>21.901699999999998</v>
      </c>
      <c r="W194" s="211">
        <f t="shared" ref="W194" si="261">W193/$J$199</f>
        <v>21.901699999999998</v>
      </c>
      <c r="X194" s="211">
        <f t="shared" ref="X194" si="262">X193/$J$199</f>
        <v>21.901699999999998</v>
      </c>
      <c r="Y194" s="211">
        <f t="shared" ref="Y194" si="263">Y193/$J$199</f>
        <v>21.901699999999998</v>
      </c>
    </row>
    <row r="195" spans="1:25" s="4" customFormat="1" ht="20" customHeight="1" x14ac:dyDescent="0.45">
      <c r="A195" s="62"/>
      <c r="B195"/>
      <c r="C195"/>
      <c r="F195" s="359"/>
      <c r="G195" s="359"/>
      <c r="H195" s="359"/>
      <c r="I195" s="325" t="s">
        <v>403</v>
      </c>
      <c r="J195" s="326"/>
      <c r="K195" s="24"/>
      <c r="L195" s="210">
        <f>SUM(L193:Y193)</f>
        <v>5694.4419999999991</v>
      </c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</row>
    <row r="196" spans="1:25" s="4" customFormat="1" ht="20" customHeight="1" x14ac:dyDescent="0.45">
      <c r="A196" s="62"/>
      <c r="B196"/>
      <c r="C196"/>
      <c r="F196" s="359"/>
      <c r="G196" s="359"/>
      <c r="H196" s="359"/>
      <c r="I196" s="327" t="s">
        <v>256</v>
      </c>
      <c r="J196" s="328"/>
      <c r="K196" s="24"/>
      <c r="L196" s="262">
        <f>SUM(L194:Y194)</f>
        <v>284.72210000000001</v>
      </c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</row>
    <row r="197" spans="1:25" ht="20" customHeight="1" x14ac:dyDescent="0.45">
      <c r="K197" s="24"/>
    </row>
    <row r="198" spans="1:25" ht="20" customHeight="1" x14ac:dyDescent="0.45">
      <c r="D198" s="66"/>
      <c r="E198" s="66"/>
      <c r="F198" s="66"/>
      <c r="G198" s="66"/>
      <c r="I198" s="350"/>
      <c r="J198" s="351"/>
      <c r="K198" s="24"/>
    </row>
    <row r="199" spans="1:25" ht="20" customHeight="1" x14ac:dyDescent="0.55000000000000004">
      <c r="D199" s="66"/>
      <c r="E199" s="66"/>
      <c r="F199" s="66"/>
      <c r="G199" s="66"/>
      <c r="I199" s="212" t="str">
        <f>'F06 (MAT,SERV &amp; EQUIPO)'!I49</f>
        <v>PARIDAD</v>
      </c>
      <c r="J199" s="198">
        <f>'F06 (MAT,SERV &amp; EQUIPO)'!J49</f>
        <v>20</v>
      </c>
      <c r="K199" s="24"/>
      <c r="L199" s="11"/>
    </row>
    <row r="200" spans="1:25" ht="20" customHeight="1" x14ac:dyDescent="0.45">
      <c r="D200" s="66"/>
      <c r="E200" s="66"/>
      <c r="F200" s="66"/>
      <c r="G200" s="66"/>
      <c r="I200" s="213" t="str">
        <f>'F06 (MAT,SERV &amp; EQUIPO)'!I50</f>
        <v xml:space="preserve">MES </v>
      </c>
      <c r="J200" s="199">
        <f>'F06 (MAT,SERV &amp; EQUIPO)'!J50</f>
        <v>30.4</v>
      </c>
      <c r="K200" s="24"/>
    </row>
    <row r="201" spans="1:25" ht="20" customHeight="1" x14ac:dyDescent="0.45">
      <c r="D201" s="66"/>
      <c r="E201" s="66"/>
      <c r="F201" s="66"/>
      <c r="G201" s="66"/>
      <c r="I201" s="214" t="str">
        <f>'F06 (MAT,SERV &amp; EQUIPO)'!I51</f>
        <v>CRÉDITO</v>
      </c>
      <c r="J201" s="200">
        <f>'F06 (MAT,SERV &amp; EQUIPO)'!J51</f>
        <v>45</v>
      </c>
      <c r="K201" s="24"/>
    </row>
    <row r="202" spans="1:25" ht="20" customHeight="1" x14ac:dyDescent="0.45">
      <c r="D202" s="66"/>
      <c r="E202" s="66"/>
      <c r="F202" s="66"/>
      <c r="G202" s="66"/>
      <c r="I202" s="215" t="str">
        <f>'F06 (MAT,SERV &amp; EQUIPO)'!I52</f>
        <v>GAS LP</v>
      </c>
      <c r="J202" s="201">
        <f>'F06 (MAT,SERV &amp; EQUIPO)'!J52</f>
        <v>10.5</v>
      </c>
      <c r="K202" s="24"/>
    </row>
    <row r="203" spans="1:25" ht="20" customHeight="1" x14ac:dyDescent="0.35">
      <c r="D203" s="66"/>
      <c r="E203" s="66"/>
      <c r="F203" s="66"/>
      <c r="G203" s="66"/>
      <c r="I203" s="216" t="str">
        <f>'F06 (MAT,SERV &amp; EQUIPO)'!I53</f>
        <v>GASOLINA</v>
      </c>
      <c r="J203" s="202">
        <f>'F06 (MAT,SERV &amp; EQUIPO)'!J53</f>
        <v>22</v>
      </c>
    </row>
    <row r="204" spans="1:25" ht="20" customHeight="1" x14ac:dyDescent="0.35">
      <c r="D204" s="66"/>
      <c r="E204" s="66"/>
      <c r="F204" s="66"/>
      <c r="G204" s="66"/>
      <c r="I204" s="253" t="str">
        <f>'F06 (MAT,SERV &amp; EQUIPO)'!I54</f>
        <v>DIESEL</v>
      </c>
      <c r="J204" s="254">
        <f>'F06 (MAT,SERV &amp; EQUIPO)'!J54</f>
        <v>23</v>
      </c>
    </row>
    <row r="205" spans="1:25" ht="20" customHeight="1" x14ac:dyDescent="0.35">
      <c r="D205" s="66"/>
      <c r="E205" s="66"/>
      <c r="F205" s="66"/>
      <c r="G205" s="66"/>
      <c r="I205" s="329" t="s">
        <v>345</v>
      </c>
      <c r="J205" s="330"/>
    </row>
    <row r="206" spans="1:25" ht="20" customHeight="1" thickBot="1" x14ac:dyDescent="0.4">
      <c r="D206" s="66"/>
      <c r="E206" s="66"/>
      <c r="F206" s="66"/>
      <c r="I206" s="331"/>
      <c r="J206" s="332"/>
    </row>
    <row r="207" spans="1:25" ht="20" customHeight="1" x14ac:dyDescent="0.35">
      <c r="D207" s="66"/>
      <c r="E207" s="66"/>
      <c r="F207" s="66"/>
    </row>
    <row r="208" spans="1:25" ht="20" customHeight="1" x14ac:dyDescent="0.35">
      <c r="D208" s="66"/>
      <c r="E208" s="66"/>
      <c r="F208" s="66"/>
    </row>
    <row r="209" spans="3:21" ht="20" customHeight="1" x14ac:dyDescent="0.35">
      <c r="D209" s="66"/>
      <c r="E209" s="66"/>
      <c r="F209" s="66"/>
    </row>
    <row r="210" spans="3:21" ht="20" customHeight="1" x14ac:dyDescent="0.35">
      <c r="D210" s="66"/>
      <c r="E210" s="66"/>
      <c r="F210" s="66"/>
    </row>
    <row r="211" spans="3:21" ht="20" customHeight="1" x14ac:dyDescent="0.35">
      <c r="C211" s="88"/>
      <c r="D211" s="66"/>
      <c r="E211" s="66"/>
      <c r="F211" s="66"/>
    </row>
    <row r="212" spans="3:21" ht="20" customHeight="1" x14ac:dyDescent="0.35">
      <c r="C212" s="88"/>
      <c r="D212" s="66"/>
      <c r="E212" s="66"/>
      <c r="F212" s="66"/>
    </row>
    <row r="213" spans="3:21" ht="20" customHeight="1" x14ac:dyDescent="0.35">
      <c r="C213" s="88"/>
      <c r="D213" s="66"/>
      <c r="E213" s="66"/>
      <c r="F213" s="66"/>
    </row>
    <row r="214" spans="3:21" ht="20" customHeight="1" x14ac:dyDescent="0.35">
      <c r="C214" s="88"/>
      <c r="D214" s="66"/>
      <c r="E214" s="66"/>
      <c r="F214" s="66"/>
    </row>
    <row r="215" spans="3:21" ht="20" customHeight="1" x14ac:dyDescent="0.35">
      <c r="D215" s="66"/>
      <c r="E215" s="66"/>
      <c r="F215" s="66"/>
    </row>
    <row r="216" spans="3:21" ht="20" customHeight="1" x14ac:dyDescent="0.35">
      <c r="D216" s="66"/>
      <c r="E216" s="66"/>
      <c r="F216" s="66"/>
    </row>
    <row r="217" spans="3:21" ht="20" customHeight="1" x14ac:dyDescent="0.35">
      <c r="D217" s="66"/>
      <c r="E217" s="66"/>
      <c r="F217" s="66"/>
    </row>
    <row r="218" spans="3:21" ht="20" customHeight="1" x14ac:dyDescent="0.35">
      <c r="D218" s="66"/>
      <c r="E218" s="66"/>
      <c r="F218" s="66"/>
    </row>
    <row r="219" spans="3:21" ht="20" customHeight="1" x14ac:dyDescent="0.35">
      <c r="D219" s="66"/>
      <c r="E219" s="66"/>
      <c r="F219" s="66"/>
    </row>
    <row r="220" spans="3:21" ht="20" customHeight="1" x14ac:dyDescent="0.35">
      <c r="D220" s="66"/>
      <c r="E220" s="66"/>
      <c r="F220" s="66"/>
    </row>
    <row r="221" spans="3:21" ht="20" customHeight="1" x14ac:dyDescent="0.35">
      <c r="D221" s="66"/>
      <c r="E221" s="66"/>
      <c r="F221" s="66"/>
    </row>
    <row r="222" spans="3:21" ht="20" customHeight="1" x14ac:dyDescent="0.35">
      <c r="D222" s="66"/>
      <c r="E222" s="66"/>
      <c r="F222" s="66"/>
    </row>
    <row r="223" spans="3:21" ht="20" customHeight="1" x14ac:dyDescent="0.35">
      <c r="D223" s="66"/>
      <c r="E223" s="66"/>
      <c r="F223" s="66"/>
    </row>
    <row r="224" spans="3:21" ht="20" customHeight="1" x14ac:dyDescent="0.35">
      <c r="D224" s="66"/>
      <c r="E224" s="66"/>
      <c r="F224" s="66"/>
      <c r="U224" s="88"/>
    </row>
    <row r="225" spans="4:6" ht="20" customHeight="1" x14ac:dyDescent="0.35">
      <c r="D225" s="66"/>
      <c r="E225" s="66"/>
      <c r="F225" s="66"/>
    </row>
    <row r="226" spans="4:6" ht="20" customHeight="1" x14ac:dyDescent="0.35">
      <c r="D226" s="66"/>
      <c r="E226" s="66"/>
      <c r="F226" s="66"/>
    </row>
    <row r="227" spans="4:6" ht="20" customHeight="1" x14ac:dyDescent="0.35">
      <c r="D227" s="66"/>
      <c r="E227" s="66"/>
      <c r="F227" s="66"/>
    </row>
    <row r="228" spans="4:6" ht="20" customHeight="1" x14ac:dyDescent="0.35">
      <c r="D228" s="66"/>
      <c r="E228" s="66"/>
      <c r="F228" s="66"/>
    </row>
    <row r="229" spans="4:6" ht="20" customHeight="1" x14ac:dyDescent="0.35">
      <c r="D229" s="66"/>
      <c r="E229" s="66"/>
      <c r="F229" s="66"/>
    </row>
    <row r="230" spans="4:6" ht="20" customHeight="1" x14ac:dyDescent="0.35">
      <c r="D230" s="66"/>
      <c r="E230" s="66"/>
      <c r="F230" s="66"/>
    </row>
    <row r="231" spans="4:6" ht="20" customHeight="1" x14ac:dyDescent="0.35">
      <c r="D231" s="66"/>
      <c r="E231" s="66"/>
      <c r="F231" s="66"/>
    </row>
    <row r="232" spans="4:6" ht="20" customHeight="1" x14ac:dyDescent="0.35">
      <c r="D232" s="66"/>
      <c r="E232" s="66"/>
      <c r="F232" s="66"/>
    </row>
    <row r="233" spans="4:6" ht="20" customHeight="1" x14ac:dyDescent="0.35">
      <c r="D233" s="66"/>
      <c r="E233" s="66"/>
      <c r="F233" s="66"/>
    </row>
    <row r="234" spans="4:6" ht="20" customHeight="1" x14ac:dyDescent="0.35">
      <c r="D234" s="66"/>
      <c r="E234" s="66"/>
      <c r="F234" s="66"/>
    </row>
    <row r="235" spans="4:6" ht="20" customHeight="1" x14ac:dyDescent="0.35">
      <c r="D235" s="66"/>
      <c r="E235" s="66"/>
      <c r="F235" s="66"/>
    </row>
    <row r="236" spans="4:6" ht="20" customHeight="1" x14ac:dyDescent="0.35">
      <c r="D236" s="66"/>
      <c r="E236" s="66"/>
      <c r="F236" s="66"/>
    </row>
    <row r="237" spans="4:6" ht="20" customHeight="1" x14ac:dyDescent="0.35">
      <c r="D237" s="66"/>
      <c r="E237" s="66"/>
      <c r="F237" s="66"/>
    </row>
    <row r="238" spans="4:6" ht="20" customHeight="1" x14ac:dyDescent="0.35">
      <c r="D238" s="66"/>
      <c r="E238" s="66"/>
      <c r="F238" s="66"/>
    </row>
    <row r="239" spans="4:6" ht="20" customHeight="1" x14ac:dyDescent="0.35">
      <c r="D239" s="66"/>
      <c r="E239" s="66"/>
      <c r="F239" s="66"/>
    </row>
    <row r="240" spans="4:6" ht="20" customHeight="1" x14ac:dyDescent="0.35">
      <c r="D240" s="66"/>
      <c r="E240" s="66"/>
      <c r="F240" s="66"/>
    </row>
    <row r="241" spans="4:6" ht="20" customHeight="1" x14ac:dyDescent="0.35">
      <c r="D241" s="66"/>
      <c r="E241" s="66"/>
      <c r="F241" s="66"/>
    </row>
    <row r="242" spans="4:6" ht="20" customHeight="1" x14ac:dyDescent="0.35">
      <c r="D242" s="66"/>
      <c r="E242" s="66"/>
      <c r="F242" s="66"/>
    </row>
    <row r="243" spans="4:6" ht="20" customHeight="1" x14ac:dyDescent="0.35">
      <c r="D243" s="66"/>
      <c r="E243" s="66"/>
      <c r="F243" s="66"/>
    </row>
    <row r="244" spans="4:6" ht="20" customHeight="1" x14ac:dyDescent="0.35">
      <c r="D244" s="66"/>
      <c r="E244" s="66"/>
      <c r="F244" s="66"/>
    </row>
    <row r="245" spans="4:6" ht="20" customHeight="1" x14ac:dyDescent="0.35">
      <c r="D245" s="66"/>
      <c r="E245" s="66"/>
      <c r="F245" s="66"/>
    </row>
    <row r="246" spans="4:6" ht="20" customHeight="1" x14ac:dyDescent="0.35">
      <c r="D246" s="66"/>
      <c r="E246" s="66"/>
      <c r="F246" s="66"/>
    </row>
    <row r="247" spans="4:6" ht="20" customHeight="1" x14ac:dyDescent="0.35">
      <c r="D247" s="66"/>
      <c r="E247" s="66"/>
      <c r="F247" s="66"/>
    </row>
    <row r="248" spans="4:6" ht="20" customHeight="1" x14ac:dyDescent="0.35">
      <c r="D248" s="66"/>
      <c r="E248" s="66"/>
      <c r="F248" s="66"/>
    </row>
    <row r="249" spans="4:6" ht="20" customHeight="1" x14ac:dyDescent="0.35">
      <c r="D249" s="66"/>
      <c r="E249" s="66"/>
      <c r="F249" s="66"/>
    </row>
    <row r="250" spans="4:6" ht="20" customHeight="1" x14ac:dyDescent="0.35">
      <c r="D250" s="66"/>
      <c r="E250" s="66"/>
      <c r="F250" s="66"/>
    </row>
    <row r="251" spans="4:6" ht="20" customHeight="1" x14ac:dyDescent="0.35">
      <c r="D251" s="66"/>
      <c r="E251" s="66"/>
      <c r="F251" s="66"/>
    </row>
    <row r="252" spans="4:6" ht="20" customHeight="1" x14ac:dyDescent="0.35">
      <c r="D252" s="66"/>
      <c r="E252" s="66"/>
      <c r="F252" s="66"/>
    </row>
    <row r="253" spans="4:6" ht="20" customHeight="1" x14ac:dyDescent="0.35">
      <c r="D253" s="66"/>
      <c r="E253" s="66"/>
      <c r="F253" s="66"/>
    </row>
    <row r="254" spans="4:6" ht="20" customHeight="1" x14ac:dyDescent="0.35">
      <c r="D254" s="66"/>
      <c r="E254" s="66"/>
      <c r="F254" s="66"/>
    </row>
    <row r="255" spans="4:6" ht="20" customHeight="1" x14ac:dyDescent="0.35">
      <c r="D255" s="66"/>
      <c r="E255" s="66"/>
      <c r="F255" s="66"/>
    </row>
    <row r="256" spans="4:6" ht="20" customHeight="1" x14ac:dyDescent="0.35">
      <c r="D256" s="66"/>
      <c r="E256" s="66"/>
      <c r="F256" s="66"/>
    </row>
    <row r="257" spans="4:6" ht="20" customHeight="1" x14ac:dyDescent="0.35">
      <c r="D257" s="66"/>
      <c r="E257" s="66"/>
      <c r="F257" s="66"/>
    </row>
    <row r="258" spans="4:6" ht="20" customHeight="1" x14ac:dyDescent="0.35">
      <c r="D258" s="66"/>
      <c r="E258" s="66"/>
      <c r="F258" s="66"/>
    </row>
    <row r="259" spans="4:6" ht="20" customHeight="1" x14ac:dyDescent="0.35">
      <c r="D259" s="66"/>
      <c r="E259" s="66"/>
      <c r="F259" s="66"/>
    </row>
    <row r="260" spans="4:6" ht="20" customHeight="1" x14ac:dyDescent="0.35">
      <c r="D260" s="66"/>
      <c r="E260" s="66"/>
      <c r="F260" s="66"/>
    </row>
    <row r="261" spans="4:6" ht="20" customHeight="1" x14ac:dyDescent="0.35">
      <c r="D261" s="66"/>
      <c r="E261" s="66"/>
      <c r="F261" s="66"/>
    </row>
    <row r="262" spans="4:6" ht="20" customHeight="1" x14ac:dyDescent="0.35">
      <c r="D262" s="66"/>
      <c r="E262" s="66"/>
      <c r="F262" s="66"/>
    </row>
    <row r="263" spans="4:6" ht="20" customHeight="1" x14ac:dyDescent="0.35">
      <c r="D263" s="66"/>
      <c r="E263" s="66"/>
      <c r="F263" s="66"/>
    </row>
    <row r="264" spans="4:6" ht="20" customHeight="1" x14ac:dyDescent="0.35">
      <c r="D264" s="66"/>
      <c r="E264" s="66"/>
      <c r="F264" s="66"/>
    </row>
    <row r="265" spans="4:6" ht="20" customHeight="1" x14ac:dyDescent="0.35">
      <c r="D265" s="66"/>
      <c r="E265" s="66"/>
      <c r="F265" s="66"/>
    </row>
    <row r="266" spans="4:6" ht="20" customHeight="1" x14ac:dyDescent="0.35">
      <c r="D266" s="66"/>
      <c r="E266" s="66"/>
      <c r="F266" s="66"/>
    </row>
    <row r="267" spans="4:6" ht="20" customHeight="1" x14ac:dyDescent="0.35">
      <c r="D267" s="66"/>
      <c r="E267" s="66"/>
      <c r="F267" s="66"/>
    </row>
    <row r="268" spans="4:6" ht="20" customHeight="1" x14ac:dyDescent="0.35">
      <c r="D268" s="66"/>
      <c r="E268" s="66"/>
      <c r="F268" s="66"/>
    </row>
    <row r="269" spans="4:6" ht="20" customHeight="1" x14ac:dyDescent="0.35">
      <c r="D269" s="66"/>
      <c r="E269" s="66"/>
      <c r="F269" s="66"/>
    </row>
    <row r="270" spans="4:6" ht="20" customHeight="1" x14ac:dyDescent="0.35">
      <c r="D270" s="66"/>
      <c r="E270" s="66"/>
      <c r="F270" s="66"/>
    </row>
    <row r="271" spans="4:6" ht="20" customHeight="1" x14ac:dyDescent="0.35">
      <c r="D271" s="66"/>
      <c r="E271" s="66"/>
      <c r="F271" s="66"/>
    </row>
    <row r="272" spans="4:6" ht="20" customHeight="1" x14ac:dyDescent="0.35">
      <c r="D272" s="66"/>
      <c r="E272" s="66"/>
      <c r="F272" s="66"/>
    </row>
    <row r="273" spans="4:6" ht="20" customHeight="1" x14ac:dyDescent="0.35">
      <c r="D273" s="66"/>
      <c r="E273" s="66"/>
      <c r="F273" s="66"/>
    </row>
    <row r="274" spans="4:6" ht="20" customHeight="1" x14ac:dyDescent="0.35">
      <c r="D274" s="66"/>
      <c r="E274" s="66"/>
      <c r="F274" s="66"/>
    </row>
    <row r="275" spans="4:6" ht="20" customHeight="1" x14ac:dyDescent="0.35">
      <c r="D275" s="66"/>
      <c r="E275" s="66"/>
      <c r="F275" s="66"/>
    </row>
    <row r="276" spans="4:6" ht="20" customHeight="1" x14ac:dyDescent="0.35">
      <c r="D276" s="66"/>
      <c r="E276" s="66"/>
      <c r="F276" s="66"/>
    </row>
    <row r="277" spans="4:6" ht="20" customHeight="1" x14ac:dyDescent="0.35">
      <c r="D277" s="66"/>
      <c r="E277" s="66"/>
      <c r="F277" s="66"/>
    </row>
    <row r="278" spans="4:6" ht="20" customHeight="1" x14ac:dyDescent="0.35">
      <c r="D278" s="66"/>
      <c r="E278" s="66"/>
      <c r="F278" s="66"/>
    </row>
    <row r="279" spans="4:6" ht="20" customHeight="1" x14ac:dyDescent="0.35">
      <c r="D279" s="66"/>
      <c r="E279" s="66"/>
      <c r="F279" s="66"/>
    </row>
    <row r="280" spans="4:6" ht="20" customHeight="1" x14ac:dyDescent="0.35">
      <c r="D280" s="66"/>
      <c r="E280" s="66"/>
      <c r="F280" s="66"/>
    </row>
    <row r="281" spans="4:6" ht="20" customHeight="1" x14ac:dyDescent="0.35">
      <c r="D281" s="66"/>
      <c r="E281" s="66"/>
      <c r="F281" s="66"/>
    </row>
    <row r="282" spans="4:6" ht="20" customHeight="1" x14ac:dyDescent="0.35">
      <c r="D282" s="66"/>
      <c r="E282" s="66"/>
      <c r="F282" s="66"/>
    </row>
    <row r="283" spans="4:6" ht="20" customHeight="1" x14ac:dyDescent="0.35">
      <c r="D283" s="66"/>
      <c r="E283" s="66"/>
      <c r="F283" s="66"/>
    </row>
    <row r="284" spans="4:6" ht="20" customHeight="1" x14ac:dyDescent="0.35">
      <c r="D284" s="66"/>
      <c r="E284" s="66"/>
      <c r="F284" s="66"/>
    </row>
    <row r="285" spans="4:6" ht="20" customHeight="1" x14ac:dyDescent="0.35">
      <c r="D285" s="66"/>
      <c r="E285" s="66"/>
      <c r="F285" s="66"/>
    </row>
  </sheetData>
  <mergeCells count="133">
    <mergeCell ref="F43:F46"/>
    <mergeCell ref="G43:H46"/>
    <mergeCell ref="B135:J135"/>
    <mergeCell ref="B48:J48"/>
    <mergeCell ref="F116:F119"/>
    <mergeCell ref="G116:H119"/>
    <mergeCell ref="B49:B51"/>
    <mergeCell ref="C49:C51"/>
    <mergeCell ref="I45:J45"/>
    <mergeCell ref="I46:J46"/>
    <mergeCell ref="I116:J116"/>
    <mergeCell ref="I117:J117"/>
    <mergeCell ref="I118:J118"/>
    <mergeCell ref="B121:J121"/>
    <mergeCell ref="D122:D124"/>
    <mergeCell ref="J122:J123"/>
    <mergeCell ref="I132:J132"/>
    <mergeCell ref="I133:J133"/>
    <mergeCell ref="E122:E124"/>
    <mergeCell ref="F136:F138"/>
    <mergeCell ref="G136:G138"/>
    <mergeCell ref="H136:H138"/>
    <mergeCell ref="C122:C124"/>
    <mergeCell ref="B122:B124"/>
    <mergeCell ref="J49:J50"/>
    <mergeCell ref="I119:J119"/>
    <mergeCell ref="H122:H124"/>
    <mergeCell ref="I122:I124"/>
    <mergeCell ref="D49:D51"/>
    <mergeCell ref="E49:E51"/>
    <mergeCell ref="B4:B6"/>
    <mergeCell ref="B28:B30"/>
    <mergeCell ref="E28:E30"/>
    <mergeCell ref="B27:J27"/>
    <mergeCell ref="G21:H24"/>
    <mergeCell ref="F21:F24"/>
    <mergeCell ref="C28:C30"/>
    <mergeCell ref="D28:D30"/>
    <mergeCell ref="J4:J5"/>
    <mergeCell ref="J28:J29"/>
    <mergeCell ref="E4:E6"/>
    <mergeCell ref="D4:D6"/>
    <mergeCell ref="C4:C6"/>
    <mergeCell ref="I194:J194"/>
    <mergeCell ref="I195:J195"/>
    <mergeCell ref="I196:J196"/>
    <mergeCell ref="I188:J188"/>
    <mergeCell ref="I189:J189"/>
    <mergeCell ref="I190:J190"/>
    <mergeCell ref="B168:B170"/>
    <mergeCell ref="C168:C170"/>
    <mergeCell ref="D168:D170"/>
    <mergeCell ref="F168:F170"/>
    <mergeCell ref="G168:G170"/>
    <mergeCell ref="H168:H170"/>
    <mergeCell ref="J168:J169"/>
    <mergeCell ref="F193:F196"/>
    <mergeCell ref="G193:H196"/>
    <mergeCell ref="B180:B182"/>
    <mergeCell ref="C180:C182"/>
    <mergeCell ref="D180:D182"/>
    <mergeCell ref="E180:E182"/>
    <mergeCell ref="J180:J181"/>
    <mergeCell ref="B179:J179"/>
    <mergeCell ref="E168:E170"/>
    <mergeCell ref="F180:F182"/>
    <mergeCell ref="G180:G182"/>
    <mergeCell ref="I198:J198"/>
    <mergeCell ref="I205:J206"/>
    <mergeCell ref="I16:J16"/>
    <mergeCell ref="I17:J17"/>
    <mergeCell ref="I18:J18"/>
    <mergeCell ref="I19:J19"/>
    <mergeCell ref="I21:J21"/>
    <mergeCell ref="I22:J22"/>
    <mergeCell ref="I23:J23"/>
    <mergeCell ref="I24:J24"/>
    <mergeCell ref="I38:J38"/>
    <mergeCell ref="I39:J39"/>
    <mergeCell ref="I40:J40"/>
    <mergeCell ref="I41:J41"/>
    <mergeCell ref="I43:J43"/>
    <mergeCell ref="I44:J44"/>
    <mergeCell ref="I175:J175"/>
    <mergeCell ref="I176:J176"/>
    <mergeCell ref="I177:J177"/>
    <mergeCell ref="I174:J174"/>
    <mergeCell ref="I148:I150"/>
    <mergeCell ref="I168:I170"/>
    <mergeCell ref="I130:J130"/>
    <mergeCell ref="I131:J131"/>
    <mergeCell ref="I165:J165"/>
    <mergeCell ref="J148:J149"/>
    <mergeCell ref="J136:J137"/>
    <mergeCell ref="B167:J167"/>
    <mergeCell ref="B148:B150"/>
    <mergeCell ref="C148:C150"/>
    <mergeCell ref="D148:D150"/>
    <mergeCell ref="E148:E150"/>
    <mergeCell ref="F148:F150"/>
    <mergeCell ref="G148:G150"/>
    <mergeCell ref="H148:H150"/>
    <mergeCell ref="B147:J147"/>
    <mergeCell ref="I142:J142"/>
    <mergeCell ref="I136:I138"/>
    <mergeCell ref="C136:C138"/>
    <mergeCell ref="B136:B138"/>
    <mergeCell ref="E136:E138"/>
    <mergeCell ref="D136:D138"/>
    <mergeCell ref="H180:H182"/>
    <mergeCell ref="I180:I182"/>
    <mergeCell ref="I187:J187"/>
    <mergeCell ref="I193:J193"/>
    <mergeCell ref="F4:F6"/>
    <mergeCell ref="G4:G6"/>
    <mergeCell ref="H4:H6"/>
    <mergeCell ref="I4:I6"/>
    <mergeCell ref="F28:F30"/>
    <mergeCell ref="G28:G30"/>
    <mergeCell ref="H28:H30"/>
    <mergeCell ref="I28:I30"/>
    <mergeCell ref="F49:F51"/>
    <mergeCell ref="G49:G51"/>
    <mergeCell ref="H49:H51"/>
    <mergeCell ref="I49:I51"/>
    <mergeCell ref="F122:F124"/>
    <mergeCell ref="G122:G124"/>
    <mergeCell ref="I143:J143"/>
    <mergeCell ref="I144:J144"/>
    <mergeCell ref="I145:J145"/>
    <mergeCell ref="I162:J162"/>
    <mergeCell ref="I163:J163"/>
    <mergeCell ref="I164:J164"/>
  </mergeCells>
  <phoneticPr fontId="8" type="noConversion"/>
  <hyperlinks>
    <hyperlink ref="I205" r:id="rId1" xr:uid="{F8F97330-20B5-584C-90DD-4A1DBCD94A4C}"/>
  </hyperlinks>
  <pageMargins left="0.25" right="0.25" top="0.75" bottom="0.75" header="0.3" footer="0.3"/>
  <pageSetup paperSize="3" scale="63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F10E-169A-9944-870A-4FE198BDEDE1}">
  <dimension ref="A1"/>
  <sheetViews>
    <sheetView workbookViewId="0">
      <selection activeCell="R39" sqref="R39"/>
    </sheetView>
  </sheetViews>
  <sheetFormatPr baseColWidth="10"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topLeftCell="G1" workbookViewId="0">
      <selection activeCell="B4" sqref="B4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2</vt:i4>
      </vt:variant>
    </vt:vector>
  </HeadingPairs>
  <TitlesOfParts>
    <vt:vector size="21" baseType="lpstr">
      <vt:lpstr>SERVICIO</vt:lpstr>
      <vt:lpstr>GRÁFICA</vt:lpstr>
      <vt:lpstr>GRÁFICA II</vt:lpstr>
      <vt:lpstr>FLUJO</vt:lpstr>
      <vt:lpstr>EGRESOS</vt:lpstr>
      <vt:lpstr>PREMISAS</vt:lpstr>
      <vt:lpstr>F08 INGRESOS</vt:lpstr>
      <vt:lpstr>F00 INVERSIÓN</vt:lpstr>
      <vt:lpstr>NOMINA</vt:lpstr>
      <vt:lpstr>F01 EPP</vt:lpstr>
      <vt:lpstr>F01 UNIFORMES</vt:lpstr>
      <vt:lpstr>F02 INMUEBLES Y S</vt:lpstr>
      <vt:lpstr>F03 COM Y EQ COM</vt:lpstr>
      <vt:lpstr>F04 VEHÍCULOS Y COMB. </vt:lpstr>
      <vt:lpstr>F05 VIÁTICOS</vt:lpstr>
      <vt:lpstr>F06 (MAT,SERV &amp; EQUIPO)</vt:lpstr>
      <vt:lpstr>F07 OPERAC. (MAT,SERV &amp; EQUIPO)</vt:lpstr>
      <vt:lpstr>Hoja1</vt:lpstr>
      <vt:lpstr>Hoja2</vt:lpstr>
      <vt:lpstr>'F01 EPP'!Área_de_impresión</vt:lpstr>
      <vt:lpstr>NOMINA!Área_de_impresión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Geolis</dc:creator>
  <cp:lastModifiedBy>Grupo1 Project</cp:lastModifiedBy>
  <cp:lastPrinted>2023-04-18T21:07:38Z</cp:lastPrinted>
  <dcterms:created xsi:type="dcterms:W3CDTF">2015-08-06T13:30:52Z</dcterms:created>
  <dcterms:modified xsi:type="dcterms:W3CDTF">2024-11-19T14:52:35Z</dcterms:modified>
</cp:coreProperties>
</file>